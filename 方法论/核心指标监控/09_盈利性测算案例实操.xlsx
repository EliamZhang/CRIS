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hangyuliang02\Downloads\"/>
    </mc:Choice>
  </mc:AlternateContent>
  <xr:revisionPtr revIDLastSave="0" documentId="13_ncr:1_{4EF9EC30-A4AA-4FCB-B383-893A95961A2E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" i="1" l="1"/>
  <c r="F37" i="1"/>
  <c r="F41" i="1" s="1"/>
  <c r="F31" i="1"/>
  <c r="F33" i="1" s="1"/>
  <c r="F48" i="1" l="1"/>
  <c r="F32" i="1"/>
  <c r="F45" i="1" l="1"/>
  <c r="F52" i="1" s="1"/>
  <c r="F53" i="1" l="1"/>
</calcChain>
</file>

<file path=xl/sharedStrings.xml><?xml version="1.0" encoding="utf-8"?>
<sst xmlns="http://schemas.openxmlformats.org/spreadsheetml/2006/main" count="49" uniqueCount="49">
  <si>
    <t>某银行与外部流量渠道合作，通过API导流的方式获客，按照实收利息的20%向渠道方支付分润的流量费。</t>
    <phoneticPr fontId="2" type="noConversion"/>
  </si>
  <si>
    <t>线上获客后，银行自行承担风险，自主完成风控的准入流程。</t>
    <phoneticPr fontId="2" type="noConversion"/>
  </si>
  <si>
    <t>对客定价（IRR）</t>
    <phoneticPr fontId="2" type="noConversion"/>
  </si>
  <si>
    <t>还款方式</t>
    <phoneticPr fontId="2" type="noConversion"/>
  </si>
  <si>
    <t>等额本息</t>
    <phoneticPr fontId="2" type="noConversion"/>
  </si>
  <si>
    <t>贷款平均期限（3/6/9/12）</t>
    <phoneticPr fontId="2" type="noConversion"/>
  </si>
  <si>
    <t>授信额度（1000-30000）</t>
    <phoneticPr fontId="2" type="noConversion"/>
  </si>
  <si>
    <t>0.业务背景</t>
    <phoneticPr fontId="2" type="noConversion"/>
  </si>
  <si>
    <t>1.产品要素</t>
    <phoneticPr fontId="2" type="noConversion"/>
  </si>
  <si>
    <t>2.风险测算</t>
    <phoneticPr fontId="2" type="noConversion"/>
  </si>
  <si>
    <t>M4+%</t>
    <phoneticPr fontId="2" type="noConversion"/>
  </si>
  <si>
    <t>账龄MOB</t>
    <phoneticPr fontId="2" type="noConversion"/>
  </si>
  <si>
    <t>放款月份</t>
    <phoneticPr fontId="2" type="noConversion"/>
  </si>
  <si>
    <t>放款金额</t>
    <phoneticPr fontId="2" type="noConversion"/>
  </si>
  <si>
    <t>2022-11</t>
    <phoneticPr fontId="2" type="noConversion"/>
  </si>
  <si>
    <t>2022-12</t>
    <phoneticPr fontId="2" type="noConversion"/>
  </si>
  <si>
    <t>2023-01</t>
    <phoneticPr fontId="2" type="noConversion"/>
  </si>
  <si>
    <t>2023-02</t>
    <phoneticPr fontId="2" type="noConversion"/>
  </si>
  <si>
    <t>2023-03</t>
    <phoneticPr fontId="2" type="noConversion"/>
  </si>
  <si>
    <t>2023-04</t>
  </si>
  <si>
    <t>2023-05</t>
  </si>
  <si>
    <t>2023-06</t>
  </si>
  <si>
    <t>2023-07</t>
  </si>
  <si>
    <t>2023-08</t>
  </si>
  <si>
    <t>2023-09</t>
  </si>
  <si>
    <t>2023-10</t>
    <phoneticPr fontId="2" type="noConversion"/>
  </si>
  <si>
    <t>基于历史数据统计VintageM4+的金额逾期率（如下）；如果是冷启动阶段没有历史数据，可以调研同类定价客群的大致Vintage风险水平</t>
    <phoneticPr fontId="2" type="noConversion"/>
  </si>
  <si>
    <t>Vintage M4+终期逾期率约为3%，以此计算年化损失</t>
    <phoneticPr fontId="2" type="noConversion"/>
  </si>
  <si>
    <t>年化坏账率</t>
    <phoneticPr fontId="2" type="noConversion"/>
  </si>
  <si>
    <t>生息月数</t>
    <phoneticPr fontId="2" type="noConversion"/>
  </si>
  <si>
    <t>Vintage M4+终期金额逾期率</t>
    <phoneticPr fontId="2" type="noConversion"/>
  </si>
  <si>
    <t>年化生息资产（剩余未还本金和/12）</t>
    <phoneticPr fontId="2" type="noConversion"/>
  </si>
  <si>
    <t>3.收入测算</t>
    <phoneticPr fontId="2" type="noConversion"/>
  </si>
  <si>
    <t>实收利息</t>
    <phoneticPr fontId="2" type="noConversion"/>
  </si>
  <si>
    <t>从实收中扣除坏账本金无法收回部分</t>
    <phoneticPr fontId="2" type="noConversion"/>
  </si>
  <si>
    <t>4.其他成本测算</t>
    <phoneticPr fontId="2" type="noConversion"/>
  </si>
  <si>
    <t>获客成本</t>
    <phoneticPr fontId="2" type="noConversion"/>
  </si>
  <si>
    <t>流量分润比例</t>
    <phoneticPr fontId="2" type="noConversion"/>
  </si>
  <si>
    <t>资金成本（IRR）</t>
    <phoneticPr fontId="2" type="noConversion"/>
  </si>
  <si>
    <t>数据成本（IRR）</t>
    <phoneticPr fontId="2" type="noConversion"/>
  </si>
  <si>
    <t>数据成本（每个申请的数据费用）</t>
    <phoneticPr fontId="2" type="noConversion"/>
  </si>
  <si>
    <t>申请人数</t>
    <phoneticPr fontId="2" type="noConversion"/>
  </si>
  <si>
    <t>5.盈利性测算</t>
    <phoneticPr fontId="2" type="noConversion"/>
  </si>
  <si>
    <t>毛利润=实收利息-坏账预估-获客成本-资金成本-数据成本-其他运营成本</t>
    <phoneticPr fontId="2" type="noConversion"/>
  </si>
  <si>
    <t>风控服务费比例</t>
    <phoneticPr fontId="2" type="noConversion"/>
  </si>
  <si>
    <t>风控服务费</t>
    <phoneticPr fontId="2" type="noConversion"/>
  </si>
  <si>
    <t>其它成本（催收、支付）（IRR）</t>
    <phoneticPr fontId="2" type="noConversion"/>
  </si>
  <si>
    <t>毛利润1</t>
    <phoneticPr fontId="2" type="noConversion"/>
  </si>
  <si>
    <t>毛利润2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</si>
</sst>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7" fillId="0" borderId="1" xfId="0" applyNumberFormat="1" applyFont="1" applyBorder="1"/>
    <xf numFmtId="10" fontId="7" fillId="2" borderId="1" xfId="1" applyNumberFormat="1" applyFont="1" applyFill="1" applyBorder="1" applyAlignment="1"/>
    <xf numFmtId="0" fontId="3" fillId="2" borderId="0" xfId="0" applyFont="1" applyFill="1"/>
    <xf numFmtId="0" fontId="7" fillId="0" borderId="0" xfId="0" applyFont="1"/>
    <xf numFmtId="0" fontId="7" fillId="0" borderId="1" xfId="0" applyFont="1" applyBorder="1"/>
    <xf numFmtId="9" fontId="7" fillId="0" borderId="1" xfId="0" applyNumberFormat="1" applyFont="1" applyBorder="1"/>
    <xf numFmtId="0" fontId="7" fillId="0" borderId="1" xfId="0" applyFont="1" applyBorder="1" applyAlignment="1">
      <alignment horizontal="right"/>
    </xf>
    <xf numFmtId="176" fontId="7" fillId="0" borderId="1" xfId="0" applyNumberFormat="1" applyFont="1" applyBorder="1"/>
    <xf numFmtId="10" fontId="7" fillId="0" borderId="1" xfId="1" applyNumberFormat="1" applyFont="1" applyBorder="1" applyAlignment="1"/>
    <xf numFmtId="177" fontId="7" fillId="0" borderId="1" xfId="0" applyNumberFormat="1" applyFont="1" applyBorder="1"/>
    <xf numFmtId="0" fontId="3" fillId="0" borderId="0" xfId="0" applyFont="1"/>
    <xf numFmtId="10" fontId="7" fillId="0" borderId="0" xfId="0" applyNumberFormat="1" applyFont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8" fillId="0" borderId="0" xfId="0" applyFont="1"/>
    <xf numFmtId="10" fontId="7" fillId="0" borderId="0" xfId="1" applyNumberFormat="1" applyFont="1" applyAlignment="1"/>
    <xf numFmtId="0" fontId="7" fillId="9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U55"/>
  <sheetViews>
    <sheetView showGridLines="0" tabSelected="1" zoomScale="95" zoomScaleNormal="100" workbookViewId="0">
      <selection sqref="A1:XFD1"/>
    </sheetView>
  </sheetViews>
  <sheetFormatPr defaultColWidth="9.125" defaultRowHeight="16.5" x14ac:dyDescent="0.35"/>
  <cols>
    <col min="1" max="3" width="9.125" style="7"/>
    <col min="4" max="4" width="12.75" style="7" customWidth="1"/>
    <col min="5" max="5" width="29.5" style="7" customWidth="1"/>
    <col min="6" max="6" width="11.625" style="7" customWidth="1"/>
    <col min="7" max="21" width="9.125" style="7" bestFit="1" customWidth="1"/>
    <col min="22" max="16384" width="9.125" style="7"/>
  </cols>
  <sheetData>
    <row r="2" spans="4:21" x14ac:dyDescent="0.35">
      <c r="D2" s="6" t="s">
        <v>7</v>
      </c>
    </row>
    <row r="3" spans="4:21" x14ac:dyDescent="0.35">
      <c r="E3" s="7" t="s">
        <v>0</v>
      </c>
    </row>
    <row r="4" spans="4:21" x14ac:dyDescent="0.35">
      <c r="E4" s="7" t="s">
        <v>1</v>
      </c>
    </row>
    <row r="6" spans="4:21" x14ac:dyDescent="0.35">
      <c r="D6" s="6" t="s">
        <v>8</v>
      </c>
    </row>
    <row r="7" spans="4:21" x14ac:dyDescent="0.35">
      <c r="E7" s="8" t="s">
        <v>2</v>
      </c>
      <c r="F7" s="9">
        <v>0.24</v>
      </c>
    </row>
    <row r="8" spans="4:21" x14ac:dyDescent="0.35">
      <c r="E8" s="8" t="s">
        <v>5</v>
      </c>
      <c r="F8" s="8">
        <v>8</v>
      </c>
    </row>
    <row r="9" spans="4:21" x14ac:dyDescent="0.35">
      <c r="E9" s="8" t="s">
        <v>6</v>
      </c>
      <c r="F9" s="10">
        <v>3000</v>
      </c>
    </row>
    <row r="10" spans="4:21" x14ac:dyDescent="0.35">
      <c r="E10" s="8" t="s">
        <v>3</v>
      </c>
      <c r="F10" s="10" t="s">
        <v>4</v>
      </c>
    </row>
    <row r="12" spans="4:21" x14ac:dyDescent="0.35">
      <c r="D12" s="6" t="s">
        <v>9</v>
      </c>
    </row>
    <row r="13" spans="4:21" x14ac:dyDescent="0.35">
      <c r="E13" s="7" t="s">
        <v>26</v>
      </c>
    </row>
    <row r="14" spans="4:21" x14ac:dyDescent="0.35">
      <c r="E14" s="23" t="s">
        <v>10</v>
      </c>
      <c r="F14" s="23"/>
      <c r="G14" s="24" t="s">
        <v>11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6"/>
    </row>
    <row r="15" spans="4:21" x14ac:dyDescent="0.35">
      <c r="E15" s="1" t="s">
        <v>12</v>
      </c>
      <c r="F15" s="1" t="s">
        <v>13</v>
      </c>
      <c r="G15" s="2">
        <v>1</v>
      </c>
      <c r="H15" s="2">
        <v>2</v>
      </c>
      <c r="I15" s="2">
        <v>3</v>
      </c>
      <c r="J15" s="2">
        <v>4</v>
      </c>
      <c r="K15" s="2">
        <v>5</v>
      </c>
      <c r="L15" s="2">
        <v>6</v>
      </c>
      <c r="M15" s="2">
        <v>7</v>
      </c>
      <c r="N15" s="2">
        <v>8</v>
      </c>
      <c r="O15" s="2">
        <v>9</v>
      </c>
      <c r="P15" s="2">
        <v>10</v>
      </c>
      <c r="Q15" s="2">
        <v>11</v>
      </c>
      <c r="R15" s="2">
        <v>12</v>
      </c>
      <c r="S15" s="2">
        <v>13</v>
      </c>
      <c r="T15" s="2">
        <v>14</v>
      </c>
      <c r="U15" s="2">
        <v>15</v>
      </c>
    </row>
    <row r="16" spans="4:21" x14ac:dyDescent="0.35">
      <c r="E16" s="3" t="s">
        <v>14</v>
      </c>
      <c r="F16" s="3">
        <v>24230000</v>
      </c>
      <c r="G16" s="4"/>
      <c r="H16" s="4"/>
      <c r="I16" s="4"/>
      <c r="J16" s="4">
        <v>2.0500000000000001E-2</v>
      </c>
      <c r="K16" s="4">
        <v>2.35E-2</v>
      </c>
      <c r="L16" s="4">
        <v>2.5999999999999999E-2</v>
      </c>
      <c r="M16" s="4">
        <v>2.7999999999999997E-2</v>
      </c>
      <c r="N16" s="4">
        <v>2.9499999999999998E-2</v>
      </c>
      <c r="O16" s="4">
        <v>3.0499999999999999E-2</v>
      </c>
      <c r="P16" s="4">
        <v>3.1199999999999999E-2</v>
      </c>
      <c r="Q16" s="4">
        <v>3.1699999999999999E-2</v>
      </c>
      <c r="R16" s="4">
        <v>3.2199999999999999E-2</v>
      </c>
      <c r="S16" s="4">
        <v>3.2300000000000002E-2</v>
      </c>
      <c r="T16" s="4">
        <v>3.2400000000000005E-2</v>
      </c>
      <c r="U16" s="4">
        <v>3.2400000000000005E-2</v>
      </c>
    </row>
    <row r="17" spans="5:21" x14ac:dyDescent="0.35">
      <c r="E17" s="3" t="s">
        <v>15</v>
      </c>
      <c r="F17" s="3">
        <v>26503014</v>
      </c>
      <c r="G17" s="4"/>
      <c r="H17" s="4"/>
      <c r="I17" s="4"/>
      <c r="J17" s="4">
        <v>1.9200000000000002E-2</v>
      </c>
      <c r="K17" s="4">
        <v>2.2200000000000001E-2</v>
      </c>
      <c r="L17" s="4">
        <v>2.47E-2</v>
      </c>
      <c r="M17" s="4">
        <v>2.6700000000000002E-2</v>
      </c>
      <c r="N17" s="4">
        <v>2.8200000000000003E-2</v>
      </c>
      <c r="O17" s="4">
        <v>2.9200000000000004E-2</v>
      </c>
      <c r="P17" s="4">
        <v>2.9900000000000003E-2</v>
      </c>
      <c r="Q17" s="4">
        <v>3.0400000000000003E-2</v>
      </c>
      <c r="R17" s="4">
        <v>3.0700000000000005E-2</v>
      </c>
      <c r="S17" s="4">
        <v>3.0700000000000005E-2</v>
      </c>
      <c r="T17" s="4">
        <v>3.0700000000000005E-2</v>
      </c>
      <c r="U17" s="5">
        <v>3.0700000000000005E-2</v>
      </c>
    </row>
    <row r="18" spans="5:21" x14ac:dyDescent="0.35">
      <c r="E18" s="3" t="s">
        <v>16</v>
      </c>
      <c r="F18" s="3">
        <v>25940841</v>
      </c>
      <c r="G18" s="4"/>
      <c r="H18" s="4"/>
      <c r="I18" s="4"/>
      <c r="J18" s="4">
        <v>1.78E-2</v>
      </c>
      <c r="K18" s="4">
        <v>2.0799999999999999E-2</v>
      </c>
      <c r="L18" s="4">
        <v>2.3299999999999998E-2</v>
      </c>
      <c r="M18" s="4">
        <v>2.5299999999999996E-2</v>
      </c>
      <c r="N18" s="4">
        <v>2.6799999999999997E-2</v>
      </c>
      <c r="O18" s="4">
        <v>2.7799999999999998E-2</v>
      </c>
      <c r="P18" s="4">
        <v>2.8499999999999998E-2</v>
      </c>
      <c r="Q18" s="4">
        <v>2.8999999999999998E-2</v>
      </c>
      <c r="R18" s="4">
        <v>2.9199999999999997E-2</v>
      </c>
      <c r="S18" s="4">
        <v>2.9399999999999996E-2</v>
      </c>
      <c r="T18" s="5">
        <v>2.944666666666667E-2</v>
      </c>
      <c r="U18" s="5">
        <v>2.944666666666667E-2</v>
      </c>
    </row>
    <row r="19" spans="5:21" x14ac:dyDescent="0.35">
      <c r="E19" s="3" t="s">
        <v>17</v>
      </c>
      <c r="F19" s="3">
        <v>30720862</v>
      </c>
      <c r="G19" s="4"/>
      <c r="H19" s="4"/>
      <c r="I19" s="4"/>
      <c r="J19" s="4">
        <v>1.6799999999999999E-2</v>
      </c>
      <c r="K19" s="4">
        <v>1.9799999999999998E-2</v>
      </c>
      <c r="L19" s="4">
        <v>2.2299999999999997E-2</v>
      </c>
      <c r="M19" s="4">
        <v>2.4299999999999995E-2</v>
      </c>
      <c r="N19" s="4">
        <v>2.5799999999999997E-2</v>
      </c>
      <c r="O19" s="4">
        <v>2.6799999999999997E-2</v>
      </c>
      <c r="P19" s="4">
        <v>2.7499999999999997E-2</v>
      </c>
      <c r="Q19" s="4">
        <v>2.7999999999999997E-2</v>
      </c>
      <c r="R19" s="4">
        <v>2.8199999999999996E-2</v>
      </c>
      <c r="S19" s="5">
        <v>2.8291856677524419E-2</v>
      </c>
      <c r="T19" s="5">
        <v>2.8313824841333924E-2</v>
      </c>
      <c r="U19" s="5">
        <v>2.8313824841333924E-2</v>
      </c>
    </row>
    <row r="20" spans="5:21" x14ac:dyDescent="0.35">
      <c r="E20" s="3" t="s">
        <v>18</v>
      </c>
      <c r="F20" s="3">
        <v>31224661</v>
      </c>
      <c r="G20" s="4"/>
      <c r="H20" s="4"/>
      <c r="I20" s="4"/>
      <c r="J20" s="4">
        <v>1.5699999999999999E-2</v>
      </c>
      <c r="K20" s="4">
        <v>1.8699999999999998E-2</v>
      </c>
      <c r="L20" s="4">
        <v>2.1199999999999997E-2</v>
      </c>
      <c r="M20" s="4">
        <v>2.3199999999999998E-2</v>
      </c>
      <c r="N20" s="4">
        <v>2.47E-2</v>
      </c>
      <c r="O20" s="4">
        <v>2.5700000000000001E-2</v>
      </c>
      <c r="P20" s="4">
        <v>2.64E-2</v>
      </c>
      <c r="Q20" s="4">
        <v>2.75E-2</v>
      </c>
      <c r="R20" s="5">
        <v>2.7720251716247136E-2</v>
      </c>
      <c r="S20" s="5">
        <v>2.781208305070848E-2</v>
      </c>
      <c r="T20" s="5">
        <v>2.7845170521199242E-2</v>
      </c>
      <c r="U20" s="5">
        <v>2.7845170521199242E-2</v>
      </c>
    </row>
    <row r="21" spans="5:21" x14ac:dyDescent="0.35">
      <c r="E21" s="3" t="s">
        <v>19</v>
      </c>
      <c r="F21" s="3">
        <v>32566042</v>
      </c>
      <c r="G21" s="4"/>
      <c r="H21" s="4"/>
      <c r="I21" s="4"/>
      <c r="J21" s="4">
        <v>1.46E-2</v>
      </c>
      <c r="K21" s="4">
        <v>1.7600000000000001E-2</v>
      </c>
      <c r="L21" s="4">
        <v>2.01E-2</v>
      </c>
      <c r="M21" s="4">
        <v>2.2100000000000002E-2</v>
      </c>
      <c r="N21" s="4">
        <v>2.3600000000000003E-2</v>
      </c>
      <c r="O21" s="4">
        <v>2.4600000000000004E-2</v>
      </c>
      <c r="P21" s="4">
        <v>2.6100000000000005E-2</v>
      </c>
      <c r="Q21" s="5">
        <v>2.6765169902912625E-2</v>
      </c>
      <c r="R21" s="5">
        <v>2.6961633128568575E-2</v>
      </c>
      <c r="S21" s="5">
        <v>2.7083165375083484E-2</v>
      </c>
      <c r="T21" s="5">
        <v>2.7109742489913692E-2</v>
      </c>
      <c r="U21" s="5">
        <v>2.7109742489913692E-2</v>
      </c>
    </row>
    <row r="22" spans="5:21" x14ac:dyDescent="0.35">
      <c r="E22" s="3" t="s">
        <v>20</v>
      </c>
      <c r="F22" s="3">
        <v>30412265</v>
      </c>
      <c r="G22" s="4"/>
      <c r="H22" s="4"/>
      <c r="I22" s="4"/>
      <c r="J22" s="4">
        <v>1.4E-2</v>
      </c>
      <c r="K22" s="4">
        <v>1.7000000000000001E-2</v>
      </c>
      <c r="L22" s="4">
        <v>1.95E-2</v>
      </c>
      <c r="M22" s="4">
        <v>2.1499999999999998E-2</v>
      </c>
      <c r="N22" s="4">
        <v>2.3E-2</v>
      </c>
      <c r="O22" s="4">
        <v>2.4E-2</v>
      </c>
      <c r="P22" s="5">
        <v>2.4902723735408562E-2</v>
      </c>
      <c r="Q22" s="5">
        <v>2.5607834989233497E-2</v>
      </c>
      <c r="R22" s="5">
        <v>2.5799808512004883E-2</v>
      </c>
      <c r="S22" s="5">
        <v>2.5894818709203536E-2</v>
      </c>
      <c r="T22" s="5">
        <v>2.592296328755142E-2</v>
      </c>
      <c r="U22" s="5">
        <v>2.592296328755142E-2</v>
      </c>
    </row>
    <row r="23" spans="5:21" x14ac:dyDescent="0.35">
      <c r="E23" s="3" t="s">
        <v>21</v>
      </c>
      <c r="F23" s="3">
        <v>35242624</v>
      </c>
      <c r="G23" s="4"/>
      <c r="H23" s="4"/>
      <c r="I23" s="4"/>
      <c r="J23" s="4">
        <v>1.34E-2</v>
      </c>
      <c r="K23" s="4">
        <v>1.6400000000000001E-2</v>
      </c>
      <c r="L23" s="4">
        <v>1.89E-2</v>
      </c>
      <c r="M23" s="4">
        <v>2.0900000000000002E-2</v>
      </c>
      <c r="N23" s="4">
        <v>2.2900000000000004E-2</v>
      </c>
      <c r="O23" s="5">
        <v>2.3863534361851336E-2</v>
      </c>
      <c r="P23" s="5">
        <v>2.486006133998396E-2</v>
      </c>
      <c r="Q23" s="5">
        <v>2.5653461599300788E-2</v>
      </c>
      <c r="R23" s="5">
        <v>2.5848959016426254E-2</v>
      </c>
      <c r="S23" s="5">
        <v>2.5948001926948072E-2</v>
      </c>
      <c r="T23" s="5">
        <v>2.5974803977357765E-2</v>
      </c>
      <c r="U23" s="5">
        <v>2.5974803977357765E-2</v>
      </c>
    </row>
    <row r="24" spans="5:21" x14ac:dyDescent="0.35">
      <c r="E24" s="3" t="s">
        <v>22</v>
      </c>
      <c r="F24" s="3">
        <v>31835784</v>
      </c>
      <c r="G24" s="4"/>
      <c r="H24" s="4"/>
      <c r="I24" s="4"/>
      <c r="J24" s="4">
        <v>1.46E-2</v>
      </c>
      <c r="K24" s="4">
        <v>1.7600000000000001E-2</v>
      </c>
      <c r="L24" s="4">
        <v>2.01E-2</v>
      </c>
      <c r="M24" s="4">
        <v>2.2599999999999999E-2</v>
      </c>
      <c r="N24" s="5">
        <v>2.4351937984496121E-2</v>
      </c>
      <c r="O24" s="5">
        <v>2.5390323667873489E-2</v>
      </c>
      <c r="P24" s="5">
        <v>2.6581378956649155E-2</v>
      </c>
      <c r="Q24" s="5">
        <v>2.7339506088475966E-2</v>
      </c>
      <c r="R24" s="5">
        <v>2.7544109377491365E-2</v>
      </c>
      <c r="S24" s="5">
        <v>2.7654686571378491E-2</v>
      </c>
      <c r="T24" s="5">
        <v>2.7683996932539381E-2</v>
      </c>
      <c r="U24" s="5">
        <v>2.7683996932539381E-2</v>
      </c>
    </row>
    <row r="25" spans="5:21" x14ac:dyDescent="0.35">
      <c r="E25" s="3" t="s">
        <v>23</v>
      </c>
      <c r="F25" s="3">
        <v>34375939</v>
      </c>
      <c r="G25" s="4"/>
      <c r="H25" s="4"/>
      <c r="I25" s="4"/>
      <c r="J25" s="4">
        <v>1.3100000000000001E-2</v>
      </c>
      <c r="K25" s="4">
        <v>1.61E-2</v>
      </c>
      <c r="L25" s="4">
        <v>1.9099999999999999E-2</v>
      </c>
      <c r="M25" s="5">
        <v>2.1222222222222222E-2</v>
      </c>
      <c r="N25" s="5">
        <v>2.2936957529980786E-2</v>
      </c>
      <c r="O25" s="5">
        <v>2.391707159602981E-2</v>
      </c>
      <c r="P25" s="5">
        <v>2.4926043299350359E-2</v>
      </c>
      <c r="Q25" s="5">
        <v>2.5662826173177701E-2</v>
      </c>
      <c r="R25" s="5">
        <v>2.5856135878685804E-2</v>
      </c>
      <c r="S25" s="5">
        <v>2.5955596370321792E-2</v>
      </c>
      <c r="T25" s="5">
        <v>2.5982767229599441E-2</v>
      </c>
      <c r="U25" s="5">
        <v>2.5982767229599441E-2</v>
      </c>
    </row>
    <row r="26" spans="5:21" x14ac:dyDescent="0.35">
      <c r="E26" s="3" t="s">
        <v>24</v>
      </c>
      <c r="F26" s="3">
        <v>32387480</v>
      </c>
      <c r="G26" s="4"/>
      <c r="H26" s="4"/>
      <c r="I26" s="4"/>
      <c r="J26" s="4">
        <v>1.1900000000000001E-2</v>
      </c>
      <c r="K26" s="4">
        <v>1.6900000000000002E-2</v>
      </c>
      <c r="L26" s="5">
        <v>1.9598602794411175E-2</v>
      </c>
      <c r="M26" s="5">
        <v>2.1832446218673765E-2</v>
      </c>
      <c r="N26" s="5">
        <v>2.3676493696500194E-2</v>
      </c>
      <c r="O26" s="5">
        <v>2.4682409394715634E-2</v>
      </c>
      <c r="P26" s="5">
        <v>2.576068807928384E-2</v>
      </c>
      <c r="Q26" s="5">
        <v>2.6532593138725146E-2</v>
      </c>
      <c r="R26" s="5">
        <v>2.673276551311372E-2</v>
      </c>
      <c r="S26" s="5">
        <v>2.683702623313686E-2</v>
      </c>
      <c r="T26" s="5">
        <v>2.6865300435610986E-2</v>
      </c>
      <c r="U26" s="5">
        <v>2.6865300435610986E-2</v>
      </c>
    </row>
    <row r="27" spans="5:21" x14ac:dyDescent="0.35">
      <c r="E27" s="3" t="s">
        <v>25</v>
      </c>
      <c r="F27" s="3">
        <v>31004142</v>
      </c>
      <c r="G27" s="4"/>
      <c r="H27" s="4"/>
      <c r="I27" s="4"/>
      <c r="J27" s="4">
        <v>1.21E-2</v>
      </c>
      <c r="K27" s="5">
        <v>1.546111111111111E-2</v>
      </c>
      <c r="L27" s="5">
        <v>1.7966239742736746E-2</v>
      </c>
      <c r="M27" s="5">
        <v>2.0061148690273773E-2</v>
      </c>
      <c r="N27" s="5">
        <v>2.1683868925576336E-2</v>
      </c>
      <c r="O27" s="5">
        <v>2.2607995867911339E-2</v>
      </c>
      <c r="P27" s="5">
        <v>2.3608642242642593E-2</v>
      </c>
      <c r="Q27" s="5">
        <v>2.4301249136610255E-2</v>
      </c>
      <c r="R27" s="5">
        <v>2.4483989253379437E-2</v>
      </c>
      <c r="S27" s="5">
        <v>2.4580020573179769E-2</v>
      </c>
      <c r="T27" s="5">
        <v>2.4605835558140384E-2</v>
      </c>
      <c r="U27" s="5">
        <v>2.4605835558140384E-2</v>
      </c>
    </row>
    <row r="29" spans="5:21" x14ac:dyDescent="0.35">
      <c r="E29" s="7" t="s">
        <v>27</v>
      </c>
    </row>
    <row r="30" spans="5:21" x14ac:dyDescent="0.35">
      <c r="E30" s="8" t="s">
        <v>30</v>
      </c>
      <c r="F30" s="4">
        <v>3.2000000000000001E-2</v>
      </c>
    </row>
    <row r="31" spans="5:21" x14ac:dyDescent="0.35">
      <c r="E31" s="8" t="s">
        <v>29</v>
      </c>
      <c r="F31" s="11">
        <f>(F8+1)/2</f>
        <v>4.5</v>
      </c>
    </row>
    <row r="32" spans="5:21" x14ac:dyDescent="0.35">
      <c r="E32" s="8" t="s">
        <v>31</v>
      </c>
      <c r="F32" s="13">
        <f>F16*F31/12</f>
        <v>9086250</v>
      </c>
    </row>
    <row r="33" spans="4:6" x14ac:dyDescent="0.35">
      <c r="E33" s="8" t="s">
        <v>28</v>
      </c>
      <c r="F33" s="12">
        <f>F30*(12/F31)</f>
        <v>8.533333333333333E-2</v>
      </c>
    </row>
    <row r="35" spans="4:6" x14ac:dyDescent="0.35">
      <c r="D35" s="6" t="s">
        <v>32</v>
      </c>
    </row>
    <row r="36" spans="4:6" x14ac:dyDescent="0.35">
      <c r="D36" s="14"/>
      <c r="E36" s="7" t="s">
        <v>34</v>
      </c>
    </row>
    <row r="37" spans="4:6" x14ac:dyDescent="0.35">
      <c r="E37" s="8" t="s">
        <v>33</v>
      </c>
      <c r="F37" s="4">
        <f>F7*(1-F30)</f>
        <v>0.23231999999999997</v>
      </c>
    </row>
    <row r="38" spans="4:6" x14ac:dyDescent="0.35">
      <c r="F38" s="15"/>
    </row>
    <row r="39" spans="4:6" x14ac:dyDescent="0.35">
      <c r="D39" s="6" t="s">
        <v>35</v>
      </c>
    </row>
    <row r="40" spans="4:6" x14ac:dyDescent="0.35">
      <c r="E40" s="16" t="s">
        <v>37</v>
      </c>
      <c r="F40" s="4">
        <v>0.2</v>
      </c>
    </row>
    <row r="41" spans="4:6" x14ac:dyDescent="0.35">
      <c r="E41" s="16" t="s">
        <v>36</v>
      </c>
      <c r="F41" s="4">
        <f>F37*F40</f>
        <v>4.6463999999999998E-2</v>
      </c>
    </row>
    <row r="42" spans="4:6" x14ac:dyDescent="0.35">
      <c r="E42" s="17" t="s">
        <v>38</v>
      </c>
      <c r="F42" s="9">
        <v>0.04</v>
      </c>
    </row>
    <row r="43" spans="4:6" x14ac:dyDescent="0.35">
      <c r="E43" s="18" t="s">
        <v>40</v>
      </c>
      <c r="F43" s="8">
        <v>7</v>
      </c>
    </row>
    <row r="44" spans="4:6" x14ac:dyDescent="0.35">
      <c r="E44" s="18" t="s">
        <v>41</v>
      </c>
      <c r="F44" s="8">
        <v>8077</v>
      </c>
    </row>
    <row r="45" spans="4:6" x14ac:dyDescent="0.35">
      <c r="E45" s="18" t="s">
        <v>39</v>
      </c>
      <c r="F45" s="12">
        <f>F44*F43/F32</f>
        <v>6.2224790204980056E-3</v>
      </c>
    </row>
    <row r="46" spans="4:6" x14ac:dyDescent="0.35">
      <c r="E46" s="19" t="s">
        <v>46</v>
      </c>
      <c r="F46" s="12">
        <f>1.2%</f>
        <v>1.2E-2</v>
      </c>
    </row>
    <row r="47" spans="4:6" x14ac:dyDescent="0.35">
      <c r="E47" s="22" t="s">
        <v>44</v>
      </c>
      <c r="F47" s="12">
        <v>0.1</v>
      </c>
    </row>
    <row r="48" spans="4:6" x14ac:dyDescent="0.35">
      <c r="E48" s="22" t="s">
        <v>45</v>
      </c>
      <c r="F48" s="12">
        <f>F37*F47</f>
        <v>2.3231999999999999E-2</v>
      </c>
    </row>
    <row r="50" spans="4:6" x14ac:dyDescent="0.35">
      <c r="D50" s="6" t="s">
        <v>42</v>
      </c>
    </row>
    <row r="51" spans="4:6" x14ac:dyDescent="0.35">
      <c r="E51" s="20" t="s">
        <v>43</v>
      </c>
    </row>
    <row r="52" spans="4:6" x14ac:dyDescent="0.35">
      <c r="E52" s="8" t="s">
        <v>47</v>
      </c>
      <c r="F52" s="4">
        <f>F37-F33-F41-F42-F45-F46</f>
        <v>4.2300187646168649E-2</v>
      </c>
    </row>
    <row r="53" spans="4:6" x14ac:dyDescent="0.35">
      <c r="E53" s="8" t="s">
        <v>48</v>
      </c>
      <c r="F53" s="4">
        <f>F37-F33-F41-F42-F45-F46-F48</f>
        <v>1.906818764616865E-2</v>
      </c>
    </row>
    <row r="55" spans="4:6" x14ac:dyDescent="0.35">
      <c r="F55" s="21"/>
    </row>
  </sheetData>
  <mergeCells count="2">
    <mergeCell ref="E14:F14"/>
    <mergeCell ref="G14:U14"/>
  </mergeCells>
  <phoneticPr fontId="2" type="noConversion"/>
  <conditionalFormatting sqref="R16:S18 R19 P16:Q20 P21 T17 N16:O22 N23 L16:M24 L25 H16:K26 H27:J27">
    <cfRule type="colorScale" priority="3">
      <colorScale>
        <cfvo type="min"/>
        <cfvo type="max"/>
        <color rgb="FFFCFCFF"/>
        <color rgb="FFF8696B"/>
      </colorScale>
    </cfRule>
  </conditionalFormatting>
  <conditionalFormatting sqref="T16">
    <cfRule type="colorScale" priority="1">
      <colorScale>
        <cfvo type="min"/>
        <cfvo type="max"/>
        <color rgb="FFFCFCFF"/>
        <color rgb="FFF8696B"/>
      </colorScale>
    </cfRule>
  </conditionalFormatting>
  <conditionalFormatting sqref="U16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yaodyu</dc:creator>
  <cp:lastModifiedBy>张昱良-Eliam</cp:lastModifiedBy>
  <dcterms:created xsi:type="dcterms:W3CDTF">2015-06-05T18:19:34Z</dcterms:created>
  <dcterms:modified xsi:type="dcterms:W3CDTF">2026-08-02T07:13:04Z</dcterms:modified>
</cp:coreProperties>
</file>