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目录" sheetId="1" r:id="rId1"/>
    <sheet name="4.1 入催率" sheetId="2" r:id="rId2"/>
    <sheet name="4.2 催回率" sheetId="3" r:id="rId3"/>
    <sheet name="4.3 催收时效" sheetId="4" r:id="rId4"/>
    <sheet name="4.4 人均催收产能" sheetId="5" r:id="rId5"/>
    <sheet name="4.5 委外催收回收率" sheetId="6" r:id="rId6"/>
    <sheet name="4.6 催收投诉率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<sst xmlns="http://schemas.openxmlformats.org/spreadsheetml/2006/main" count="463" uniqueCount="126">
  <si>
    <t>第4章 催收指标 - 测算Sheet目录</t>
  </si>
  <si>
    <t>序号</t>
  </si>
  <si>
    <t>指标编号</t>
  </si>
  <si>
    <t>指标名称</t>
  </si>
  <si>
    <t>Sheet名称</t>
  </si>
  <si>
    <t>4.1</t>
  </si>
  <si>
    <t>催收入催率</t>
  </si>
  <si>
    <t>4.1 催收入催率(DPD1)</t>
  </si>
  <si>
    <t>4.2</t>
  </si>
  <si>
    <t>催收催回率</t>
  </si>
  <si>
    <t>4.2 催收催回率(CRR)</t>
  </si>
  <si>
    <t>4.3</t>
  </si>
  <si>
    <t>催收时效</t>
  </si>
  <si>
    <t>4.3 催收时效</t>
  </si>
  <si>
    <t>4.4</t>
  </si>
  <si>
    <t>人均催收产能</t>
  </si>
  <si>
    <t>4.4 人均催收产能</t>
  </si>
  <si>
    <t>4.5</t>
  </si>
  <si>
    <t>委外催收回收率</t>
  </si>
  <si>
    <t>4.5 委外催收回收率</t>
  </si>
  <si>
    <t>4.6</t>
  </si>
  <si>
    <t>催收投诉率</t>
  </si>
  <si>
    <t>4.6 催收投诉率</t>
  </si>
  <si>
    <t>4.1 催收入催率</t>
  </si>
  <si>
    <t>入催率 = 到期逾期总额 / 到期总金额 x 100%</t>
  </si>
  <si>
    <t>输入参数</t>
  </si>
  <si>
    <t/>
  </si>
  <si>
    <t>参数名称</t>
  </si>
  <si>
    <t>参数值</t>
  </si>
  <si>
    <t>说明</t>
  </si>
  <si>
    <t>数据来源</t>
  </si>
  <si>
    <t>到期总金额(元)</t>
  </si>
  <si>
    <t>手工输入</t>
  </si>
  <si>
    <t>业务系统</t>
  </si>
  <si>
    <t>逾期总金额(元)</t>
  </si>
  <si>
    <t>催收成功率</t>
  </si>
  <si>
    <t>计算结果</t>
  </si>
  <si>
    <t>-</t>
  </si>
  <si>
    <t>参考阈值</t>
  </si>
  <si>
    <t>参考范围</t>
  </si>
  <si>
    <t>&gt; 60%</t>
  </si>
  <si>
    <t>来源</t>
  </si>
  <si>
    <t>行业基准</t>
  </si>
  <si>
    <t>【实例0】4.1 催收入催率日常监控体系搭建</t>
  </si>
  <si>
    <t>指标</t>
  </si>
  <si>
    <t>当前值</t>
  </si>
  <si>
    <t>基准值</t>
  </si>
  <si>
    <t>预警线</t>
  </si>
  <si>
    <t>状态</t>
  </si>
  <si>
    <t>正常范围</t>
  </si>
  <si>
    <t>设定基准</t>
  </si>
  <si>
    <t>上下限</t>
  </si>
  <si>
    <t>监控中</t>
  </si>
  <si>
    <t>【实例1】4.1 催收入催率异常波动排查</t>
  </si>
  <si>
    <t>日期/维度</t>
  </si>
  <si>
    <t>4.1 催收成功率</t>
  </si>
  <si>
    <t>环比变化</t>
  </si>
  <si>
    <t>绝对变化</t>
  </si>
  <si>
    <t>基准</t>
  </si>
  <si>
    <t>正常</t>
  </si>
  <si>
    <t>Day 1</t>
  </si>
  <si>
    <t>偏离+</t>
  </si>
  <si>
    <t>上升</t>
  </si>
  <si>
    <t>关注</t>
  </si>
  <si>
    <t>Day 2</t>
  </si>
  <si>
    <t>偏离++</t>
  </si>
  <si>
    <t>大幅上升</t>
  </si>
  <si>
    <t>预警</t>
  </si>
  <si>
    <t>Day 3</t>
  </si>
  <si>
    <t>恢复</t>
  </si>
  <si>
    <t>回落</t>
  </si>
  <si>
    <t>【实例2】4.1 催收入催率策略优化效果验证</t>
  </si>
  <si>
    <t>策略前</t>
  </si>
  <si>
    <t>策略后(1周)</t>
  </si>
  <si>
    <t>策略后(2周)</t>
  </si>
  <si>
    <t>目标</t>
  </si>
  <si>
    <t>基线值</t>
  </si>
  <si>
    <t>观察值1</t>
  </si>
  <si>
    <t>观察值2</t>
  </si>
  <si>
    <t>目标值</t>
  </si>
  <si>
    <t>4.2 催收催回率</t>
  </si>
  <si>
    <t>CRR7= 逾期7天内回收总额 / 逾期总金额*100%</t>
  </si>
  <si>
    <t>CRR30= 逾期30天内回收总额 / 逾期总金额*100%</t>
  </si>
  <si>
    <t xml:space="preserve">逾期7天内回收总额 </t>
  </si>
  <si>
    <t>逾期总金额</t>
  </si>
  <si>
    <t>Cure Rate</t>
  </si>
  <si>
    <t>&gt; 40%</t>
  </si>
  <si>
    <t>【实例1】4.2 CRR日常监控体系搭建</t>
  </si>
  <si>
    <t>4.2 CRR</t>
  </si>
  <si>
    <t>【实例1】4.2 CRR异常波动排查</t>
  </si>
  <si>
    <t>4.2 Cure Rate</t>
  </si>
  <si>
    <t>【实例2】4.2 CRR策略优化效果验证</t>
  </si>
  <si>
    <t>催收时效 = 逾期首催平均天数</t>
  </si>
  <si>
    <t>M1逾期总件数</t>
  </si>
  <si>
    <t>1天内首催件数</t>
  </si>
  <si>
    <t>3天内首催件数</t>
  </si>
  <si>
    <t>1天内首催率</t>
  </si>
  <si>
    <t>3天内首催率</t>
  </si>
  <si>
    <t>&lt; 3天</t>
  </si>
  <si>
    <t>【实例0】4.3 催收时效日常监控体系搭建</t>
  </si>
  <si>
    <t>【实例1】4.3 催收时效异常波动排查</t>
  </si>
  <si>
    <t>【实例2】4.3 催收时效策略优化效果验证</t>
  </si>
  <si>
    <t>人均产能 = 催收回款总额 / 催收员人数</t>
  </si>
  <si>
    <t>催收回款总额(元)</t>
  </si>
  <si>
    <t>催收员人数</t>
  </si>
  <si>
    <t>人均月产能(元)</t>
  </si>
  <si>
    <t>请参考指标体系文档</t>
  </si>
  <si>
    <t>【实例0】4.4 人均催收产能日常监控体系搭建</t>
  </si>
  <si>
    <t>【实例1】4.4 人均催收产能异常波动排查</t>
  </si>
  <si>
    <t>【实例2】4.4 人均催收产能策略优化效果验证</t>
  </si>
  <si>
    <t>委外回收率 = 委外回收金额 / 委外总金额 x 100%</t>
  </si>
  <si>
    <t>委外催收总额(元)</t>
  </si>
  <si>
    <t>委外回收金额(元)</t>
  </si>
  <si>
    <t>委外回收率</t>
  </si>
  <si>
    <t>&gt; 20%</t>
  </si>
  <si>
    <t>【实例0】4.5 委外催收回收率日常监控体系搭建</t>
  </si>
  <si>
    <t>【实例1】4.5 委外催收回收率异常波动排查</t>
  </si>
  <si>
    <t>【实例2】4.5 委外催收回收率策略优化效果验证</t>
  </si>
  <si>
    <t>催收投诉率 = 催收投诉件数 / 总催收件数 x 100%</t>
  </si>
  <si>
    <t>总催收件数</t>
  </si>
  <si>
    <t>催收投诉件数</t>
  </si>
  <si>
    <t>* 也可以算用户维度</t>
  </si>
  <si>
    <t>&lt; 1%</t>
  </si>
  <si>
    <t>【实例0】4.6 催收投诉率日常监控体系搭建</t>
  </si>
  <si>
    <t>【实例1】4.6 催收投诉率异常波动排查</t>
  </si>
  <si>
    <t>【实例2】4.6 催收投诉率策略优化效果验证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</si>
</sst>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0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i/>
      <sz val="9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sz val="9"/>
      <color rgb="FFFF0000"/>
      <name val="宋体"/>
      <charset val="134"/>
      <scheme val="minor"/>
    </font>
    <font>
      <b/>
      <sz val="11"/>
      <color rgb="FF1F4E79"/>
      <name val="微软雅黑"/>
      <charset val="134"/>
    </font>
    <font>
      <b/>
      <sz val="9.5"/>
      <color rgb="FFFFFFFF"/>
      <name val="微软雅黑"/>
      <charset val="134"/>
    </font>
    <font>
      <sz val="9"/>
      <color theme="1"/>
      <name val="微软雅黑"/>
      <charset val="134"/>
    </font>
    <font>
      <b/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6" borderId="2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7" borderId="3" xfId="0" applyFont="1" applyFill="1" applyBorder="1" applyAlignment="1">
      <alignment horizontal="center" vertical="top" wrapText="1"/>
    </xf>
    <xf numFmtId="9" fontId="9" fillId="7" borderId="3" xfId="0" applyNumberFormat="1" applyFont="1" applyFill="1" applyBorder="1" applyAlignment="1">
      <alignment horizontal="center" vertical="top" wrapText="1"/>
    </xf>
    <xf numFmtId="9" fontId="9" fillId="0" borderId="3" xfId="0" applyNumberFormat="1" applyFont="1" applyBorder="1" applyAlignment="1">
      <alignment horizontal="center" vertical="top" wrapText="1"/>
    </xf>
    <xf numFmtId="176" fontId="3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6" sqref="D6"/>
    </sheetView>
  </sheetViews>
  <sheetFormatPr defaultColWidth="9" defaultRowHeight="14" outlineLevelCol="3"/>
  <cols>
    <col min="1" max="1" width="8" customWidth="1"/>
    <col min="2" max="2" width="12" customWidth="1"/>
    <col min="3" max="3" width="25" customWidth="1"/>
    <col min="4" max="4" width="30" customWidth="1"/>
  </cols>
  <sheetData>
    <row r="1" ht="20" spans="1:4">
      <c r="A1" s="1" t="s">
        <v>0</v>
      </c>
    </row>
    <row r="3" ht="14.5" spans="1:4">
      <c r="A3" s="5" t="s">
        <v>1</v>
      </c>
      <c r="B3" s="5" t="s">
        <v>2</v>
      </c>
      <c r="C3" s="5" t="s">
        <v>3</v>
      </c>
      <c r="D3" s="5" t="s">
        <v>4</v>
      </c>
    </row>
    <row r="4" ht="14.5" spans="1:4">
      <c r="A4" s="13">
        <v>1</v>
      </c>
      <c r="B4" s="13" t="s">
        <v>5</v>
      </c>
      <c r="C4" s="13" t="s">
        <v>6</v>
      </c>
      <c r="D4" s="13" t="s">
        <v>7</v>
      </c>
    </row>
    <row r="5" ht="14.5" spans="1:4">
      <c r="A5" s="13">
        <v>2</v>
      </c>
      <c r="B5" s="13" t="s">
        <v>8</v>
      </c>
      <c r="C5" s="13" t="s">
        <v>9</v>
      </c>
      <c r="D5" s="13" t="s">
        <v>10</v>
      </c>
    </row>
    <row r="6" ht="14.5" spans="1:4">
      <c r="A6" s="13">
        <v>3</v>
      </c>
      <c r="B6" s="13" t="s">
        <v>11</v>
      </c>
      <c r="C6" s="13" t="s">
        <v>12</v>
      </c>
      <c r="D6" s="13" t="s">
        <v>13</v>
      </c>
    </row>
    <row r="7" ht="14.5" spans="1:4">
      <c r="A7" s="13">
        <v>4</v>
      </c>
      <c r="B7" s="13" t="s">
        <v>14</v>
      </c>
      <c r="C7" s="13" t="s">
        <v>15</v>
      </c>
      <c r="D7" s="13" t="s">
        <v>16</v>
      </c>
    </row>
    <row r="8" ht="14.5" spans="1:4">
      <c r="A8" s="13">
        <v>5</v>
      </c>
      <c r="B8" s="13" t="s">
        <v>17</v>
      </c>
      <c r="C8" s="13" t="s">
        <v>18</v>
      </c>
      <c r="D8" s="13" t="s">
        <v>19</v>
      </c>
    </row>
    <row r="9" ht="14.5" spans="1:4">
      <c r="A9" s="13">
        <v>6</v>
      </c>
      <c r="B9" s="13" t="s">
        <v>20</v>
      </c>
      <c r="C9" s="13" t="s">
        <v>21</v>
      </c>
      <c r="D9" s="13" t="s">
        <v>22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pane ySplit="5" topLeftCell="A6" activePane="bottomLeft" state="frozen"/>
      <selection/>
      <selection pane="bottomLeft" activeCell="I3" sqref="I3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23</v>
      </c>
    </row>
    <row r="2" spans="1:5">
      <c r="A2" s="2" t="s">
        <v>24</v>
      </c>
    </row>
    <row r="4" ht="14.5" spans="1:5">
      <c r="A4" s="3" t="s">
        <v>25</v>
      </c>
      <c r="B4" s="4" t="s">
        <v>26</v>
      </c>
      <c r="C4" s="4" t="s">
        <v>26</v>
      </c>
      <c r="D4" s="4" t="s">
        <v>26</v>
      </c>
    </row>
    <row r="5" ht="14.5" spans="1:5">
      <c r="A5" s="5" t="s">
        <v>27</v>
      </c>
      <c r="B5" s="5" t="s">
        <v>28</v>
      </c>
      <c r="C5" s="5" t="s">
        <v>29</v>
      </c>
      <c r="D5" s="5" t="s">
        <v>30</v>
      </c>
    </row>
    <row r="6" ht="14.5" spans="1:5">
      <c r="A6" s="6" t="s">
        <v>31</v>
      </c>
      <c r="B6" s="4">
        <v>50000000</v>
      </c>
      <c r="C6" s="4" t="s">
        <v>32</v>
      </c>
      <c r="D6" s="4" t="s">
        <v>33</v>
      </c>
    </row>
    <row r="7" ht="14.5" spans="1:5">
      <c r="A7" s="6" t="s">
        <v>34</v>
      </c>
      <c r="B7" s="4">
        <v>2800000</v>
      </c>
      <c r="C7" s="4" t="s">
        <v>32</v>
      </c>
      <c r="D7" s="4" t="s">
        <v>33</v>
      </c>
    </row>
    <row r="8" ht="14.5" spans="1:5">
      <c r="A8" s="7" t="s">
        <v>35</v>
      </c>
      <c r="B8" s="20">
        <f>B7/B6</f>
        <v>0.056</v>
      </c>
      <c r="C8" s="9" t="s">
        <v>36</v>
      </c>
      <c r="D8" s="9" t="s">
        <v>37</v>
      </c>
    </row>
    <row r="10" ht="14.5" spans="1:5">
      <c r="A10" s="11" t="s">
        <v>38</v>
      </c>
      <c r="B10" s="12" t="s">
        <v>26</v>
      </c>
      <c r="C10" s="12" t="s">
        <v>26</v>
      </c>
      <c r="D10" s="12" t="s">
        <v>26</v>
      </c>
    </row>
    <row r="11" ht="14.5" spans="1:5">
      <c r="A11" s="13" t="s">
        <v>39</v>
      </c>
      <c r="B11" s="13" t="s">
        <v>40</v>
      </c>
      <c r="C11" s="13" t="s">
        <v>41</v>
      </c>
      <c r="D11" s="13" t="s">
        <v>42</v>
      </c>
    </row>
    <row r="13" ht="17.25" spans="1:5">
      <c r="A13" s="14" t="s">
        <v>43</v>
      </c>
    </row>
    <row r="14" ht="14.75" spans="1:5">
      <c r="A14" s="15" t="s">
        <v>44</v>
      </c>
      <c r="B14" s="15" t="s">
        <v>45</v>
      </c>
      <c r="C14" s="15" t="s">
        <v>46</v>
      </c>
      <c r="D14" s="15" t="s">
        <v>47</v>
      </c>
      <c r="E14" s="15" t="s">
        <v>48</v>
      </c>
    </row>
    <row r="15" ht="14.75" spans="1:5">
      <c r="A15" s="16" t="s">
        <v>23</v>
      </c>
      <c r="B15" s="16" t="s">
        <v>49</v>
      </c>
      <c r="C15" s="16" t="s">
        <v>50</v>
      </c>
      <c r="D15" s="16" t="s">
        <v>51</v>
      </c>
      <c r="E15" s="16" t="s">
        <v>52</v>
      </c>
    </row>
    <row r="17" ht="17.25" spans="1:5">
      <c r="A17" s="14" t="s">
        <v>53</v>
      </c>
    </row>
    <row r="18" ht="14.75" spans="1:5">
      <c r="A18" s="15" t="s">
        <v>54</v>
      </c>
      <c r="B18" s="15" t="s">
        <v>55</v>
      </c>
      <c r="C18" s="15" t="s">
        <v>56</v>
      </c>
      <c r="D18" s="15" t="s">
        <v>57</v>
      </c>
      <c r="E18" s="15" t="s">
        <v>48</v>
      </c>
    </row>
    <row r="19" ht="14.75" spans="1:5">
      <c r="A19" s="16" t="s">
        <v>58</v>
      </c>
      <c r="B19" s="16" t="s">
        <v>46</v>
      </c>
      <c r="C19" s="16" t="s">
        <v>37</v>
      </c>
      <c r="D19" s="16" t="s">
        <v>37</v>
      </c>
      <c r="E19" s="16" t="s">
        <v>59</v>
      </c>
    </row>
    <row r="20" ht="14.75" spans="1:5">
      <c r="A20" s="17" t="s">
        <v>60</v>
      </c>
      <c r="B20" s="17" t="s">
        <v>61</v>
      </c>
      <c r="C20" s="18">
        <v>0.05</v>
      </c>
      <c r="D20" s="17" t="s">
        <v>62</v>
      </c>
      <c r="E20" s="17" t="s">
        <v>63</v>
      </c>
    </row>
    <row r="21" ht="14.75" spans="1:5">
      <c r="A21" s="16" t="s">
        <v>64</v>
      </c>
      <c r="B21" s="16" t="s">
        <v>65</v>
      </c>
      <c r="C21" s="19">
        <v>0.12</v>
      </c>
      <c r="D21" s="16" t="s">
        <v>66</v>
      </c>
      <c r="E21" s="16" t="s">
        <v>67</v>
      </c>
    </row>
    <row r="22" ht="14.75" spans="1:5">
      <c r="A22" s="17" t="s">
        <v>68</v>
      </c>
      <c r="B22" s="17" t="s">
        <v>69</v>
      </c>
      <c r="C22" s="18">
        <v>-0.03</v>
      </c>
      <c r="D22" s="17" t="s">
        <v>70</v>
      </c>
      <c r="E22" s="17" t="s">
        <v>59</v>
      </c>
    </row>
    <row r="24" ht="17.25" spans="1:5">
      <c r="A24" s="14" t="s">
        <v>71</v>
      </c>
    </row>
    <row r="25" ht="14.75" spans="1:5">
      <c r="A25" s="15" t="s">
        <v>44</v>
      </c>
      <c r="B25" s="15" t="s">
        <v>72</v>
      </c>
      <c r="C25" s="15" t="s">
        <v>73</v>
      </c>
      <c r="D25" s="15" t="s">
        <v>74</v>
      </c>
      <c r="E25" s="15" t="s">
        <v>75</v>
      </c>
    </row>
    <row r="26" ht="14.75" spans="1:5">
      <c r="A26" s="16" t="s">
        <v>55</v>
      </c>
      <c r="B26" s="16" t="s">
        <v>76</v>
      </c>
      <c r="C26" s="16" t="s">
        <v>77</v>
      </c>
      <c r="D26" s="16" t="s">
        <v>78</v>
      </c>
      <c r="E26" s="16" t="s">
        <v>79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{d3359268-e6d6-441f-bcb6-e1362a680b9e}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359268-e6d6-441f-bcb6-e1362a680b9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pane ySplit="6" topLeftCell="A7" activePane="bottomLeft" state="frozen"/>
      <selection/>
      <selection pane="bottomLeft" activeCell="D4" sqref="D4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80</v>
      </c>
    </row>
    <row r="2" spans="1:5">
      <c r="A2" s="2" t="s">
        <v>81</v>
      </c>
    </row>
    <row r="3" spans="1:5">
      <c r="A3" s="2" t="s">
        <v>82</v>
      </c>
    </row>
    <row r="5" ht="14.5" spans="1:5">
      <c r="A5" s="3" t="s">
        <v>25</v>
      </c>
      <c r="B5" s="4" t="s">
        <v>26</v>
      </c>
      <c r="C5" s="4" t="s">
        <v>26</v>
      </c>
      <c r="D5" s="4" t="s">
        <v>26</v>
      </c>
    </row>
    <row r="6" ht="14.5" spans="1:5">
      <c r="A6" s="5" t="s">
        <v>27</v>
      </c>
      <c r="B6" s="5" t="s">
        <v>28</v>
      </c>
      <c r="C6" s="5" t="s">
        <v>29</v>
      </c>
      <c r="D6" s="5" t="s">
        <v>30</v>
      </c>
    </row>
    <row r="7" ht="14.5" spans="1:5">
      <c r="A7" s="6" t="s">
        <v>83</v>
      </c>
      <c r="B7" s="4">
        <v>1000</v>
      </c>
      <c r="C7" s="4" t="s">
        <v>32</v>
      </c>
      <c r="D7" s="4" t="s">
        <v>33</v>
      </c>
    </row>
    <row r="8" ht="14.5" spans="1:5">
      <c r="A8" s="6" t="s">
        <v>84</v>
      </c>
      <c r="B8" s="4">
        <v>420</v>
      </c>
      <c r="C8" s="4" t="s">
        <v>32</v>
      </c>
      <c r="D8" s="4" t="s">
        <v>33</v>
      </c>
    </row>
    <row r="9" ht="14.5" spans="1:5">
      <c r="A9" s="7" t="s">
        <v>85</v>
      </c>
      <c r="B9" s="20">
        <f>B8/B7</f>
        <v>0.42</v>
      </c>
      <c r="C9" s="9" t="s">
        <v>36</v>
      </c>
      <c r="D9" s="9" t="s">
        <v>37</v>
      </c>
    </row>
    <row r="11" ht="14.5" spans="1:5">
      <c r="A11" s="11" t="s">
        <v>38</v>
      </c>
      <c r="B11" s="12" t="s">
        <v>26</v>
      </c>
      <c r="C11" s="12" t="s">
        <v>26</v>
      </c>
      <c r="D11" s="12" t="s">
        <v>26</v>
      </c>
    </row>
    <row r="12" ht="14.5" spans="1:5">
      <c r="A12" s="13" t="s">
        <v>39</v>
      </c>
      <c r="B12" s="13" t="s">
        <v>86</v>
      </c>
      <c r="C12" s="13" t="s">
        <v>41</v>
      </c>
      <c r="D12" s="13" t="s">
        <v>42</v>
      </c>
    </row>
    <row r="14" ht="17.25" spans="1:5">
      <c r="A14" s="14" t="s">
        <v>87</v>
      </c>
    </row>
    <row r="15" ht="14.75" spans="1:5">
      <c r="A15" s="15" t="s">
        <v>44</v>
      </c>
      <c r="B15" s="15" t="s">
        <v>45</v>
      </c>
      <c r="C15" s="15" t="s">
        <v>46</v>
      </c>
      <c r="D15" s="15" t="s">
        <v>47</v>
      </c>
      <c r="E15" s="15" t="s">
        <v>48</v>
      </c>
    </row>
    <row r="16" ht="14.75" spans="1:5">
      <c r="A16" s="16" t="s">
        <v>88</v>
      </c>
      <c r="B16" s="16" t="s">
        <v>49</v>
      </c>
      <c r="C16" s="16" t="s">
        <v>50</v>
      </c>
      <c r="D16" s="16" t="s">
        <v>51</v>
      </c>
      <c r="E16" s="16" t="s">
        <v>52</v>
      </c>
    </row>
    <row r="18" ht="17.25" spans="1:5">
      <c r="A18" s="14" t="s">
        <v>89</v>
      </c>
    </row>
    <row r="19" ht="14.75" spans="1:5">
      <c r="A19" s="15" t="s">
        <v>54</v>
      </c>
      <c r="B19" s="15" t="s">
        <v>90</v>
      </c>
      <c r="C19" s="15" t="s">
        <v>56</v>
      </c>
      <c r="D19" s="15" t="s">
        <v>57</v>
      </c>
      <c r="E19" s="15" t="s">
        <v>48</v>
      </c>
    </row>
    <row r="20" ht="14.75" spans="1:5">
      <c r="A20" s="16" t="s">
        <v>58</v>
      </c>
      <c r="B20" s="16" t="s">
        <v>46</v>
      </c>
      <c r="C20" s="16" t="s">
        <v>37</v>
      </c>
      <c r="D20" s="16" t="s">
        <v>37</v>
      </c>
      <c r="E20" s="16" t="s">
        <v>59</v>
      </c>
    </row>
    <row r="21" ht="14.75" spans="1:5">
      <c r="A21" s="17" t="s">
        <v>60</v>
      </c>
      <c r="B21" s="17" t="s">
        <v>61</v>
      </c>
      <c r="C21" s="18">
        <v>-0.05</v>
      </c>
      <c r="D21" s="17" t="s">
        <v>62</v>
      </c>
      <c r="E21" s="17" t="s">
        <v>63</v>
      </c>
    </row>
    <row r="22" ht="14.75" spans="1:5">
      <c r="A22" s="16" t="s">
        <v>64</v>
      </c>
      <c r="B22" s="16" t="s">
        <v>65</v>
      </c>
      <c r="C22" s="19">
        <v>-0.12</v>
      </c>
      <c r="D22" s="16" t="s">
        <v>66</v>
      </c>
      <c r="E22" s="16" t="s">
        <v>67</v>
      </c>
    </row>
    <row r="23" ht="14.75" spans="1:5">
      <c r="A23" s="17" t="s">
        <v>68</v>
      </c>
      <c r="B23" s="17" t="s">
        <v>69</v>
      </c>
      <c r="C23" s="18">
        <v>0.03</v>
      </c>
      <c r="D23" s="17" t="s">
        <v>70</v>
      </c>
      <c r="E23" s="17" t="s">
        <v>59</v>
      </c>
    </row>
    <row r="25" ht="17.25" spans="1:5">
      <c r="A25" s="14" t="s">
        <v>91</v>
      </c>
    </row>
    <row r="26" ht="14.75" spans="1:5">
      <c r="A26" s="15" t="s">
        <v>44</v>
      </c>
      <c r="B26" s="15" t="s">
        <v>72</v>
      </c>
      <c r="C26" s="15" t="s">
        <v>73</v>
      </c>
      <c r="D26" s="15" t="s">
        <v>74</v>
      </c>
      <c r="E26" s="15" t="s">
        <v>75</v>
      </c>
    </row>
    <row r="27" ht="14.75" spans="1:5">
      <c r="A27" s="16" t="s">
        <v>88</v>
      </c>
      <c r="B27" s="16" t="s">
        <v>76</v>
      </c>
      <c r="C27" s="16" t="s">
        <v>77</v>
      </c>
      <c r="D27" s="16" t="s">
        <v>78</v>
      </c>
      <c r="E27" s="16" t="s">
        <v>79</v>
      </c>
    </row>
  </sheetData>
  <mergeCells count="3">
    <mergeCell ref="A1:D1"/>
    <mergeCell ref="A2:D2"/>
    <mergeCell ref="A3:D3"/>
  </mergeCells>
  <conditionalFormatting sqref="B9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{fbca12c2-79ba-49b0-95fa-ad5a213b7008}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ca12c2-79ba-49b0-95fa-ad5a213b700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5" topLeftCell="A9" activePane="bottomLeft" state="frozen"/>
      <selection/>
      <selection pane="bottomLeft" activeCell="A29" sqref="A29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13</v>
      </c>
    </row>
    <row r="2" spans="1:5">
      <c r="A2" s="2" t="s">
        <v>92</v>
      </c>
    </row>
    <row r="4" ht="14.5" spans="1:5">
      <c r="A4" s="3" t="s">
        <v>25</v>
      </c>
      <c r="B4" s="4" t="s">
        <v>26</v>
      </c>
      <c r="C4" s="4" t="s">
        <v>26</v>
      </c>
      <c r="D4" s="4" t="s">
        <v>26</v>
      </c>
    </row>
    <row r="5" ht="14.5" spans="1:5">
      <c r="A5" s="5" t="s">
        <v>27</v>
      </c>
      <c r="B5" s="5" t="s">
        <v>28</v>
      </c>
      <c r="C5" s="5" t="s">
        <v>29</v>
      </c>
      <c r="D5" s="5" t="s">
        <v>30</v>
      </c>
    </row>
    <row r="6" ht="14.5" spans="1:5">
      <c r="A6" s="6" t="s">
        <v>93</v>
      </c>
      <c r="B6" s="4">
        <v>800</v>
      </c>
      <c r="C6" s="4" t="s">
        <v>32</v>
      </c>
      <c r="D6" s="4" t="s">
        <v>33</v>
      </c>
    </row>
    <row r="7" ht="14.5" spans="1:5">
      <c r="A7" s="6" t="s">
        <v>94</v>
      </c>
      <c r="B7" s="4">
        <v>560</v>
      </c>
      <c r="C7" s="4" t="s">
        <v>32</v>
      </c>
      <c r="D7" s="4" t="s">
        <v>33</v>
      </c>
    </row>
    <row r="8" ht="14.5" spans="1:5">
      <c r="A8" s="6" t="s">
        <v>95</v>
      </c>
      <c r="B8" s="4">
        <v>720</v>
      </c>
      <c r="C8" s="4" t="s">
        <v>32</v>
      </c>
      <c r="D8" s="4" t="s">
        <v>33</v>
      </c>
    </row>
    <row r="9" ht="14.5" spans="1:5">
      <c r="A9" s="7" t="s">
        <v>96</v>
      </c>
      <c r="B9" s="20">
        <f>B7/B6</f>
        <v>0.7</v>
      </c>
      <c r="C9" s="9" t="s">
        <v>36</v>
      </c>
      <c r="D9" s="9" t="s">
        <v>37</v>
      </c>
    </row>
    <row r="10" ht="14.5" spans="1:5">
      <c r="A10" s="7" t="s">
        <v>97</v>
      </c>
      <c r="B10" s="20">
        <f>B8/B6</f>
        <v>0.9</v>
      </c>
      <c r="C10" s="9" t="s">
        <v>36</v>
      </c>
      <c r="D10" s="9" t="s">
        <v>37</v>
      </c>
    </row>
    <row r="12" ht="14.5" spans="1:5">
      <c r="A12" s="11" t="s">
        <v>38</v>
      </c>
      <c r="B12" s="12" t="s">
        <v>26</v>
      </c>
      <c r="C12" s="12" t="s">
        <v>26</v>
      </c>
      <c r="D12" s="12" t="s">
        <v>26</v>
      </c>
    </row>
    <row r="13" ht="14.5" spans="1:5">
      <c r="A13" s="13" t="s">
        <v>39</v>
      </c>
      <c r="B13" s="13" t="s">
        <v>98</v>
      </c>
      <c r="C13" s="13" t="s">
        <v>41</v>
      </c>
      <c r="D13" s="13" t="s">
        <v>42</v>
      </c>
    </row>
    <row r="15" ht="17.25" spans="1:5">
      <c r="A15" s="14" t="s">
        <v>99</v>
      </c>
    </row>
    <row r="16" ht="14.75" spans="1:5">
      <c r="A16" s="15" t="s">
        <v>44</v>
      </c>
      <c r="B16" s="15" t="s">
        <v>45</v>
      </c>
      <c r="C16" s="15" t="s">
        <v>46</v>
      </c>
      <c r="D16" s="15" t="s">
        <v>47</v>
      </c>
      <c r="E16" s="15" t="s">
        <v>48</v>
      </c>
    </row>
    <row r="17" ht="14.75" spans="1:5">
      <c r="A17" s="16" t="s">
        <v>13</v>
      </c>
      <c r="B17" s="16" t="s">
        <v>49</v>
      </c>
      <c r="C17" s="16" t="s">
        <v>50</v>
      </c>
      <c r="D17" s="16" t="s">
        <v>51</v>
      </c>
      <c r="E17" s="16" t="s">
        <v>52</v>
      </c>
    </row>
    <row r="19" ht="17.25" spans="1:5">
      <c r="A19" s="14" t="s">
        <v>100</v>
      </c>
    </row>
    <row r="20" ht="14.75" spans="1:5">
      <c r="A20" s="15" t="s">
        <v>54</v>
      </c>
      <c r="B20" s="15" t="s">
        <v>13</v>
      </c>
      <c r="C20" s="15" t="s">
        <v>56</v>
      </c>
      <c r="D20" s="15" t="s">
        <v>57</v>
      </c>
      <c r="E20" s="15" t="s">
        <v>48</v>
      </c>
    </row>
    <row r="21" ht="14.75" spans="1:5">
      <c r="A21" s="16" t="s">
        <v>58</v>
      </c>
      <c r="B21" s="16" t="s">
        <v>46</v>
      </c>
      <c r="C21" s="16" t="s">
        <v>37</v>
      </c>
      <c r="D21" s="16" t="s">
        <v>37</v>
      </c>
      <c r="E21" s="16" t="s">
        <v>59</v>
      </c>
    </row>
    <row r="22" ht="14.75" spans="1:5">
      <c r="A22" s="17" t="s">
        <v>60</v>
      </c>
      <c r="B22" s="17" t="s">
        <v>61</v>
      </c>
      <c r="C22" s="18">
        <v>0.05</v>
      </c>
      <c r="D22" s="17" t="s">
        <v>62</v>
      </c>
      <c r="E22" s="17" t="s">
        <v>63</v>
      </c>
    </row>
    <row r="23" ht="14.75" spans="1:5">
      <c r="A23" s="16" t="s">
        <v>64</v>
      </c>
      <c r="B23" s="16" t="s">
        <v>65</v>
      </c>
      <c r="C23" s="19">
        <v>0.12</v>
      </c>
      <c r="D23" s="16" t="s">
        <v>66</v>
      </c>
      <c r="E23" s="16" t="s">
        <v>67</v>
      </c>
    </row>
    <row r="24" ht="14.75" spans="1:5">
      <c r="A24" s="17" t="s">
        <v>68</v>
      </c>
      <c r="B24" s="17" t="s">
        <v>69</v>
      </c>
      <c r="C24" s="18">
        <v>-0.03</v>
      </c>
      <c r="D24" s="17" t="s">
        <v>70</v>
      </c>
      <c r="E24" s="17" t="s">
        <v>59</v>
      </c>
    </row>
    <row r="26" ht="17.25" spans="1:5">
      <c r="A26" s="14" t="s">
        <v>101</v>
      </c>
    </row>
    <row r="27" ht="14.75" spans="1:5">
      <c r="A27" s="15" t="s">
        <v>44</v>
      </c>
      <c r="B27" s="15" t="s">
        <v>72</v>
      </c>
      <c r="C27" s="15" t="s">
        <v>73</v>
      </c>
      <c r="D27" s="15" t="s">
        <v>74</v>
      </c>
      <c r="E27" s="15" t="s">
        <v>75</v>
      </c>
    </row>
    <row r="28" ht="14.75" spans="1:5">
      <c r="A28" s="16" t="s">
        <v>13</v>
      </c>
      <c r="B28" s="16" t="s">
        <v>76</v>
      </c>
      <c r="C28" s="16" t="s">
        <v>77</v>
      </c>
      <c r="D28" s="16" t="s">
        <v>78</v>
      </c>
      <c r="E28" s="16" t="s">
        <v>79</v>
      </c>
    </row>
    <row r="29" ht="15" spans="1:5">
      <c r="A29" s="22"/>
    </row>
  </sheetData>
  <mergeCells count="2">
    <mergeCell ref="A1:D1"/>
    <mergeCell ref="A2:D2"/>
  </mergeCells>
  <conditionalFormatting sqref="B10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{18b4344a-8a47-4f5f-8b3b-9f0e5c1033b5}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b4344a-8a47-4f5f-8b3b-9f0e5c1033b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pane ySplit="5" topLeftCell="A15" activePane="bottomLeft" state="frozen"/>
      <selection/>
      <selection pane="bottomLeft" activeCell="A26" sqref="A26:E27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16</v>
      </c>
    </row>
    <row r="2" spans="1:5">
      <c r="A2" s="2" t="s">
        <v>102</v>
      </c>
    </row>
    <row r="4" ht="14.5" spans="1:5">
      <c r="A4" s="3" t="s">
        <v>25</v>
      </c>
      <c r="B4" s="4" t="s">
        <v>26</v>
      </c>
      <c r="C4" s="4" t="s">
        <v>26</v>
      </c>
      <c r="D4" s="4" t="s">
        <v>26</v>
      </c>
    </row>
    <row r="5" ht="14.5" spans="1:5">
      <c r="A5" s="5" t="s">
        <v>27</v>
      </c>
      <c r="B5" s="5" t="s">
        <v>28</v>
      </c>
      <c r="C5" s="5" t="s">
        <v>29</v>
      </c>
      <c r="D5" s="5" t="s">
        <v>30</v>
      </c>
    </row>
    <row r="6" ht="14.5" spans="1:5">
      <c r="A6" s="6" t="s">
        <v>103</v>
      </c>
      <c r="B6" s="4">
        <v>2800000</v>
      </c>
      <c r="C6" s="4" t="s">
        <v>32</v>
      </c>
      <c r="D6" s="4" t="s">
        <v>33</v>
      </c>
    </row>
    <row r="7" ht="14.5" spans="1:5">
      <c r="A7" s="6" t="s">
        <v>104</v>
      </c>
      <c r="B7" s="4">
        <v>35</v>
      </c>
      <c r="C7" s="4" t="s">
        <v>32</v>
      </c>
      <c r="D7" s="4" t="s">
        <v>33</v>
      </c>
    </row>
    <row r="8" ht="14.5" spans="1:5">
      <c r="A8" s="7" t="s">
        <v>105</v>
      </c>
      <c r="B8" s="21">
        <f>B6/B7</f>
        <v>80000</v>
      </c>
      <c r="C8" s="9" t="s">
        <v>36</v>
      </c>
      <c r="D8" s="9" t="s">
        <v>37</v>
      </c>
    </row>
    <row r="10" ht="14.5" spans="1:5">
      <c r="A10" s="11" t="s">
        <v>38</v>
      </c>
      <c r="B10" s="12" t="s">
        <v>26</v>
      </c>
      <c r="C10" s="12" t="s">
        <v>26</v>
      </c>
      <c r="D10" s="12" t="s">
        <v>26</v>
      </c>
    </row>
    <row r="11" ht="14.5" spans="1:5">
      <c r="A11" s="13" t="s">
        <v>39</v>
      </c>
      <c r="B11" s="13" t="s">
        <v>106</v>
      </c>
      <c r="C11" s="13" t="s">
        <v>41</v>
      </c>
      <c r="D11" s="13" t="s">
        <v>42</v>
      </c>
    </row>
    <row r="14" ht="17.25" spans="1:5">
      <c r="A14" s="14" t="s">
        <v>107</v>
      </c>
    </row>
    <row r="15" ht="14.75" spans="1:5">
      <c r="A15" s="15" t="s">
        <v>44</v>
      </c>
      <c r="B15" s="15" t="s">
        <v>45</v>
      </c>
      <c r="C15" s="15" t="s">
        <v>46</v>
      </c>
      <c r="D15" s="15" t="s">
        <v>47</v>
      </c>
      <c r="E15" s="15" t="s">
        <v>48</v>
      </c>
    </row>
    <row r="16" ht="14.75" spans="1:5">
      <c r="A16" s="16" t="s">
        <v>16</v>
      </c>
      <c r="B16" s="16" t="s">
        <v>49</v>
      </c>
      <c r="C16" s="16" t="s">
        <v>50</v>
      </c>
      <c r="D16" s="16" t="s">
        <v>51</v>
      </c>
      <c r="E16" s="16" t="s">
        <v>52</v>
      </c>
    </row>
    <row r="18" ht="17.25" spans="1:5">
      <c r="A18" s="14" t="s">
        <v>108</v>
      </c>
    </row>
    <row r="19" ht="14.75" spans="1:5">
      <c r="A19" s="15" t="s">
        <v>54</v>
      </c>
      <c r="B19" s="15" t="s">
        <v>16</v>
      </c>
      <c r="C19" s="15" t="s">
        <v>56</v>
      </c>
      <c r="D19" s="15" t="s">
        <v>57</v>
      </c>
      <c r="E19" s="15" t="s">
        <v>48</v>
      </c>
    </row>
    <row r="20" ht="14.75" spans="1:5">
      <c r="A20" s="16" t="s">
        <v>58</v>
      </c>
      <c r="B20" s="16" t="s">
        <v>46</v>
      </c>
      <c r="C20" s="16" t="s">
        <v>37</v>
      </c>
      <c r="D20" s="16" t="s">
        <v>37</v>
      </c>
      <c r="E20" s="16" t="s">
        <v>59</v>
      </c>
    </row>
    <row r="21" ht="14.75" spans="1:5">
      <c r="A21" s="17" t="s">
        <v>60</v>
      </c>
      <c r="B21" s="17" t="s">
        <v>61</v>
      </c>
      <c r="C21" s="18">
        <v>0.05</v>
      </c>
      <c r="D21" s="17" t="s">
        <v>62</v>
      </c>
      <c r="E21" s="17" t="s">
        <v>63</v>
      </c>
    </row>
    <row r="22" ht="14.75" spans="1:5">
      <c r="A22" s="16" t="s">
        <v>64</v>
      </c>
      <c r="B22" s="16" t="s">
        <v>65</v>
      </c>
      <c r="C22" s="19">
        <v>0.12</v>
      </c>
      <c r="D22" s="16" t="s">
        <v>66</v>
      </c>
      <c r="E22" s="16" t="s">
        <v>67</v>
      </c>
    </row>
    <row r="23" ht="14.75" spans="1:5">
      <c r="A23" s="17" t="s">
        <v>68</v>
      </c>
      <c r="B23" s="17" t="s">
        <v>69</v>
      </c>
      <c r="C23" s="18">
        <v>-0.03</v>
      </c>
      <c r="D23" s="17" t="s">
        <v>70</v>
      </c>
      <c r="E23" s="17" t="s">
        <v>59</v>
      </c>
    </row>
    <row r="25" ht="17.25" spans="1:5">
      <c r="A25" s="14" t="s">
        <v>109</v>
      </c>
    </row>
    <row r="26" ht="14.75" spans="1:5">
      <c r="A26" s="15" t="s">
        <v>44</v>
      </c>
      <c r="B26" s="15" t="s">
        <v>72</v>
      </c>
      <c r="C26" s="15" t="s">
        <v>73</v>
      </c>
      <c r="D26" s="15" t="s">
        <v>74</v>
      </c>
      <c r="E26" s="15" t="s">
        <v>75</v>
      </c>
    </row>
    <row r="27" ht="14.75" spans="1:5">
      <c r="A27" s="16" t="s">
        <v>16</v>
      </c>
      <c r="B27" s="16" t="s">
        <v>76</v>
      </c>
      <c r="C27" s="16" t="s">
        <v>77</v>
      </c>
      <c r="D27" s="16" t="s">
        <v>78</v>
      </c>
      <c r="E27" s="16" t="s">
        <v>79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{6ffdf2b4-2cb0-42b8-8743-4330ac368dac}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fdf2b4-2cb0-42b8-8743-4330ac368da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5" topLeftCell="A14" activePane="bottomLeft" state="frozen"/>
      <selection/>
      <selection pane="bottomLeft" activeCell="J27" sqref="J27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19</v>
      </c>
    </row>
    <row r="2" spans="1:5">
      <c r="A2" s="2" t="s">
        <v>110</v>
      </c>
    </row>
    <row r="4" ht="14.5" spans="1:5">
      <c r="A4" s="3" t="s">
        <v>25</v>
      </c>
      <c r="B4" s="4" t="s">
        <v>26</v>
      </c>
      <c r="C4" s="4" t="s">
        <v>26</v>
      </c>
      <c r="D4" s="4" t="s">
        <v>26</v>
      </c>
    </row>
    <row r="5" ht="14.5" spans="1:5">
      <c r="A5" s="5" t="s">
        <v>27</v>
      </c>
      <c r="B5" s="5" t="s">
        <v>28</v>
      </c>
      <c r="C5" s="5" t="s">
        <v>29</v>
      </c>
      <c r="D5" s="5" t="s">
        <v>30</v>
      </c>
    </row>
    <row r="6" ht="14.5" spans="1:5">
      <c r="A6" s="6" t="s">
        <v>111</v>
      </c>
      <c r="B6" s="4">
        <v>3000000</v>
      </c>
      <c r="C6" s="4" t="s">
        <v>32</v>
      </c>
      <c r="D6" s="4" t="s">
        <v>33</v>
      </c>
    </row>
    <row r="7" ht="14.5" spans="1:5">
      <c r="A7" s="6" t="s">
        <v>112</v>
      </c>
      <c r="B7" s="4">
        <v>780000</v>
      </c>
      <c r="C7" s="4" t="s">
        <v>32</v>
      </c>
      <c r="D7" s="4" t="s">
        <v>33</v>
      </c>
    </row>
    <row r="8" ht="14.5" spans="1:5">
      <c r="A8" s="7" t="s">
        <v>113</v>
      </c>
      <c r="B8" s="20">
        <f>B7/B6</f>
        <v>0.26</v>
      </c>
      <c r="C8" s="9" t="s">
        <v>36</v>
      </c>
      <c r="D8" s="9" t="s">
        <v>37</v>
      </c>
    </row>
    <row r="10" ht="14.5" spans="1:5">
      <c r="A10" s="11" t="s">
        <v>38</v>
      </c>
      <c r="B10" s="12" t="s">
        <v>26</v>
      </c>
      <c r="C10" s="12" t="s">
        <v>26</v>
      </c>
      <c r="D10" s="12" t="s">
        <v>26</v>
      </c>
    </row>
    <row r="11" ht="14.5" spans="1:5">
      <c r="A11" s="13" t="s">
        <v>39</v>
      </c>
      <c r="B11" s="13" t="s">
        <v>114</v>
      </c>
      <c r="C11" s="13" t="s">
        <v>41</v>
      </c>
      <c r="D11" s="13" t="s">
        <v>42</v>
      </c>
    </row>
    <row r="13" ht="17.25" spans="1:5">
      <c r="A13" s="14" t="s">
        <v>115</v>
      </c>
    </row>
    <row r="14" ht="14.75" spans="1:5">
      <c r="A14" s="15" t="s">
        <v>44</v>
      </c>
      <c r="B14" s="15" t="s">
        <v>45</v>
      </c>
      <c r="C14" s="15" t="s">
        <v>46</v>
      </c>
      <c r="D14" s="15" t="s">
        <v>47</v>
      </c>
      <c r="E14" s="15" t="s">
        <v>48</v>
      </c>
    </row>
    <row r="15" ht="14.75" spans="1:5">
      <c r="A15" s="16" t="s">
        <v>19</v>
      </c>
      <c r="B15" s="16" t="s">
        <v>49</v>
      </c>
      <c r="C15" s="16" t="s">
        <v>50</v>
      </c>
      <c r="D15" s="16" t="s">
        <v>51</v>
      </c>
      <c r="E15" s="16" t="s">
        <v>52</v>
      </c>
    </row>
    <row r="17" ht="17.25" spans="1:5">
      <c r="A17" s="14" t="s">
        <v>116</v>
      </c>
    </row>
    <row r="18" ht="14.75" spans="1:5">
      <c r="A18" s="15" t="s">
        <v>54</v>
      </c>
      <c r="B18" s="15" t="s">
        <v>19</v>
      </c>
      <c r="C18" s="15" t="s">
        <v>56</v>
      </c>
      <c r="D18" s="15" t="s">
        <v>57</v>
      </c>
      <c r="E18" s="15" t="s">
        <v>48</v>
      </c>
    </row>
    <row r="19" ht="14.75" spans="1:5">
      <c r="A19" s="16" t="s">
        <v>58</v>
      </c>
      <c r="B19" s="16" t="s">
        <v>46</v>
      </c>
      <c r="C19" s="16" t="s">
        <v>37</v>
      </c>
      <c r="D19" s="16" t="s">
        <v>37</v>
      </c>
      <c r="E19" s="16" t="s">
        <v>59</v>
      </c>
    </row>
    <row r="20" ht="14.75" spans="1:5">
      <c r="A20" s="17" t="s">
        <v>60</v>
      </c>
      <c r="B20" s="17" t="s">
        <v>61</v>
      </c>
      <c r="C20" s="18">
        <v>0.05</v>
      </c>
      <c r="D20" s="17" t="s">
        <v>62</v>
      </c>
      <c r="E20" s="17" t="s">
        <v>63</v>
      </c>
    </row>
    <row r="21" ht="14.75" spans="1:5">
      <c r="A21" s="16" t="s">
        <v>64</v>
      </c>
      <c r="B21" s="16" t="s">
        <v>65</v>
      </c>
      <c r="C21" s="19">
        <v>0.12</v>
      </c>
      <c r="D21" s="16" t="s">
        <v>66</v>
      </c>
      <c r="E21" s="16" t="s">
        <v>67</v>
      </c>
    </row>
    <row r="22" ht="14.75" spans="1:5">
      <c r="A22" s="17" t="s">
        <v>68</v>
      </c>
      <c r="B22" s="17" t="s">
        <v>69</v>
      </c>
      <c r="C22" s="18">
        <v>-0.03</v>
      </c>
      <c r="D22" s="17" t="s">
        <v>70</v>
      </c>
      <c r="E22" s="17" t="s">
        <v>59</v>
      </c>
    </row>
    <row r="24" ht="17.25" spans="1:5">
      <c r="A24" s="14" t="s">
        <v>117</v>
      </c>
    </row>
    <row r="25" ht="14.75" spans="1:5">
      <c r="A25" s="15" t="s">
        <v>44</v>
      </c>
      <c r="B25" s="15" t="s">
        <v>72</v>
      </c>
      <c r="C25" s="15" t="s">
        <v>73</v>
      </c>
      <c r="D25" s="15" t="s">
        <v>74</v>
      </c>
      <c r="E25" s="15" t="s">
        <v>75</v>
      </c>
    </row>
    <row r="26" ht="14.75" spans="1:5">
      <c r="A26" s="16" t="s">
        <v>19</v>
      </c>
      <c r="B26" s="16" t="s">
        <v>76</v>
      </c>
      <c r="C26" s="16" t="s">
        <v>77</v>
      </c>
      <c r="D26" s="16" t="s">
        <v>78</v>
      </c>
      <c r="E26" s="16" t="s">
        <v>79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{c71d6187-11f2-48da-9253-317802c208c7}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1d6187-11f2-48da-9253-317802c208c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5" topLeftCell="A21" activePane="bottomLeft" state="frozen"/>
      <selection/>
      <selection pane="bottomLeft" activeCell="C24" sqref="C24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22</v>
      </c>
    </row>
    <row r="2" spans="1:5">
      <c r="A2" s="2" t="s">
        <v>118</v>
      </c>
    </row>
    <row r="4" ht="14.5" spans="1:5">
      <c r="A4" s="3" t="s">
        <v>25</v>
      </c>
      <c r="B4" s="4" t="s">
        <v>26</v>
      </c>
      <c r="C4" s="4" t="s">
        <v>26</v>
      </c>
      <c r="D4" s="4" t="s">
        <v>26</v>
      </c>
    </row>
    <row r="5" ht="14.5" spans="1:5">
      <c r="A5" s="5" t="s">
        <v>27</v>
      </c>
      <c r="B5" s="5" t="s">
        <v>28</v>
      </c>
      <c r="C5" s="5" t="s">
        <v>29</v>
      </c>
      <c r="D5" s="5" t="s">
        <v>30</v>
      </c>
    </row>
    <row r="6" ht="14.5" spans="1:5">
      <c r="A6" s="6" t="s">
        <v>119</v>
      </c>
      <c r="B6" s="4">
        <v>50000</v>
      </c>
      <c r="C6" s="4" t="s">
        <v>32</v>
      </c>
      <c r="D6" s="4" t="s">
        <v>33</v>
      </c>
    </row>
    <row r="7" ht="14.5" spans="1:5">
      <c r="A7" s="6" t="s">
        <v>120</v>
      </c>
      <c r="B7" s="4">
        <v>350</v>
      </c>
      <c r="C7" s="4" t="s">
        <v>32</v>
      </c>
      <c r="D7" s="4" t="s">
        <v>33</v>
      </c>
    </row>
    <row r="8" ht="14.5" spans="1:5">
      <c r="A8" s="7" t="s">
        <v>21</v>
      </c>
      <c r="B8" s="8">
        <f>B7/B6</f>
        <v>0.007</v>
      </c>
      <c r="C8" s="9" t="s">
        <v>36</v>
      </c>
      <c r="D8" s="9" t="s">
        <v>37</v>
      </c>
    </row>
    <row r="9" spans="1:5">
      <c r="A9" s="10" t="s">
        <v>121</v>
      </c>
    </row>
    <row r="10" ht="14.5" spans="1:5">
      <c r="A10" s="11" t="s">
        <v>38</v>
      </c>
      <c r="B10" s="12" t="s">
        <v>26</v>
      </c>
      <c r="C10" s="12" t="s">
        <v>26</v>
      </c>
      <c r="D10" s="12" t="s">
        <v>26</v>
      </c>
    </row>
    <row r="11" ht="14.5" spans="1:5">
      <c r="A11" s="13" t="s">
        <v>39</v>
      </c>
      <c r="B11" s="13" t="s">
        <v>122</v>
      </c>
      <c r="C11" s="13" t="s">
        <v>41</v>
      </c>
      <c r="D11" s="13" t="s">
        <v>42</v>
      </c>
    </row>
    <row r="13" ht="17.25" spans="1:5">
      <c r="A13" s="14" t="s">
        <v>123</v>
      </c>
    </row>
    <row r="14" ht="14.75" spans="1:5">
      <c r="A14" s="15" t="s">
        <v>44</v>
      </c>
      <c r="B14" s="15" t="s">
        <v>45</v>
      </c>
      <c r="C14" s="15" t="s">
        <v>46</v>
      </c>
      <c r="D14" s="15" t="s">
        <v>47</v>
      </c>
      <c r="E14" s="15" t="s">
        <v>48</v>
      </c>
    </row>
    <row r="15" ht="14.75" spans="1:5">
      <c r="A15" s="16" t="s">
        <v>22</v>
      </c>
      <c r="B15" s="16" t="s">
        <v>49</v>
      </c>
      <c r="C15" s="16" t="s">
        <v>50</v>
      </c>
      <c r="D15" s="16" t="s">
        <v>51</v>
      </c>
      <c r="E15" s="16" t="s">
        <v>52</v>
      </c>
    </row>
    <row r="17" ht="17.25" spans="1:5">
      <c r="A17" s="14" t="s">
        <v>124</v>
      </c>
    </row>
    <row r="18" ht="14.75" spans="1:5">
      <c r="A18" s="15" t="s">
        <v>54</v>
      </c>
      <c r="B18" s="15" t="s">
        <v>22</v>
      </c>
      <c r="C18" s="15" t="s">
        <v>56</v>
      </c>
      <c r="D18" s="15" t="s">
        <v>57</v>
      </c>
      <c r="E18" s="15" t="s">
        <v>48</v>
      </c>
    </row>
    <row r="19" ht="14.75" spans="1:5">
      <c r="A19" s="16" t="s">
        <v>58</v>
      </c>
      <c r="B19" s="16" t="s">
        <v>46</v>
      </c>
      <c r="C19" s="16" t="s">
        <v>37</v>
      </c>
      <c r="D19" s="16" t="s">
        <v>37</v>
      </c>
      <c r="E19" s="16" t="s">
        <v>59</v>
      </c>
    </row>
    <row r="20" ht="14.75" spans="1:5">
      <c r="A20" s="17" t="s">
        <v>60</v>
      </c>
      <c r="B20" s="17" t="s">
        <v>61</v>
      </c>
      <c r="C20" s="18">
        <v>0.05</v>
      </c>
      <c r="D20" s="17" t="s">
        <v>62</v>
      </c>
      <c r="E20" s="17" t="s">
        <v>63</v>
      </c>
    </row>
    <row r="21" ht="14.75" spans="1:5">
      <c r="A21" s="16" t="s">
        <v>64</v>
      </c>
      <c r="B21" s="16" t="s">
        <v>65</v>
      </c>
      <c r="C21" s="19">
        <v>0.12</v>
      </c>
      <c r="D21" s="16" t="s">
        <v>66</v>
      </c>
      <c r="E21" s="16" t="s">
        <v>67</v>
      </c>
    </row>
    <row r="22" ht="14.75" spans="1:5">
      <c r="A22" s="17" t="s">
        <v>68</v>
      </c>
      <c r="B22" s="17" t="s">
        <v>69</v>
      </c>
      <c r="C22" s="18">
        <v>-0.03</v>
      </c>
      <c r="D22" s="17" t="s">
        <v>70</v>
      </c>
      <c r="E22" s="17" t="s">
        <v>59</v>
      </c>
    </row>
    <row r="24" ht="17.25" spans="1:5">
      <c r="A24" s="14" t="s">
        <v>125</v>
      </c>
    </row>
    <row r="25" ht="14.75" spans="1:5">
      <c r="A25" s="15" t="s">
        <v>44</v>
      </c>
      <c r="B25" s="15" t="s">
        <v>72</v>
      </c>
      <c r="C25" s="15" t="s">
        <v>73</v>
      </c>
      <c r="D25" s="15" t="s">
        <v>74</v>
      </c>
      <c r="E25" s="15" t="s">
        <v>75</v>
      </c>
    </row>
    <row r="26" ht="14.75" spans="1:5">
      <c r="A26" s="16" t="s">
        <v>22</v>
      </c>
      <c r="B26" s="16" t="s">
        <v>76</v>
      </c>
      <c r="C26" s="16" t="s">
        <v>77</v>
      </c>
      <c r="D26" s="16" t="s">
        <v>78</v>
      </c>
      <c r="E26" s="16" t="s">
        <v>79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{e61679e1-19ce-41f3-901d-3985f19a2337}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1679e1-19ce-41f3-901d-3985f19a233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目录</vt:lpstr>
      <vt:lpstr>4.1 入催率</vt:lpstr>
      <vt:lpstr>4.2 催回率</vt:lpstr>
      <vt:lpstr>4.3 催收时效</vt:lpstr>
      <vt:lpstr>4.4 人均催收产能</vt:lpstr>
      <vt:lpstr>4.5 委外催收回收率</vt:lpstr>
      <vt:lpstr>4.6 催收投诉率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2026-04-01T03:27:00Z</dcterms:created>
  <dcterms:modified xsi:type="dcterms:W3CDTF">2026-05-02T08:15:38Z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2AA62527636247FB94264B0B49D63684_12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