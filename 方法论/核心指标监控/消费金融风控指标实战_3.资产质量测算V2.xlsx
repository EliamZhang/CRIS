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1"/>
  </bookViews>
  <sheets>
    <sheet name="目录" sheetId="1" r:id="rId1"/>
    <sheet name="3.1 ECL计算" sheetId="7" r:id="rId2"/>
    <sheet name="3.2 不良生成率" sheetId="2" r:id="rId3"/>
    <sheet name="3.3 拨备覆盖率" sheetId="3" r:id="rId4"/>
    <sheet name="3.4 拨贷比" sheetId="4" r:id="rId5"/>
    <sheet name="3.5 核销率" sheetId="5" r:id="rId6"/>
    <sheet name="3.6 不良贷款回收率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<sst xmlns="http://schemas.openxmlformats.org/spreadsheetml/2006/main" count="414" uniqueCount="153">
  <si>
    <t>第3章 资产质量指标 - 测算Sheet目录</t>
  </si>
  <si>
    <t>序号</t>
  </si>
  <si>
    <t>指标编号</t>
  </si>
  <si>
    <t>指标名称</t>
  </si>
  <si>
    <t>Sheet名称</t>
  </si>
  <si>
    <t>ECL计算逻辑</t>
  </si>
  <si>
    <t>3.0 ECL计算</t>
  </si>
  <si>
    <t>不良生成率</t>
  </si>
  <si>
    <t>3.1 不良生成率</t>
  </si>
  <si>
    <t>拨备覆盖率</t>
  </si>
  <si>
    <t>3.2 拨备覆盖率</t>
  </si>
  <si>
    <t>拨贷比</t>
  </si>
  <si>
    <t>3.3 拨贷比</t>
  </si>
  <si>
    <t>核销率</t>
  </si>
  <si>
    <t>3.4 核销率</t>
  </si>
  <si>
    <t>不良贷款回收率</t>
  </si>
  <si>
    <t>3.5 不良贷款回收率</t>
  </si>
  <si>
    <t>3.0 ECL</t>
  </si>
  <si>
    <t>ECL = Sum(Bucket在贷 * 拨备率 * 宏观系数)，假设宏观系数根据基准/悲观/乐观</t>
  </si>
  <si>
    <r>
      <rPr>
        <b/>
        <sz val="10.5"/>
        <color theme="1"/>
        <rFont val="Times New Roman"/>
        <charset val="134"/>
      </rPr>
      <t>ECL</t>
    </r>
    <r>
      <rPr>
        <b/>
        <sz val="10.5"/>
        <color theme="1"/>
        <rFont val="宋体"/>
        <charset val="134"/>
      </rPr>
      <t>具体计算方法实例</t>
    </r>
  </si>
  <si>
    <t>不同公司，不同业务，业务不同阶段，使用的方法也大同小异。目前最常用，解释性强的方法为方法为账龄迁徙率方法，此次就以账龄迁徙率方法进行实际操作举例(数据为构造的虚拟数据)：</t>
  </si>
  <si>
    <r>
      <rPr>
        <sz val="10.5"/>
        <color theme="1"/>
        <rFont val="Times New Roman"/>
        <charset val="134"/>
      </rPr>
      <t>Step1:</t>
    </r>
    <r>
      <rPr>
        <sz val="10.5"/>
        <color theme="1"/>
        <rFont val="宋体"/>
        <charset val="134"/>
      </rPr>
      <t>基础数据准备：月末时点的在贷数据，也可根据产品实际情况进行调整，以产品的整体在贷为例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可根据实际风险区分度较强的变量拆分维度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：</t>
    </r>
  </si>
  <si>
    <t>在贷</t>
  </si>
  <si>
    <t>M0</t>
  </si>
  <si>
    <t>M1</t>
  </si>
  <si>
    <t>M2</t>
  </si>
  <si>
    <t>M3</t>
  </si>
  <si>
    <t>Write off</t>
  </si>
  <si>
    <t>Recovery</t>
  </si>
  <si>
    <r>
      <rPr>
        <sz val="12"/>
        <color theme="1"/>
        <rFont val="Calibri"/>
        <charset val="134"/>
      </rPr>
      <t>Step2:</t>
    </r>
    <r>
      <rPr>
        <sz val="12"/>
        <color theme="1"/>
        <rFont val="宋体"/>
        <charset val="134"/>
      </rPr>
      <t>计算</t>
    </r>
    <r>
      <rPr>
        <sz val="12"/>
        <color theme="1"/>
        <rFont val="Calibri"/>
        <charset val="134"/>
      </rPr>
      <t>bucket</t>
    </r>
    <r>
      <rPr>
        <sz val="12"/>
        <color theme="1"/>
        <rFont val="宋体"/>
        <charset val="134"/>
      </rPr>
      <t>之间的滚动率：实时关注不同月份风险迁徙情况</t>
    </r>
    <r>
      <rPr>
        <sz val="12"/>
        <color theme="1"/>
        <rFont val="Calibri"/>
        <charset val="134"/>
      </rPr>
      <t>(</t>
    </r>
    <r>
      <rPr>
        <sz val="12"/>
        <color theme="1"/>
        <rFont val="宋体"/>
        <charset val="134"/>
      </rPr>
      <t>跟催收进行联动</t>
    </r>
    <r>
      <rPr>
        <sz val="12"/>
        <color theme="1"/>
        <rFont val="Calibri"/>
        <charset val="134"/>
      </rPr>
      <t>)</t>
    </r>
  </si>
  <si>
    <r>
      <rPr>
        <sz val="12"/>
        <color theme="1"/>
        <rFont val="宋体"/>
        <charset val="134"/>
      </rPr>
      <t>如：</t>
    </r>
    <r>
      <rPr>
        <sz val="12"/>
        <color theme="1"/>
        <rFont val="Calibri"/>
        <charset val="134"/>
      </rPr>
      <t xml:space="preserve">M0-1 = </t>
    </r>
    <r>
      <rPr>
        <sz val="12"/>
        <color theme="1"/>
        <rFont val="宋体"/>
        <charset val="134"/>
      </rPr>
      <t>这个月</t>
    </r>
    <r>
      <rPr>
        <sz val="12"/>
        <color theme="1"/>
        <rFont val="Calibri"/>
        <charset val="134"/>
      </rPr>
      <t>M1/</t>
    </r>
    <r>
      <rPr>
        <sz val="12"/>
        <color theme="1"/>
        <rFont val="宋体"/>
        <charset val="134"/>
      </rPr>
      <t>上个月</t>
    </r>
    <r>
      <rPr>
        <sz val="12"/>
        <color theme="1"/>
        <rFont val="Calibri"/>
        <charset val="134"/>
      </rPr>
      <t>M0</t>
    </r>
  </si>
  <si>
    <t>滚动率</t>
  </si>
  <si>
    <t>M0 --&gt; M1</t>
  </si>
  <si>
    <t>M1 --&gt; M2</t>
  </si>
  <si>
    <t>M2 --&gt; M3</t>
  </si>
  <si>
    <t>M3 --&gt; Write off</t>
  </si>
  <si>
    <t>Write off --&gt; Recovery</t>
  </si>
  <si>
    <r>
      <rPr>
        <sz val="12"/>
        <color theme="1"/>
        <rFont val="Calibri"/>
        <charset val="134"/>
      </rPr>
      <t>Step3:</t>
    </r>
    <r>
      <rPr>
        <sz val="12"/>
        <color theme="1"/>
        <rFont val="宋体"/>
        <charset val="134"/>
      </rPr>
      <t>平均滚动率，防止某月滚动率过高或者过低，平均是为了防止月度之间波动太大</t>
    </r>
  </si>
  <si>
    <t>平均滚动率</t>
  </si>
  <si>
    <r>
      <rPr>
        <sz val="12"/>
        <color theme="1"/>
        <rFont val="Calibri"/>
        <charset val="134"/>
      </rPr>
      <t>Step4:</t>
    </r>
    <r>
      <rPr>
        <sz val="12"/>
        <color theme="1"/>
        <rFont val="宋体"/>
        <charset val="134"/>
      </rPr>
      <t>计算不同</t>
    </r>
    <r>
      <rPr>
        <sz val="12"/>
        <color theme="1"/>
        <rFont val="Calibri"/>
        <charset val="134"/>
      </rPr>
      <t>bucket</t>
    </r>
    <r>
      <rPr>
        <sz val="12"/>
        <color theme="1"/>
        <rFont val="宋体"/>
        <charset val="134"/>
      </rPr>
      <t>的拨备率，这里最为关键，是预测不同</t>
    </r>
    <r>
      <rPr>
        <sz val="12"/>
        <color theme="1"/>
        <rFont val="Calibri"/>
        <charset val="134"/>
      </rPr>
      <t>buckt</t>
    </r>
    <r>
      <rPr>
        <sz val="12"/>
        <color theme="1"/>
        <rFont val="宋体"/>
        <charset val="134"/>
      </rPr>
      <t>的在贷在经历过不同阶段后最终的预计坏账</t>
    </r>
  </si>
  <si>
    <r>
      <rPr>
        <sz val="12"/>
        <color theme="1"/>
        <rFont val="宋体"/>
        <charset val="134"/>
      </rPr>
      <t>如</t>
    </r>
    <r>
      <rPr>
        <sz val="12"/>
        <color theme="1"/>
        <rFont val="Calibri"/>
        <charset val="134"/>
      </rPr>
      <t>M0 Provision rate = M0-&gt;1</t>
    </r>
    <r>
      <rPr>
        <sz val="12"/>
        <color theme="1"/>
        <rFont val="宋体"/>
        <charset val="134"/>
      </rPr>
      <t xml:space="preserve">滚动率 </t>
    </r>
    <r>
      <rPr>
        <sz val="12"/>
        <color theme="1"/>
        <rFont val="Calibri"/>
        <charset val="134"/>
      </rPr>
      <t>* M1-&gt;2</t>
    </r>
    <r>
      <rPr>
        <sz val="12"/>
        <color theme="1"/>
        <rFont val="宋体"/>
        <charset val="134"/>
      </rPr>
      <t xml:space="preserve">滚动率 </t>
    </r>
    <r>
      <rPr>
        <sz val="12"/>
        <color theme="1"/>
        <rFont val="Calibri"/>
        <charset val="134"/>
      </rPr>
      <t>* M2-&gt;3</t>
    </r>
    <r>
      <rPr>
        <sz val="12"/>
        <color theme="1"/>
        <rFont val="宋体"/>
        <charset val="134"/>
      </rPr>
      <t xml:space="preserve">滚动率 </t>
    </r>
    <r>
      <rPr>
        <sz val="12"/>
        <color theme="1"/>
        <rFont val="Calibri"/>
        <charset val="134"/>
      </rPr>
      <t>* M3-&gt;Write off</t>
    </r>
    <r>
      <rPr>
        <sz val="12"/>
        <color theme="1"/>
        <rFont val="宋体"/>
        <charset val="134"/>
      </rPr>
      <t xml:space="preserve">滚动率 </t>
    </r>
    <r>
      <rPr>
        <sz val="12"/>
        <color theme="1"/>
        <rFont val="Calibri"/>
        <charset val="134"/>
      </rPr>
      <t>* (1- Write off-&gt;Recovery</t>
    </r>
    <r>
      <rPr>
        <sz val="12"/>
        <color theme="1"/>
        <rFont val="宋体"/>
        <charset val="134"/>
      </rPr>
      <t>滚动率</t>
    </r>
    <r>
      <rPr>
        <sz val="12"/>
        <color theme="1"/>
        <rFont val="Calibri"/>
        <charset val="134"/>
      </rPr>
      <t>)</t>
    </r>
  </si>
  <si>
    <t>拨备率</t>
  </si>
  <si>
    <r>
      <rPr>
        <sz val="11"/>
        <color theme="1"/>
        <rFont val="Arial"/>
        <charset val="134"/>
      </rPr>
      <t>M0 --&gt; Write off(</t>
    </r>
    <r>
      <rPr>
        <sz val="11"/>
        <color theme="1"/>
        <rFont val="宋体"/>
        <charset val="134"/>
      </rPr>
      <t>损失净值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</si>
  <si>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>M1 --&gt; Write off(</t>
    </r>
    <r>
      <rPr>
        <sz val="11"/>
        <color theme="1"/>
        <rFont val="宋体"/>
        <charset val="134"/>
      </rPr>
      <t>损失净值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</si>
  <si>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>M2 --&gt; Write off(</t>
    </r>
    <r>
      <rPr>
        <sz val="11"/>
        <color theme="1"/>
        <rFont val="宋体"/>
        <charset val="134"/>
      </rPr>
      <t>损失净值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</si>
  <si>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>M3 --&gt; Write off(</t>
    </r>
    <r>
      <rPr>
        <sz val="11"/>
        <color theme="1"/>
        <rFont val="宋体"/>
        <charset val="134"/>
      </rPr>
      <t>损失净值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</si>
  <si>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>Write off --&gt; Write off(</t>
    </r>
    <r>
      <rPr>
        <sz val="11"/>
        <color theme="1"/>
        <rFont val="宋体"/>
        <charset val="134"/>
      </rPr>
      <t>损失净值</t>
    </r>
    <r>
      <rPr>
        <sz val="11"/>
        <color theme="1"/>
        <rFont val="Arial"/>
        <charset val="134"/>
      </rPr>
      <t>)</t>
    </r>
  </si>
  <si>
    <r>
      <rPr>
        <sz val="12"/>
        <color theme="1"/>
        <rFont val="Calibri"/>
        <charset val="134"/>
      </rPr>
      <t>Step5</t>
    </r>
    <r>
      <rPr>
        <sz val="12"/>
        <color theme="1"/>
        <rFont val="宋体"/>
        <charset val="134"/>
      </rPr>
      <t>：计算不同</t>
    </r>
    <r>
      <rPr>
        <sz val="12"/>
        <color theme="1"/>
        <rFont val="Calibri"/>
        <charset val="134"/>
      </rPr>
      <t>bucket</t>
    </r>
    <r>
      <rPr>
        <sz val="12"/>
        <color theme="1"/>
        <rFont val="宋体"/>
        <charset val="134"/>
      </rPr>
      <t>在贷预计损失：</t>
    </r>
  </si>
  <si>
    <r>
      <rPr>
        <sz val="12"/>
        <color theme="1"/>
        <rFont val="宋体"/>
        <charset val="134"/>
      </rPr>
      <t>以</t>
    </r>
    <r>
      <rPr>
        <sz val="12"/>
        <color theme="1"/>
        <rFont val="Calibri"/>
        <charset val="134"/>
      </rPr>
      <t>2025/12/31</t>
    </r>
    <r>
      <rPr>
        <sz val="12"/>
        <color theme="1"/>
        <rFont val="宋体"/>
        <charset val="134"/>
      </rPr>
      <t>的在贷预计算是为了：</t>
    </r>
  </si>
  <si>
    <r>
      <rPr>
        <sz val="12"/>
        <color theme="1"/>
        <rFont val="Calibri"/>
        <charset val="134"/>
      </rPr>
      <t>Total = M0</t>
    </r>
    <r>
      <rPr>
        <sz val="12"/>
        <color theme="1"/>
        <rFont val="宋体"/>
        <charset val="134"/>
      </rPr>
      <t xml:space="preserve">在贷 </t>
    </r>
    <r>
      <rPr>
        <sz val="12"/>
        <color theme="1"/>
        <rFont val="Calibri"/>
        <charset val="134"/>
      </rPr>
      <t>* M0</t>
    </r>
    <r>
      <rPr>
        <sz val="12"/>
        <color theme="1"/>
        <rFont val="宋体"/>
        <charset val="134"/>
      </rPr>
      <t xml:space="preserve">拨备率 </t>
    </r>
    <r>
      <rPr>
        <sz val="12"/>
        <color theme="1"/>
        <rFont val="Calibri"/>
        <charset val="134"/>
      </rPr>
      <t>+ M1</t>
    </r>
    <r>
      <rPr>
        <sz val="12"/>
        <color theme="1"/>
        <rFont val="宋体"/>
        <charset val="134"/>
      </rPr>
      <t xml:space="preserve">在贷 </t>
    </r>
    <r>
      <rPr>
        <sz val="12"/>
        <color theme="1"/>
        <rFont val="Calibri"/>
        <charset val="134"/>
      </rPr>
      <t>* M1</t>
    </r>
    <r>
      <rPr>
        <sz val="12"/>
        <color theme="1"/>
        <rFont val="宋体"/>
        <charset val="134"/>
      </rPr>
      <t xml:space="preserve">拨备率 </t>
    </r>
    <r>
      <rPr>
        <sz val="12"/>
        <color theme="1"/>
        <rFont val="Calibri"/>
        <charset val="134"/>
      </rPr>
      <t>+ M2</t>
    </r>
    <r>
      <rPr>
        <sz val="12"/>
        <color theme="1"/>
        <rFont val="宋体"/>
        <charset val="134"/>
      </rPr>
      <t xml:space="preserve">在贷 </t>
    </r>
    <r>
      <rPr>
        <sz val="12"/>
        <color theme="1"/>
        <rFont val="Calibri"/>
        <charset val="134"/>
      </rPr>
      <t>* M2</t>
    </r>
    <r>
      <rPr>
        <sz val="12"/>
        <color theme="1"/>
        <rFont val="宋体"/>
        <charset val="134"/>
      </rPr>
      <t xml:space="preserve">拨备率 </t>
    </r>
    <r>
      <rPr>
        <sz val="12"/>
        <color theme="1"/>
        <rFont val="Calibri"/>
        <charset val="134"/>
      </rPr>
      <t>+ M3</t>
    </r>
    <r>
      <rPr>
        <sz val="12"/>
        <color theme="1"/>
        <rFont val="宋体"/>
        <charset val="134"/>
      </rPr>
      <t xml:space="preserve">在贷 </t>
    </r>
    <r>
      <rPr>
        <sz val="12"/>
        <color theme="1"/>
        <rFont val="Calibri"/>
        <charset val="134"/>
      </rPr>
      <t>* M3</t>
    </r>
    <r>
      <rPr>
        <sz val="12"/>
        <color theme="1"/>
        <rFont val="宋体"/>
        <charset val="134"/>
      </rPr>
      <t>拨备率</t>
    </r>
  </si>
  <si>
    <t>拨备金额1</t>
  </si>
  <si>
    <r>
      <rPr>
        <sz val="12"/>
        <color theme="1"/>
        <rFont val="Calibri"/>
        <charset val="134"/>
      </rPr>
      <t xml:space="preserve">Step6: </t>
    </r>
    <r>
      <rPr>
        <sz val="12"/>
        <color theme="1"/>
        <rFont val="宋体"/>
        <charset val="134"/>
      </rPr>
      <t>构建前瞻性宏观模型：</t>
    </r>
  </si>
  <si>
    <r>
      <rPr>
        <sz val="12"/>
        <color theme="1"/>
        <rFont val="宋体"/>
        <charset val="134"/>
      </rPr>
      <t>构建前瞻性宏观模型，它的本质是建立宏观经济指标</t>
    </r>
    <r>
      <rPr>
        <sz val="12"/>
        <color theme="1"/>
        <rFont val="Calibri"/>
        <charset val="134"/>
      </rPr>
      <t>(GDP</t>
    </r>
    <r>
      <rPr>
        <sz val="12"/>
        <color theme="1"/>
        <rFont val="宋体"/>
        <charset val="134"/>
      </rPr>
      <t>增长、失业率、通货膨胀率</t>
    </r>
    <r>
      <rPr>
        <sz val="12"/>
        <color theme="1"/>
        <rFont val="Calibri"/>
        <charset val="134"/>
      </rPr>
      <t>)</t>
    </r>
    <r>
      <rPr>
        <sz val="12"/>
        <color theme="1"/>
        <rFont val="宋体"/>
        <charset val="134"/>
      </rPr>
      <t>与信用风险参数之间的量化联系，从而让历史数据能够反映未来的经济走势</t>
    </r>
  </si>
  <si>
    <t>宏观系数</t>
  </si>
  <si>
    <r>
      <rPr>
        <sz val="12"/>
        <color theme="1"/>
        <rFont val="Calibri"/>
        <charset val="134"/>
      </rPr>
      <t>Step7:</t>
    </r>
    <r>
      <rPr>
        <sz val="12"/>
        <color theme="1"/>
        <rFont val="宋体"/>
        <charset val="134"/>
      </rPr>
      <t>预期信用损失</t>
    </r>
  </si>
  <si>
    <r>
      <rPr>
        <sz val="12"/>
        <color theme="1"/>
        <rFont val="Calibri"/>
        <charset val="134"/>
      </rPr>
      <t>ECL = Sum(Bucket</t>
    </r>
    <r>
      <rPr>
        <sz val="12"/>
        <color theme="1"/>
        <rFont val="宋体"/>
        <charset val="134"/>
      </rPr>
      <t xml:space="preserve">在贷 </t>
    </r>
    <r>
      <rPr>
        <sz val="12"/>
        <color theme="1"/>
        <rFont val="Calibri"/>
        <charset val="134"/>
      </rPr>
      <t xml:space="preserve">* </t>
    </r>
    <r>
      <rPr>
        <sz val="12"/>
        <color theme="1"/>
        <rFont val="宋体"/>
        <charset val="134"/>
      </rPr>
      <t xml:space="preserve">拨备率 </t>
    </r>
    <r>
      <rPr>
        <sz val="12"/>
        <color theme="1"/>
        <rFont val="Calibri"/>
        <charset val="134"/>
      </rPr>
      <t xml:space="preserve">* </t>
    </r>
    <r>
      <rPr>
        <sz val="12"/>
        <color theme="1"/>
        <rFont val="宋体"/>
        <charset val="134"/>
      </rPr>
      <t>宏观系数</t>
    </r>
    <r>
      <rPr>
        <sz val="12"/>
        <color theme="1"/>
        <rFont val="Calibri"/>
        <charset val="134"/>
      </rPr>
      <t>)</t>
    </r>
    <r>
      <rPr>
        <sz val="12"/>
        <color theme="1"/>
        <rFont val="宋体"/>
        <charset val="134"/>
      </rPr>
      <t>，假设宏观系数根据基准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</rPr>
      <t>悲观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</rPr>
      <t>乐观</t>
    </r>
  </si>
  <si>
    <t>拨备金额2</t>
  </si>
  <si>
    <r>
      <rPr>
        <sz val="12"/>
        <color theme="1"/>
        <rFont val="宋体"/>
        <charset val="134"/>
      </rPr>
      <t>以</t>
    </r>
    <r>
      <rPr>
        <sz val="12"/>
        <color theme="1"/>
        <rFont val="Calibri"/>
        <charset val="134"/>
      </rPr>
      <t>2023</t>
    </r>
    <r>
      <rPr>
        <sz val="12"/>
        <color theme="1"/>
        <rFont val="宋体"/>
        <charset val="134"/>
      </rPr>
      <t>年</t>
    </r>
    <r>
      <rPr>
        <sz val="12"/>
        <color theme="1"/>
        <rFont val="Calibri"/>
        <charset val="134"/>
      </rPr>
      <t>12</t>
    </r>
    <r>
      <rPr>
        <sz val="12"/>
        <color theme="1"/>
        <rFont val="宋体"/>
        <charset val="134"/>
      </rPr>
      <t>月</t>
    </r>
    <r>
      <rPr>
        <sz val="12"/>
        <color theme="1"/>
        <rFont val="Calibri"/>
        <charset val="134"/>
      </rPr>
      <t>31</t>
    </r>
    <r>
      <rPr>
        <sz val="12"/>
        <color theme="1"/>
        <rFont val="宋体"/>
        <charset val="134"/>
      </rPr>
      <t>日资产为例，</t>
    </r>
    <r>
      <rPr>
        <sz val="12"/>
        <color theme="1"/>
        <rFont val="Calibri"/>
        <charset val="134"/>
      </rPr>
      <t>ECL</t>
    </r>
    <r>
      <rPr>
        <sz val="12"/>
        <color theme="1"/>
        <rFont val="宋体"/>
        <charset val="134"/>
      </rPr>
      <t>为</t>
    </r>
    <r>
      <rPr>
        <sz val="12"/>
        <color theme="1"/>
        <rFont val="Calibri"/>
        <charset val="134"/>
      </rPr>
      <t>829</t>
    </r>
    <r>
      <rPr>
        <sz val="12"/>
        <color theme="1"/>
        <rFont val="宋体"/>
        <charset val="134"/>
      </rPr>
      <t>万：</t>
    </r>
  </si>
  <si>
    <t>Bucket</t>
  </si>
  <si>
    <r>
      <rPr>
        <b/>
        <sz val="9.5"/>
        <color rgb="FFFFFFFF"/>
        <rFont val="微软雅黑"/>
        <charset val="134"/>
      </rPr>
      <t>在贷</t>
    </r>
  </si>
  <si>
    <r>
      <rPr>
        <b/>
        <sz val="9.5"/>
        <color rgb="FFFFFFFF"/>
        <rFont val="微软雅黑"/>
        <charset val="134"/>
      </rPr>
      <t>拨备率</t>
    </r>
  </si>
  <si>
    <r>
      <rPr>
        <b/>
        <sz val="9.5"/>
        <color rgb="FFFFFFFF"/>
        <rFont val="微软雅黑"/>
        <charset val="134"/>
      </rPr>
      <t>宏观系数</t>
    </r>
  </si>
  <si>
    <t>ECL</t>
  </si>
  <si>
    <t>不良生成率 = 本期新生成不良 / 期初正常贷款余额 x 100%</t>
  </si>
  <si>
    <t>输入参数</t>
  </si>
  <si>
    <t/>
  </si>
  <si>
    <t>参数名称</t>
  </si>
  <si>
    <t>参数值</t>
  </si>
  <si>
    <t>说明</t>
  </si>
  <si>
    <t>数据来源</t>
  </si>
  <si>
    <t>期初正常贷款余额(元)</t>
  </si>
  <si>
    <t>手工输入</t>
  </si>
  <si>
    <t>业务系统</t>
  </si>
  <si>
    <t>本期新生成不良(元)</t>
  </si>
  <si>
    <t>计算结果</t>
  </si>
  <si>
    <t>-</t>
  </si>
  <si>
    <t>参考阈值</t>
  </si>
  <si>
    <t>参考范围</t>
  </si>
  <si>
    <t>参考行业基准</t>
  </si>
  <si>
    <t>来源</t>
  </si>
  <si>
    <t>行业基准</t>
  </si>
  <si>
    <t>【实例0】不良生成率季度分析</t>
  </si>
  <si>
    <t>月份</t>
  </si>
  <si>
    <t>新生成不良</t>
  </si>
  <si>
    <t>在贷余额</t>
  </si>
  <si>
    <t>环比</t>
  </si>
  <si>
    <t>50万</t>
  </si>
  <si>
    <t>5亿</t>
  </si>
  <si>
    <t>60万</t>
  </si>
  <si>
    <t>5.2亿</t>
  </si>
  <si>
    <t>80万</t>
  </si>
  <si>
    <t>5.5亿</t>
  </si>
  <si>
    <t>合计</t>
  </si>
  <si>
    <t>190万</t>
  </si>
  <si>
    <t>拨备覆盖率 = 贷款损失准备金 / 不良贷款余额 x 100%</t>
  </si>
  <si>
    <t>贷款损失准备金(元)</t>
  </si>
  <si>
    <t>不良贷款余额(元)</t>
  </si>
  <si>
    <t>&gt; 150%</t>
  </si>
  <si>
    <t>【实例0】3.2 拨备覆盖率日常监控体系搭建</t>
  </si>
  <si>
    <t>指标</t>
  </si>
  <si>
    <t>当前值</t>
  </si>
  <si>
    <t>基准值</t>
  </si>
  <si>
    <t>预警线</t>
  </si>
  <si>
    <t>状态</t>
  </si>
  <si>
    <t>正常范围</t>
  </si>
  <si>
    <t>设定基准</t>
  </si>
  <si>
    <t>上下限</t>
  </si>
  <si>
    <t>监控中</t>
  </si>
  <si>
    <t>【实例1】3.2 拨备覆盖率异常波动排查</t>
  </si>
  <si>
    <t>日期/维度</t>
  </si>
  <si>
    <t>环比变化</t>
  </si>
  <si>
    <t>绝对变化</t>
  </si>
  <si>
    <t>基准</t>
  </si>
  <si>
    <t>正常</t>
  </si>
  <si>
    <t>Day 1</t>
  </si>
  <si>
    <t>偏离+</t>
  </si>
  <si>
    <t>上升</t>
  </si>
  <si>
    <t>关注</t>
  </si>
  <si>
    <t>Day 2</t>
  </si>
  <si>
    <t>偏离++</t>
  </si>
  <si>
    <t>大幅上升</t>
  </si>
  <si>
    <t>预警</t>
  </si>
  <si>
    <t>Day 3</t>
  </si>
  <si>
    <t>恢复</t>
  </si>
  <si>
    <t>回落</t>
  </si>
  <si>
    <t>【实例2】3.2 拨备覆盖率策略优化效果验证</t>
  </si>
  <si>
    <t>策略前</t>
  </si>
  <si>
    <t>策略后(1周)</t>
  </si>
  <si>
    <t>策略后(2周)</t>
  </si>
  <si>
    <t>目标</t>
  </si>
  <si>
    <t>基线值</t>
  </si>
  <si>
    <t>观察值1</t>
  </si>
  <si>
    <t>观察值2</t>
  </si>
  <si>
    <t>目标值</t>
  </si>
  <si>
    <t>拨贷比 = 贷款损失准备金 / 贷款总额 x 100%</t>
  </si>
  <si>
    <t>贷款总额(元)</t>
  </si>
  <si>
    <t>1.5%~2.5%</t>
  </si>
  <si>
    <t>【实例0】3.3 拨贷比日常监控体系搭建</t>
  </si>
  <si>
    <t>【实例1】3.3 拨贷比异常波动排查</t>
  </si>
  <si>
    <t>【实例2】3.3 拨贷比策略优化效果验证</t>
  </si>
  <si>
    <t>核销率 = 本期核销金额 / 期初不良贷款余额 x 100%</t>
  </si>
  <si>
    <t>期初不良贷款余额(元)</t>
  </si>
  <si>
    <t>本期核销金额(元)</t>
  </si>
  <si>
    <t>【实例0】3.4 核销率日常监控体系搭建</t>
  </si>
  <si>
    <t>【实例1】3.4 核销率异常波动排查</t>
  </si>
  <si>
    <t>【实例2】3.4 核销率策略优化效果验证</t>
  </si>
  <si>
    <t>回收率 = 不良贷款回收金额 / 不良贷款余额 x 100%</t>
  </si>
  <si>
    <t>本期回收金额(元)</t>
  </si>
  <si>
    <t>回收率</t>
  </si>
  <si>
    <t>&gt; 20%</t>
  </si>
  <si>
    <t>【实例0】3.5 不良贷款回收率日常监控体系搭建</t>
  </si>
  <si>
    <t>实例1】3.5 不良贷款回收率异常波动排查</t>
  </si>
  <si>
    <t>【实例2】3.5 不良贷款回收率策略优化效果验证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</si>
</sst>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/m/d;@"/>
    <numFmt numFmtId="178" formatCode="_ * #,##0_ ;_ * \-#,##0_ ;_ * &quot;-&quot;??_ ;_ @_ "/>
    <numFmt numFmtId="179" formatCode="_ * #,##0.0_ ;_ * \-#,##0.0_ ;_ * &quot;-&quot;??_ ;_ @_ "/>
  </numFmts>
  <fonts count="38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1F4E79"/>
      <name val="微软雅黑"/>
      <charset val="134"/>
    </font>
    <font>
      <b/>
      <sz val="9.5"/>
      <color rgb="FFFFFFFF"/>
      <name val="微软雅黑"/>
      <charset val="134"/>
    </font>
    <font>
      <sz val="9"/>
      <color theme="1"/>
      <name val="微软雅黑"/>
      <charset val="134"/>
    </font>
    <font>
      <b/>
      <sz val="10.5"/>
      <color theme="1"/>
      <name val="Times New Roman"/>
      <charset val="134"/>
    </font>
    <font>
      <sz val="10.5"/>
      <color theme="1"/>
      <name val="Times New Roman"/>
      <charset val="134"/>
    </font>
    <font>
      <sz val="11"/>
      <color theme="1"/>
      <name val="Arial"/>
      <charset val="134"/>
    </font>
    <font>
      <sz val="12"/>
      <color theme="1"/>
      <name val="Calibri"/>
      <charset val="134"/>
    </font>
    <font>
      <sz val="12"/>
      <color theme="1"/>
      <name val="宋体"/>
      <charset val="134"/>
    </font>
    <font>
      <b/>
      <sz val="11"/>
      <color theme="1"/>
      <name val="Arial"/>
      <charset val="134"/>
    </font>
    <font>
      <b/>
      <sz val="9.5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6" borderId="2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9" fontId="8" fillId="7" borderId="3" xfId="0" applyNumberFormat="1" applyFont="1" applyFill="1" applyBorder="1" applyAlignment="1">
      <alignment horizontal="center" vertical="top" wrapText="1"/>
    </xf>
    <xf numFmtId="9" fontId="8" fillId="0" borderId="3" xfId="0" applyNumberFormat="1" applyFont="1" applyBorder="1" applyAlignment="1">
      <alignment horizontal="center" vertical="top" wrapText="1"/>
    </xf>
    <xf numFmtId="10" fontId="3" fillId="4" borderId="1" xfId="0" applyNumberFormat="1" applyFont="1" applyFill="1" applyBorder="1" applyAlignment="1">
      <alignment horizontal="center" vertical="center" wrapText="1"/>
    </xf>
    <xf numFmtId="10" fontId="8" fillId="0" borderId="3" xfId="0" applyNumberFormat="1" applyFont="1" applyBorder="1" applyAlignment="1">
      <alignment horizontal="center" vertical="top" wrapText="1"/>
    </xf>
    <xf numFmtId="10" fontId="8" fillId="7" borderId="3" xfId="0" applyNumberFormat="1" applyFont="1" applyFill="1" applyBorder="1" applyAlignment="1">
      <alignment horizontal="center" vertical="top" wrapText="1"/>
    </xf>
    <xf numFmtId="0" fontId="9" fillId="0" borderId="0" xfId="0" applyFont="1"/>
    <xf numFmtId="0" fontId="10" fillId="0" borderId="0" xfId="0" applyFont="1"/>
    <xf numFmtId="177" fontId="7" fillId="6" borderId="2" xfId="0" applyNumberFormat="1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vertical="center"/>
    </xf>
    <xf numFmtId="178" fontId="11" fillId="0" borderId="1" xfId="0" applyNumberFormat="1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76" fontId="11" fillId="0" borderId="1" xfId="3" applyNumberFormat="1" applyFont="1" applyFill="1" applyBorder="1" applyAlignment="1" applyProtection="1">
      <alignment vertical="center"/>
    </xf>
    <xf numFmtId="176" fontId="11" fillId="0" borderId="0" xfId="3" applyNumberFormat="1" applyFont="1" applyFill="1" applyAlignment="1" applyProtection="1">
      <alignment vertical="center"/>
    </xf>
    <xf numFmtId="178" fontId="11" fillId="0" borderId="1" xfId="3" applyNumberFormat="1" applyFont="1" applyFill="1" applyBorder="1" applyAlignment="1" applyProtection="1">
      <alignment vertical="center"/>
    </xf>
    <xf numFmtId="178" fontId="14" fillId="0" borderId="1" xfId="0" applyNumberFormat="1" applyFont="1" applyFill="1" applyBorder="1" applyAlignment="1">
      <alignment vertical="center"/>
    </xf>
    <xf numFmtId="178" fontId="14" fillId="0" borderId="0" xfId="0" applyNumberFormat="1" applyFont="1" applyFill="1" applyAlignment="1">
      <alignment vertical="center"/>
    </xf>
    <xf numFmtId="177" fontId="7" fillId="6" borderId="1" xfId="0" applyNumberFormat="1" applyFont="1" applyFill="1" applyBorder="1" applyAlignment="1">
      <alignment horizontal="center" vertical="top" wrapText="1"/>
    </xf>
    <xf numFmtId="177" fontId="15" fillId="6" borderId="1" xfId="0" applyNumberFormat="1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center"/>
    </xf>
    <xf numFmtId="179" fontId="11" fillId="0" borderId="1" xfId="3" applyNumberFormat="1" applyFont="1" applyFill="1" applyBorder="1" applyAlignment="1" applyProtection="1">
      <alignment vertical="center"/>
    </xf>
    <xf numFmtId="0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13" sqref="B13"/>
    </sheetView>
  </sheetViews>
  <sheetFormatPr defaultColWidth="9" defaultRowHeight="14" outlineLevelCol="3"/>
  <cols>
    <col min="1" max="1" width="8" customWidth="1"/>
    <col min="2" max="2" width="12" customWidth="1"/>
    <col min="3" max="3" width="25" customWidth="1"/>
    <col min="4" max="4" width="30" customWidth="1"/>
  </cols>
  <sheetData>
    <row r="1" ht="20" spans="1:4">
      <c r="A1" s="1" t="s">
        <v>0</v>
      </c>
    </row>
    <row r="3" ht="14.5" spans="1:4">
      <c r="A3" s="5" t="s">
        <v>1</v>
      </c>
      <c r="B3" s="5" t="s">
        <v>2</v>
      </c>
      <c r="C3" s="5" t="s">
        <v>3</v>
      </c>
      <c r="D3" s="5" t="s">
        <v>4</v>
      </c>
    </row>
    <row r="4" ht="14.5" spans="1:4">
      <c r="A4" s="12">
        <v>1</v>
      </c>
      <c r="B4" s="40">
        <v>3.1</v>
      </c>
      <c r="C4" s="12" t="s">
        <v>5</v>
      </c>
      <c r="D4" s="12" t="s">
        <v>6</v>
      </c>
    </row>
    <row r="5" ht="14.5" spans="1:4">
      <c r="A5" s="12">
        <v>2</v>
      </c>
      <c r="B5" s="40">
        <v>3.2</v>
      </c>
      <c r="C5" s="12" t="s">
        <v>7</v>
      </c>
      <c r="D5" s="12" t="s">
        <v>8</v>
      </c>
    </row>
    <row r="6" ht="14.5" spans="1:4">
      <c r="A6" s="12">
        <v>3</v>
      </c>
      <c r="B6" s="40">
        <v>3.3</v>
      </c>
      <c r="C6" s="12" t="s">
        <v>9</v>
      </c>
      <c r="D6" s="12" t="s">
        <v>10</v>
      </c>
    </row>
    <row r="7" ht="14.5" spans="1:4">
      <c r="A7" s="12">
        <v>4</v>
      </c>
      <c r="B7" s="40">
        <v>3.4</v>
      </c>
      <c r="C7" s="12" t="s">
        <v>11</v>
      </c>
      <c r="D7" s="12" t="s">
        <v>12</v>
      </c>
    </row>
    <row r="8" ht="14.5" spans="1:4">
      <c r="A8" s="12">
        <v>5</v>
      </c>
      <c r="B8" s="40">
        <v>3.5</v>
      </c>
      <c r="C8" s="12" t="s">
        <v>13</v>
      </c>
      <c r="D8" s="12" t="s">
        <v>14</v>
      </c>
    </row>
    <row r="9" ht="14.5" spans="1:4">
      <c r="A9" s="12">
        <v>6</v>
      </c>
      <c r="B9" s="40">
        <v>3.6</v>
      </c>
      <c r="C9" s="12" t="s">
        <v>15</v>
      </c>
      <c r="D9" s="12" t="s">
        <v>16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abSelected="1" zoomScale="70" zoomScaleNormal="70" workbookViewId="0">
      <selection activeCell="B73" sqref="B73"/>
    </sheetView>
  </sheetViews>
  <sheetFormatPr defaultColWidth="9" defaultRowHeight="14"/>
  <cols>
    <col min="1" max="2" width="20" customWidth="1"/>
    <col min="3" max="4" width="15" customWidth="1"/>
    <col min="5" max="5" width="21.3636363636364"/>
    <col min="6" max="6" width="17.0909090909091"/>
    <col min="7" max="8" width="18.3636363636364"/>
    <col min="9" max="11" width="12.8181818181818" customWidth="1"/>
    <col min="12" max="13" width="17.0909090909091" customWidth="1"/>
    <col min="14" max="20" width="18.3636363636364" customWidth="1"/>
  </cols>
  <sheetData>
    <row r="1" customFormat="1" ht="20" spans="1:13">
      <c r="A1" s="1" t="s">
        <v>17</v>
      </c>
    </row>
    <row r="2" customFormat="1" spans="1:13">
      <c r="A2" s="2" t="s">
        <v>18</v>
      </c>
    </row>
    <row r="4" spans="1:13">
      <c r="A4" s="22" t="s">
        <v>19</v>
      </c>
    </row>
    <row r="5" spans="1:13">
      <c r="A5" t="s">
        <v>20</v>
      </c>
    </row>
    <row r="7" ht="14.75" spans="1:13">
      <c r="A7" s="23" t="s">
        <v>21</v>
      </c>
    </row>
    <row r="8" ht="14.75" spans="1:13">
      <c r="A8" s="24" t="s">
        <v>22</v>
      </c>
      <c r="B8" s="24">
        <v>44957</v>
      </c>
      <c r="C8" s="24">
        <v>44985</v>
      </c>
      <c r="D8" s="24">
        <v>45016</v>
      </c>
      <c r="E8" s="24">
        <v>45046</v>
      </c>
      <c r="F8" s="24">
        <v>45077</v>
      </c>
      <c r="G8" s="24">
        <v>45107</v>
      </c>
      <c r="H8" s="24">
        <v>45138</v>
      </c>
      <c r="I8" s="24">
        <v>45169</v>
      </c>
      <c r="J8" s="24">
        <v>45199</v>
      </c>
      <c r="K8" s="24">
        <v>45230</v>
      </c>
      <c r="L8" s="24">
        <v>45260</v>
      </c>
      <c r="M8" s="24">
        <v>45291</v>
      </c>
    </row>
    <row r="9" spans="1:13">
      <c r="A9" s="25" t="s">
        <v>23</v>
      </c>
      <c r="B9" s="26">
        <v>29301290</v>
      </c>
      <c r="C9" s="26">
        <v>30766354.5</v>
      </c>
      <c r="D9" s="26">
        <v>32304672.225</v>
      </c>
      <c r="E9" s="26">
        <v>33919905.83625</v>
      </c>
      <c r="F9" s="26">
        <v>35615901.1280625</v>
      </c>
      <c r="G9" s="26">
        <v>37396696.1844656</v>
      </c>
      <c r="H9" s="26">
        <v>39266530.9936889</v>
      </c>
      <c r="I9" s="26">
        <v>41229857.5433734</v>
      </c>
      <c r="J9" s="26">
        <v>43291350.420542</v>
      </c>
      <c r="K9" s="26">
        <v>45455917.9415691</v>
      </c>
      <c r="L9" s="26">
        <v>47728713.8386476</v>
      </c>
      <c r="M9" s="26">
        <v>50115149.53058</v>
      </c>
    </row>
    <row r="10" spans="1:13">
      <c r="A10" s="25" t="s">
        <v>24</v>
      </c>
      <c r="B10" s="26">
        <v>1465064.5</v>
      </c>
      <c r="C10" s="26">
        <v>1679117.81676878</v>
      </c>
      <c r="D10" s="26">
        <v>1828341.13857411</v>
      </c>
      <c r="E10" s="26">
        <v>2142539.21872042</v>
      </c>
      <c r="F10" s="26">
        <v>2466960.71542074</v>
      </c>
      <c r="G10" s="26">
        <v>2741639.12761306</v>
      </c>
      <c r="H10" s="26">
        <v>3035337.95757679</v>
      </c>
      <c r="I10" s="26">
        <v>3543857.57445347</v>
      </c>
      <c r="J10" s="26">
        <v>4044924.92881149</v>
      </c>
      <c r="K10" s="26">
        <v>4421466.68558745</v>
      </c>
      <c r="L10" s="26">
        <v>4818573.88487434</v>
      </c>
      <c r="M10" s="26">
        <v>5102001.8877028</v>
      </c>
    </row>
    <row r="11" spans="1:13">
      <c r="A11" s="25" t="s">
        <v>25</v>
      </c>
      <c r="B11" s="26">
        <v>586025.8</v>
      </c>
      <c r="C11" s="26">
        <v>588816.916821479</v>
      </c>
      <c r="D11" s="26">
        <v>691001.93037771</v>
      </c>
      <c r="E11" s="26">
        <v>757099.010089717</v>
      </c>
      <c r="F11" s="26">
        <v>894448.93771401</v>
      </c>
      <c r="G11" s="26">
        <v>1035287.11042292</v>
      </c>
      <c r="H11" s="26">
        <v>1173761.69718672</v>
      </c>
      <c r="I11" s="26">
        <v>1320148.70474264</v>
      </c>
      <c r="J11" s="26">
        <v>1562377.94096863</v>
      </c>
      <c r="K11" s="26">
        <v>1791251.41862146</v>
      </c>
      <c r="L11" s="26">
        <v>1980973.04646013</v>
      </c>
      <c r="M11" s="26">
        <v>2166850.86128079</v>
      </c>
    </row>
    <row r="12" spans="1:13">
      <c r="A12" s="25" t="s">
        <v>26</v>
      </c>
      <c r="B12" s="26">
        <v>527423.22</v>
      </c>
      <c r="C12" s="26">
        <v>529966.719185803</v>
      </c>
      <c r="D12" s="26">
        <v>537770.605643677</v>
      </c>
      <c r="E12" s="26">
        <v>636686.242037901</v>
      </c>
      <c r="F12" s="26">
        <v>701306.834708029</v>
      </c>
      <c r="G12" s="26">
        <v>829606.404793955</v>
      </c>
      <c r="H12" s="26">
        <v>968864.388297908</v>
      </c>
      <c r="I12" s="26">
        <v>1099455.69765535</v>
      </c>
      <c r="J12" s="26">
        <v>1239094.07627122</v>
      </c>
      <c r="K12" s="26">
        <v>1473701.23894198</v>
      </c>
      <c r="L12" s="26">
        <v>1693929.80442784</v>
      </c>
      <c r="M12" s="26">
        <v>1882812.5368495</v>
      </c>
    </row>
    <row r="13" spans="1:13">
      <c r="A13" s="25" t="s">
        <v>27</v>
      </c>
      <c r="B13" s="26">
        <v>504742.922677196</v>
      </c>
      <c r="C13" s="26">
        <v>505549.109660594</v>
      </c>
      <c r="D13" s="26">
        <v>511666.387521517</v>
      </c>
      <c r="E13" s="26">
        <v>519329.711048621</v>
      </c>
      <c r="F13" s="26">
        <v>617360.233039859</v>
      </c>
      <c r="G13" s="26">
        <v>684360.987338286</v>
      </c>
      <c r="H13" s="26">
        <v>815115.012973583</v>
      </c>
      <c r="I13" s="26">
        <v>959270.34259657</v>
      </c>
      <c r="J13" s="26">
        <v>1094766.13865115</v>
      </c>
      <c r="K13" s="26">
        <v>1215561.47417589</v>
      </c>
      <c r="L13" s="26">
        <v>1466935.54404801</v>
      </c>
      <c r="M13" s="26">
        <v>1687301.06130258</v>
      </c>
    </row>
    <row r="14" spans="1:13">
      <c r="A14" s="25" t="s">
        <v>28</v>
      </c>
      <c r="B14" s="26">
        <v>10094.8584535439</v>
      </c>
      <c r="C14" s="26">
        <v>11259.8985707248</v>
      </c>
      <c r="D14" s="26">
        <v>13538.6787851538</v>
      </c>
      <c r="E14" s="26">
        <v>18223.0862337582</v>
      </c>
      <c r="F14" s="26">
        <v>22187.785239473</v>
      </c>
      <c r="G14" s="26">
        <v>32048.3528003814</v>
      </c>
      <c r="H14" s="26">
        <v>41391.770541659</v>
      </c>
      <c r="I14" s="26">
        <v>55387.6007389102</v>
      </c>
      <c r="J14" s="26">
        <v>67980.2595461545</v>
      </c>
      <c r="K14" s="26">
        <v>78445.780880584</v>
      </c>
      <c r="L14" s="26">
        <v>108819.090670248</v>
      </c>
      <c r="M14" s="26">
        <v>137901.032211932</v>
      </c>
    </row>
    <row r="15" spans="1:13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ht="15.5" spans="1:13">
      <c r="A16" s="29" t="s">
        <v>29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ht="16.25" spans="1:13">
      <c r="A17" s="30" t="s">
        <v>30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ht="14.75" spans="1:13">
      <c r="A18" s="24" t="s">
        <v>31</v>
      </c>
      <c r="B18" s="24">
        <v>44957</v>
      </c>
      <c r="C18" s="24">
        <v>44985</v>
      </c>
      <c r="D18" s="24">
        <v>45016</v>
      </c>
      <c r="E18" s="24">
        <v>45046</v>
      </c>
      <c r="F18" s="24">
        <v>45077</v>
      </c>
      <c r="G18" s="24">
        <v>45107</v>
      </c>
      <c r="H18" s="24">
        <v>45138</v>
      </c>
      <c r="I18" s="24">
        <v>45169</v>
      </c>
      <c r="J18" s="24">
        <v>45199</v>
      </c>
      <c r="K18" s="24">
        <v>45230</v>
      </c>
      <c r="L18" s="24">
        <v>45260</v>
      </c>
      <c r="M18" s="24">
        <v>45291</v>
      </c>
    </row>
    <row r="19" spans="1:13">
      <c r="A19" s="25" t="s">
        <v>32</v>
      </c>
      <c r="B19" s="31"/>
      <c r="C19" s="31">
        <f t="shared" ref="C19:M19" si="0">C10/B9</f>
        <v>0.05730525232059</v>
      </c>
      <c r="D19" s="31">
        <f t="shared" si="0"/>
        <v>0.0594266421318818</v>
      </c>
      <c r="E19" s="31">
        <f t="shared" si="0"/>
        <v>0.0663228898840938</v>
      </c>
      <c r="F19" s="31">
        <f t="shared" si="0"/>
        <v>0.0727289965759372</v>
      </c>
      <c r="G19" s="31">
        <f t="shared" si="0"/>
        <v>0.0769779520039398</v>
      </c>
      <c r="H19" s="31">
        <f t="shared" si="0"/>
        <v>0.0811659389001763</v>
      </c>
      <c r="I19" s="31">
        <f t="shared" si="0"/>
        <v>0.0902513536279295</v>
      </c>
      <c r="J19" s="31">
        <f t="shared" si="0"/>
        <v>0.0981066918447698</v>
      </c>
      <c r="K19" s="31">
        <f t="shared" si="0"/>
        <v>0.102132796566435</v>
      </c>
      <c r="L19" s="31">
        <f t="shared" si="0"/>
        <v>0.1060054246637</v>
      </c>
      <c r="M19" s="31">
        <f t="shared" si="0"/>
        <v>0.106895859480955</v>
      </c>
    </row>
    <row r="20" spans="1:13">
      <c r="A20" s="25" t="s">
        <v>33</v>
      </c>
      <c r="B20" s="31"/>
      <c r="C20" s="31">
        <f t="shared" ref="C20:M20" si="1">C11/B10</f>
        <v>0.401905115318458</v>
      </c>
      <c r="D20" s="31">
        <f t="shared" si="1"/>
        <v>0.41152676928141</v>
      </c>
      <c r="E20" s="31">
        <f t="shared" si="1"/>
        <v>0.414090671656693</v>
      </c>
      <c r="F20" s="31">
        <f t="shared" si="1"/>
        <v>0.417471442248884</v>
      </c>
      <c r="G20" s="31">
        <f t="shared" si="1"/>
        <v>0.419660963367368</v>
      </c>
      <c r="H20" s="31">
        <f t="shared" si="1"/>
        <v>0.428124068322816</v>
      </c>
      <c r="I20" s="31">
        <f t="shared" si="1"/>
        <v>0.434926430991743</v>
      </c>
      <c r="J20" s="31">
        <f t="shared" si="1"/>
        <v>0.440869281043152</v>
      </c>
      <c r="K20" s="31">
        <f t="shared" si="1"/>
        <v>0.442839224496505</v>
      </c>
      <c r="L20" s="31">
        <f t="shared" si="1"/>
        <v>0.448035275922684</v>
      </c>
      <c r="M20" s="31">
        <f t="shared" si="1"/>
        <v>0.449687171568045</v>
      </c>
    </row>
    <row r="21" spans="1:13">
      <c r="A21" s="25" t="s">
        <v>34</v>
      </c>
      <c r="B21" s="31"/>
      <c r="C21" s="31">
        <f t="shared" ref="C21:M21" si="2">C12/B11</f>
        <v>0.904340251207034</v>
      </c>
      <c r="D21" s="31">
        <f t="shared" si="2"/>
        <v>0.913306989457168</v>
      </c>
      <c r="E21" s="31">
        <f t="shared" si="2"/>
        <v>0.921395750211408</v>
      </c>
      <c r="F21" s="31">
        <f t="shared" si="2"/>
        <v>0.926307953598993</v>
      </c>
      <c r="G21" s="31">
        <f t="shared" si="2"/>
        <v>0.92750560687592</v>
      </c>
      <c r="H21" s="31">
        <f t="shared" si="2"/>
        <v>0.935841254608224</v>
      </c>
      <c r="I21" s="31">
        <f t="shared" si="2"/>
        <v>0.936694135010993</v>
      </c>
      <c r="J21" s="31">
        <f t="shared" si="2"/>
        <v>0.938601895240869</v>
      </c>
      <c r="K21" s="31">
        <f t="shared" si="2"/>
        <v>0.943242476931239</v>
      </c>
      <c r="L21" s="31">
        <f t="shared" si="2"/>
        <v>0.94566836727559</v>
      </c>
      <c r="M21" s="31">
        <f t="shared" si="2"/>
        <v>0.950448336595979</v>
      </c>
    </row>
    <row r="22" spans="1:13">
      <c r="A22" s="25" t="s">
        <v>35</v>
      </c>
      <c r="B22" s="31"/>
      <c r="C22" s="31">
        <f t="shared" ref="C22:M22" si="3">C13/B12</f>
        <v>0.958526455586453</v>
      </c>
      <c r="D22" s="31">
        <f t="shared" si="3"/>
        <v>0.965468903986271</v>
      </c>
      <c r="E22" s="31">
        <f t="shared" si="3"/>
        <v>0.965708622967625</v>
      </c>
      <c r="F22" s="31">
        <f t="shared" si="3"/>
        <v>0.969645945330649</v>
      </c>
      <c r="G22" s="31">
        <f t="shared" si="3"/>
        <v>0.975836757135273</v>
      </c>
      <c r="H22" s="31">
        <f t="shared" si="3"/>
        <v>0.982532208362143</v>
      </c>
      <c r="I22" s="31">
        <f t="shared" si="3"/>
        <v>0.99009763820694</v>
      </c>
      <c r="J22" s="31">
        <f t="shared" si="3"/>
        <v>0.995734653961773</v>
      </c>
      <c r="K22" s="31">
        <f t="shared" si="3"/>
        <v>0.981008220000417</v>
      </c>
      <c r="L22" s="31">
        <f t="shared" si="3"/>
        <v>0.995409045798979</v>
      </c>
      <c r="M22" s="31">
        <f t="shared" si="3"/>
        <v>0.996086766341832</v>
      </c>
    </row>
    <row r="23" spans="1:13">
      <c r="A23" s="25" t="s">
        <v>36</v>
      </c>
      <c r="B23" s="31"/>
      <c r="C23" s="31">
        <f t="shared" ref="C23:M23" si="4">C14/B13</f>
        <v>0.0223081851470079</v>
      </c>
      <c r="D23" s="31">
        <f t="shared" si="4"/>
        <v>0.0267801456405356</v>
      </c>
      <c r="E23" s="31">
        <f t="shared" si="4"/>
        <v>0.0356151716786201</v>
      </c>
      <c r="F23" s="31">
        <f t="shared" si="4"/>
        <v>0.0427238895973655</v>
      </c>
      <c r="G23" s="31">
        <f t="shared" si="4"/>
        <v>0.0519119163904946</v>
      </c>
      <c r="H23" s="31">
        <f t="shared" si="4"/>
        <v>0.0604823642894166</v>
      </c>
      <c r="I23" s="31">
        <f t="shared" si="4"/>
        <v>0.0679506570942097</v>
      </c>
      <c r="J23" s="31">
        <f t="shared" si="4"/>
        <v>0.0708666332393268</v>
      </c>
      <c r="K23" s="31">
        <f t="shared" si="4"/>
        <v>0.0716552861026888</v>
      </c>
      <c r="L23" s="31">
        <f t="shared" si="4"/>
        <v>0.0895216679551511</v>
      </c>
      <c r="M23" s="31">
        <f t="shared" si="4"/>
        <v>0.0940061973216587</v>
      </c>
    </row>
    <row r="24" spans="1:13">
      <c r="A24" s="27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ht="16.25" spans="1:13">
      <c r="A25" s="29" t="s">
        <v>37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ht="14.75" spans="1:13">
      <c r="A26" s="24" t="s">
        <v>38</v>
      </c>
      <c r="B26" s="24">
        <v>44957</v>
      </c>
      <c r="C26" s="24">
        <v>44985</v>
      </c>
      <c r="D26" s="24">
        <v>45016</v>
      </c>
      <c r="E26" s="24">
        <v>45046</v>
      </c>
      <c r="F26" s="24">
        <v>45077</v>
      </c>
      <c r="G26" s="24">
        <v>45107</v>
      </c>
      <c r="H26" s="24">
        <v>45138</v>
      </c>
      <c r="I26" s="24">
        <v>45169</v>
      </c>
      <c r="J26" s="24">
        <v>45199</v>
      </c>
      <c r="K26" s="24">
        <v>45230</v>
      </c>
      <c r="L26" s="24">
        <v>45260</v>
      </c>
      <c r="M26" s="24">
        <v>45291</v>
      </c>
    </row>
    <row r="27" spans="1:13">
      <c r="A27" s="25" t="s">
        <v>32</v>
      </c>
      <c r="B27" s="31"/>
      <c r="C27" s="31"/>
      <c r="D27" s="31"/>
      <c r="E27" s="31">
        <f t="shared" ref="E27:M27" si="5">AVERAGE(C19:E19)</f>
        <v>0.0610182614455219</v>
      </c>
      <c r="F27" s="31">
        <f t="shared" si="5"/>
        <v>0.0661595095306376</v>
      </c>
      <c r="G27" s="31">
        <f t="shared" si="5"/>
        <v>0.072009946154657</v>
      </c>
      <c r="H27" s="31">
        <f t="shared" si="5"/>
        <v>0.0769576291600178</v>
      </c>
      <c r="I27" s="31">
        <f t="shared" si="5"/>
        <v>0.0827984148440152</v>
      </c>
      <c r="J27" s="31">
        <f t="shared" si="5"/>
        <v>0.0898413281242918</v>
      </c>
      <c r="K27" s="31">
        <f t="shared" si="5"/>
        <v>0.0968302806797113</v>
      </c>
      <c r="L27" s="31">
        <f t="shared" si="5"/>
        <v>0.102081637691635</v>
      </c>
      <c r="M27" s="31">
        <f t="shared" si="5"/>
        <v>0.10501136023703</v>
      </c>
    </row>
    <row r="28" spans="1:13">
      <c r="A28" s="25" t="s">
        <v>33</v>
      </c>
      <c r="B28" s="31"/>
      <c r="C28" s="31"/>
      <c r="D28" s="31"/>
      <c r="E28" s="31">
        <f t="shared" ref="E28:M28" si="6">AVERAGE(C20:E20)</f>
        <v>0.409174185418854</v>
      </c>
      <c r="F28" s="31">
        <f t="shared" si="6"/>
        <v>0.414362961062329</v>
      </c>
      <c r="G28" s="31">
        <f t="shared" si="6"/>
        <v>0.417074359090982</v>
      </c>
      <c r="H28" s="31">
        <f t="shared" si="6"/>
        <v>0.421752157979689</v>
      </c>
      <c r="I28" s="31">
        <f t="shared" si="6"/>
        <v>0.427570487560643</v>
      </c>
      <c r="J28" s="31">
        <f t="shared" si="6"/>
        <v>0.434639926785904</v>
      </c>
      <c r="K28" s="31">
        <f t="shared" si="6"/>
        <v>0.4395449788438</v>
      </c>
      <c r="L28" s="31">
        <f t="shared" si="6"/>
        <v>0.44391459382078</v>
      </c>
      <c r="M28" s="31">
        <f t="shared" si="6"/>
        <v>0.446853890662411</v>
      </c>
    </row>
    <row r="29" spans="1:13">
      <c r="A29" s="25" t="s">
        <v>34</v>
      </c>
      <c r="B29" s="31"/>
      <c r="C29" s="31"/>
      <c r="D29" s="31"/>
      <c r="E29" s="31">
        <f t="shared" ref="E29:M29" si="7">AVERAGE(C21:E21)</f>
        <v>0.91301433029187</v>
      </c>
      <c r="F29" s="31">
        <f t="shared" si="7"/>
        <v>0.920336897755856</v>
      </c>
      <c r="G29" s="31">
        <f t="shared" si="7"/>
        <v>0.925069770228774</v>
      </c>
      <c r="H29" s="31">
        <f t="shared" si="7"/>
        <v>0.929884938361046</v>
      </c>
      <c r="I29" s="31">
        <f t="shared" si="7"/>
        <v>0.933346998831712</v>
      </c>
      <c r="J29" s="31">
        <f t="shared" si="7"/>
        <v>0.937045761620029</v>
      </c>
      <c r="K29" s="31">
        <f t="shared" si="7"/>
        <v>0.9395128357277</v>
      </c>
      <c r="L29" s="31">
        <f t="shared" si="7"/>
        <v>0.942504246482566</v>
      </c>
      <c r="M29" s="31">
        <f t="shared" si="7"/>
        <v>0.946453060267603</v>
      </c>
    </row>
    <row r="30" spans="1:13">
      <c r="A30" s="25" t="s">
        <v>35</v>
      </c>
      <c r="B30" s="31"/>
      <c r="C30" s="31"/>
      <c r="D30" s="31"/>
      <c r="E30" s="31">
        <f t="shared" ref="E30:M30" si="8">AVERAGE(C22:E22)</f>
        <v>0.963234660846783</v>
      </c>
      <c r="F30" s="31">
        <f t="shared" si="8"/>
        <v>0.966941157428182</v>
      </c>
      <c r="G30" s="31">
        <f t="shared" si="8"/>
        <v>0.970397108477849</v>
      </c>
      <c r="H30" s="31">
        <f t="shared" si="8"/>
        <v>0.976004970276022</v>
      </c>
      <c r="I30" s="31">
        <f t="shared" si="8"/>
        <v>0.982822201234785</v>
      </c>
      <c r="J30" s="31">
        <f t="shared" si="8"/>
        <v>0.989454833510286</v>
      </c>
      <c r="K30" s="31">
        <f t="shared" si="8"/>
        <v>0.98894683738971</v>
      </c>
      <c r="L30" s="31">
        <f t="shared" si="8"/>
        <v>0.990717306587056</v>
      </c>
      <c r="M30" s="31">
        <f t="shared" si="8"/>
        <v>0.990834677380409</v>
      </c>
    </row>
    <row r="31" spans="1:13">
      <c r="A31" s="25" t="s">
        <v>36</v>
      </c>
      <c r="B31" s="31"/>
      <c r="C31" s="31"/>
      <c r="D31" s="31"/>
      <c r="E31" s="31">
        <f t="shared" ref="E31:M31" si="9">AVERAGE(C23:E23)</f>
        <v>0.0282345008220545</v>
      </c>
      <c r="F31" s="31">
        <f t="shared" si="9"/>
        <v>0.0350397356388404</v>
      </c>
      <c r="G31" s="31">
        <f t="shared" si="9"/>
        <v>0.0434169925554934</v>
      </c>
      <c r="H31" s="31">
        <f t="shared" si="9"/>
        <v>0.0517060567590922</v>
      </c>
      <c r="I31" s="31">
        <f t="shared" si="9"/>
        <v>0.0601149792580403</v>
      </c>
      <c r="J31" s="31">
        <f t="shared" si="9"/>
        <v>0.066433218207651</v>
      </c>
      <c r="K31" s="31">
        <f t="shared" si="9"/>
        <v>0.0701575254787418</v>
      </c>
      <c r="L31" s="31">
        <f t="shared" si="9"/>
        <v>0.0773478624323889</v>
      </c>
      <c r="M31" s="31">
        <f t="shared" si="9"/>
        <v>0.0850610504598329</v>
      </c>
    </row>
    <row r="32" spans="1:13">
      <c r="A32" s="27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ht="15.5" spans="1:13">
      <c r="A33" s="29" t="s">
        <v>39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ht="16.25" spans="1:13">
      <c r="A34" s="30" t="s">
        <v>40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ht="14.75" spans="1:13">
      <c r="A35" s="24" t="s">
        <v>41</v>
      </c>
      <c r="B35" s="24">
        <v>44957</v>
      </c>
      <c r="C35" s="24">
        <v>44985</v>
      </c>
      <c r="D35" s="24">
        <v>45016</v>
      </c>
      <c r="E35" s="24">
        <v>45046</v>
      </c>
      <c r="F35" s="24">
        <v>45077</v>
      </c>
      <c r="G35" s="24">
        <v>45107</v>
      </c>
      <c r="H35" s="24">
        <v>45138</v>
      </c>
      <c r="I35" s="24">
        <v>45169</v>
      </c>
      <c r="J35" s="24">
        <v>45199</v>
      </c>
      <c r="K35" s="24">
        <v>45230</v>
      </c>
      <c r="L35" s="24">
        <v>45260</v>
      </c>
      <c r="M35" s="24">
        <v>45291</v>
      </c>
    </row>
    <row r="36" spans="1:13">
      <c r="A36" s="25" t="s">
        <v>42</v>
      </c>
      <c r="B36" s="31"/>
      <c r="C36" s="31"/>
      <c r="D36" s="31"/>
      <c r="E36" s="31">
        <f t="shared" ref="E36:M36" si="10">PRODUCT(E27:E30)*(1-E31)</f>
        <v>0.0213372884301946</v>
      </c>
      <c r="F36" s="31">
        <f t="shared" si="10"/>
        <v>0.0235412497639057</v>
      </c>
      <c r="G36" s="31">
        <f t="shared" si="10"/>
        <v>0.0257900760083639</v>
      </c>
      <c r="H36" s="31">
        <f t="shared" si="10"/>
        <v>0.0279340053962612</v>
      </c>
      <c r="I36" s="31">
        <f t="shared" si="10"/>
        <v>0.0305226730898538</v>
      </c>
      <c r="J36" s="31">
        <f t="shared" si="10"/>
        <v>0.0337993188085453</v>
      </c>
      <c r="K36" s="31">
        <f t="shared" si="10"/>
        <v>0.0367705019429767</v>
      </c>
      <c r="L36" s="31">
        <f t="shared" si="10"/>
        <v>0.0390407461283132</v>
      </c>
      <c r="M36" s="31">
        <f t="shared" si="10"/>
        <v>0.0402618958731229</v>
      </c>
    </row>
    <row r="37" spans="1:13">
      <c r="A37" s="25" t="s">
        <v>43</v>
      </c>
      <c r="B37" s="31"/>
      <c r="C37" s="31"/>
      <c r="D37" s="31"/>
      <c r="E37" s="31">
        <f t="shared" ref="E37:M37" si="11">PRODUCT(E28:E30)*(1-E31)</f>
        <v>0.349686928547529</v>
      </c>
      <c r="F37" s="31">
        <f t="shared" si="11"/>
        <v>0.355825639139663</v>
      </c>
      <c r="G37" s="31">
        <f t="shared" si="11"/>
        <v>0.358146025452847</v>
      </c>
      <c r="H37" s="31">
        <f t="shared" si="11"/>
        <v>0.362979027565651</v>
      </c>
      <c r="I37" s="31">
        <f t="shared" si="11"/>
        <v>0.368638374869324</v>
      </c>
      <c r="J37" s="31">
        <f t="shared" si="11"/>
        <v>0.376211255044953</v>
      </c>
      <c r="K37" s="31">
        <f t="shared" si="11"/>
        <v>0.379741767604741</v>
      </c>
      <c r="L37" s="31">
        <f t="shared" si="11"/>
        <v>0.382446314647168</v>
      </c>
      <c r="M37" s="31">
        <f t="shared" si="11"/>
        <v>0.383405145712276</v>
      </c>
    </row>
    <row r="38" spans="1:13">
      <c r="A38" s="25" t="s">
        <v>44</v>
      </c>
      <c r="B38" s="31"/>
      <c r="C38" s="31"/>
      <c r="D38" s="31"/>
      <c r="E38" s="31">
        <f t="shared" ref="E38:M38" si="12">PRODUCT(E29:E30)*(1-E31)</f>
        <v>0.854616300365014</v>
      </c>
      <c r="F38" s="31">
        <f t="shared" si="12"/>
        <v>0.858729357053077</v>
      </c>
      <c r="G38" s="31">
        <f t="shared" si="12"/>
        <v>0.85871024589819</v>
      </c>
      <c r="H38" s="31">
        <f t="shared" si="12"/>
        <v>0.860645335650259</v>
      </c>
      <c r="I38" s="31">
        <f t="shared" si="12"/>
        <v>0.862169830692628</v>
      </c>
      <c r="J38" s="31">
        <f t="shared" si="12"/>
        <v>0.8655699392989</v>
      </c>
      <c r="K38" s="31">
        <f t="shared" si="12"/>
        <v>0.863942908877338</v>
      </c>
      <c r="L38" s="31">
        <f t="shared" si="12"/>
        <v>0.861531294466907</v>
      </c>
      <c r="M38" s="31">
        <f t="shared" si="12"/>
        <v>0.858010087243328</v>
      </c>
    </row>
    <row r="39" spans="1:13">
      <c r="A39" s="25" t="s">
        <v>45</v>
      </c>
      <c r="B39" s="31"/>
      <c r="C39" s="31"/>
      <c r="D39" s="31"/>
      <c r="E39" s="31">
        <f t="shared" ref="E39:M39" si="13">E30*(1-E31)</f>
        <v>0.936038211023273</v>
      </c>
      <c r="F39" s="31">
        <f t="shared" si="13"/>
        <v>0.933059794893584</v>
      </c>
      <c r="G39" s="31">
        <f t="shared" si="13"/>
        <v>0.928265384443194</v>
      </c>
      <c r="H39" s="31">
        <f t="shared" si="13"/>
        <v>0.925539601885774</v>
      </c>
      <c r="I39" s="31">
        <f t="shared" si="13"/>
        <v>0.923739864993215</v>
      </c>
      <c r="J39" s="31">
        <f t="shared" si="13"/>
        <v>0.923722164649082</v>
      </c>
      <c r="K39" s="31">
        <f t="shared" si="13"/>
        <v>0.91956477444842</v>
      </c>
      <c r="L39" s="31">
        <f t="shared" si="13"/>
        <v>0.914087440647774</v>
      </c>
      <c r="M39" s="31">
        <f t="shared" si="13"/>
        <v>0.906553238890402</v>
      </c>
    </row>
    <row r="40" spans="1:13">
      <c r="A40" s="25" t="s">
        <v>46</v>
      </c>
      <c r="B40" s="31"/>
      <c r="C40" s="31"/>
      <c r="D40" s="31"/>
      <c r="E40" s="31">
        <f t="shared" ref="E40:M40" si="14">1-E31</f>
        <v>0.971765499177945</v>
      </c>
      <c r="F40" s="31">
        <f t="shared" si="14"/>
        <v>0.96496026436116</v>
      </c>
      <c r="G40" s="31">
        <f t="shared" si="14"/>
        <v>0.956583007444507</v>
      </c>
      <c r="H40" s="31">
        <f t="shared" si="14"/>
        <v>0.948293943240908</v>
      </c>
      <c r="I40" s="31">
        <f t="shared" si="14"/>
        <v>0.93988502074196</v>
      </c>
      <c r="J40" s="31">
        <f t="shared" si="14"/>
        <v>0.933566781792349</v>
      </c>
      <c r="K40" s="31">
        <f t="shared" si="14"/>
        <v>0.929842474521258</v>
      </c>
      <c r="L40" s="31">
        <f t="shared" si="14"/>
        <v>0.922652137567611</v>
      </c>
      <c r="M40" s="31">
        <f t="shared" si="14"/>
        <v>0.914938949540167</v>
      </c>
    </row>
    <row r="41" spans="1:13">
      <c r="A41" s="27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</row>
    <row r="42" ht="15.5" spans="1:13">
      <c r="A42" s="29" t="s">
        <v>47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</row>
    <row r="43" ht="15.5" spans="1:13">
      <c r="A43" s="30" t="s">
        <v>48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ht="16.25" spans="1:13">
      <c r="A44" s="29" t="s">
        <v>49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ht="14.75" spans="1:13">
      <c r="A45" s="24" t="s">
        <v>50</v>
      </c>
      <c r="B45" s="24"/>
      <c r="C45" s="24"/>
      <c r="D45" s="24"/>
      <c r="E45" s="24"/>
      <c r="F45" s="24"/>
      <c r="G45" s="24">
        <v>45107</v>
      </c>
      <c r="H45" s="24">
        <v>45138</v>
      </c>
      <c r="I45" s="24">
        <v>45169</v>
      </c>
      <c r="J45" s="24">
        <v>45199</v>
      </c>
      <c r="K45" s="24">
        <v>45230</v>
      </c>
      <c r="L45" s="24">
        <v>45260</v>
      </c>
      <c r="M45" s="24">
        <v>45291</v>
      </c>
    </row>
    <row r="46" spans="1:13">
      <c r="A46" s="25" t="s">
        <v>23</v>
      </c>
      <c r="B46" s="31"/>
      <c r="C46" s="31"/>
      <c r="D46" s="31"/>
      <c r="E46" s="33">
        <f>E9*E36</f>
        <v>723758.814353109</v>
      </c>
      <c r="F46" s="33">
        <f t="shared" ref="E46:M46" si="15">F9*F36</f>
        <v>838442.824022291</v>
      </c>
      <c r="G46" s="33">
        <f t="shared" si="15"/>
        <v>964463.63705906</v>
      </c>
      <c r="H46" s="33">
        <f t="shared" si="15"/>
        <v>1096871.48867016</v>
      </c>
      <c r="I46" s="33">
        <f t="shared" si="15"/>
        <v>1258445.46333763</v>
      </c>
      <c r="J46" s="33">
        <f t="shared" si="15"/>
        <v>1463218.15451635</v>
      </c>
      <c r="K46" s="33">
        <f t="shared" si="15"/>
        <v>1671436.91899026</v>
      </c>
      <c r="L46" s="33">
        <f t="shared" si="15"/>
        <v>1863364.60000555</v>
      </c>
      <c r="M46" s="33">
        <f t="shared" si="15"/>
        <v>2017730.93206619</v>
      </c>
    </row>
    <row r="47" spans="1:13">
      <c r="A47" s="25" t="s">
        <v>24</v>
      </c>
      <c r="B47" s="31"/>
      <c r="C47" s="31"/>
      <c r="D47" s="31"/>
      <c r="E47" s="33">
        <f t="shared" ref="E47:M47" si="16">E10*E37</f>
        <v>749217.958686966</v>
      </c>
      <c r="F47" s="33">
        <f t="shared" si="16"/>
        <v>877807.873297025</v>
      </c>
      <c r="G47" s="33">
        <f t="shared" si="16"/>
        <v>981907.156780628</v>
      </c>
      <c r="H47" s="33">
        <f t="shared" si="16"/>
        <v>1101764.02017433</v>
      </c>
      <c r="I47" s="33">
        <f t="shared" si="16"/>
        <v>1306401.89701487</v>
      </c>
      <c r="J47" s="33">
        <f t="shared" si="16"/>
        <v>1521746.28403079</v>
      </c>
      <c r="K47" s="33">
        <f t="shared" si="16"/>
        <v>1679015.57459045</v>
      </c>
      <c r="L47" s="33">
        <f t="shared" si="16"/>
        <v>1842845.82412528</v>
      </c>
      <c r="M47" s="33">
        <f t="shared" si="16"/>
        <v>1956133.777179</v>
      </c>
    </row>
    <row r="48" spans="1:13">
      <c r="A48" s="25" t="s">
        <v>25</v>
      </c>
      <c r="B48" s="31"/>
      <c r="C48" s="31"/>
      <c r="D48" s="31"/>
      <c r="E48" s="33">
        <f t="shared" ref="E48:M48" si="17">E11*E38</f>
        <v>647029.155012888</v>
      </c>
      <c r="F48" s="33">
        <f t="shared" si="17"/>
        <v>768089.561199959</v>
      </c>
      <c r="G48" s="33">
        <f t="shared" si="17"/>
        <v>889011.649166492</v>
      </c>
      <c r="H48" s="33">
        <f t="shared" si="17"/>
        <v>1010192.52984868</v>
      </c>
      <c r="I48" s="33">
        <f t="shared" si="17"/>
        <v>1138192.38525705</v>
      </c>
      <c r="J48" s="33">
        <f t="shared" si="17"/>
        <v>1352347.37952616</v>
      </c>
      <c r="K48" s="33">
        <f t="shared" si="17"/>
        <v>1547538.96113448</v>
      </c>
      <c r="L48" s="33">
        <f t="shared" si="17"/>
        <v>1706670.27302085</v>
      </c>
      <c r="M48" s="33">
        <f t="shared" si="17"/>
        <v>1859179.89653081</v>
      </c>
    </row>
    <row r="49" spans="1:13">
      <c r="A49" s="25" t="s">
        <v>26</v>
      </c>
      <c r="B49" s="31"/>
      <c r="C49" s="31"/>
      <c r="D49" s="31"/>
      <c r="E49" s="33">
        <f t="shared" ref="E49:M49" si="18">E12*E39</f>
        <v>595962.650980287</v>
      </c>
      <c r="F49" s="33">
        <f t="shared" si="18"/>
        <v>654361.211350142</v>
      </c>
      <c r="G49" s="33">
        <f t="shared" si="18"/>
        <v>770094.908282597</v>
      </c>
      <c r="H49" s="33">
        <f t="shared" si="18"/>
        <v>896722.36022655</v>
      </c>
      <c r="I49" s="33">
        <f t="shared" si="18"/>
        <v>1015611.05771817</v>
      </c>
      <c r="J49" s="33">
        <f t="shared" si="18"/>
        <v>1144578.66233711</v>
      </c>
      <c r="K49" s="33">
        <f t="shared" si="18"/>
        <v>1355163.74739204</v>
      </c>
      <c r="L49" s="33">
        <f t="shared" si="18"/>
        <v>1548399.95956643</v>
      </c>
      <c r="M49" s="33">
        <f t="shared" si="18"/>
        <v>1706869.80350437</v>
      </c>
    </row>
    <row r="50" spans="1:13">
      <c r="A50" s="25"/>
      <c r="B50" s="25"/>
      <c r="C50" s="25"/>
      <c r="D50" s="25"/>
      <c r="E50" s="34">
        <f t="shared" ref="E50:M50" si="19">SUM(E46:E49)</f>
        <v>2715968.57903325</v>
      </c>
      <c r="F50" s="34">
        <f t="shared" si="19"/>
        <v>3138701.46986942</v>
      </c>
      <c r="G50" s="34">
        <f t="shared" si="19"/>
        <v>3605477.35128878</v>
      </c>
      <c r="H50" s="34">
        <f t="shared" si="19"/>
        <v>4105550.39891973</v>
      </c>
      <c r="I50" s="34">
        <f t="shared" si="19"/>
        <v>4718650.80332773</v>
      </c>
      <c r="J50" s="34">
        <f t="shared" si="19"/>
        <v>5481890.4804104</v>
      </c>
      <c r="K50" s="34">
        <f t="shared" si="19"/>
        <v>6253155.20210723</v>
      </c>
      <c r="L50" s="34">
        <f t="shared" si="19"/>
        <v>6961280.65671811</v>
      </c>
      <c r="M50" s="34">
        <f t="shared" si="19"/>
        <v>7539914.40928038</v>
      </c>
    </row>
    <row r="51" spans="1:13">
      <c r="A51" s="27"/>
      <c r="B51" s="27"/>
      <c r="C51" s="27"/>
      <c r="D51" s="27"/>
      <c r="E51" s="35"/>
      <c r="F51" s="35"/>
      <c r="G51" s="35"/>
      <c r="H51" s="35"/>
      <c r="I51" s="35"/>
      <c r="J51" s="35"/>
      <c r="K51" s="35"/>
      <c r="L51" s="35"/>
      <c r="M51" s="35"/>
    </row>
    <row r="52" ht="15.5" spans="1:13">
      <c r="A52" s="29" t="s">
        <v>51</v>
      </c>
      <c r="B52" s="27"/>
      <c r="C52" s="27"/>
      <c r="D52" s="27"/>
      <c r="E52" s="35"/>
      <c r="F52" s="35"/>
      <c r="G52" s="35"/>
      <c r="H52" s="35"/>
      <c r="I52" s="35"/>
      <c r="J52" s="35"/>
      <c r="K52" s="35"/>
      <c r="L52" s="35"/>
      <c r="M52" s="35"/>
    </row>
    <row r="53" ht="15.5" spans="1:13">
      <c r="A53" s="30" t="s">
        <v>52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ht="15" spans="1:13">
      <c r="A54" s="30" t="s">
        <v>53</v>
      </c>
      <c r="B54" s="27">
        <v>1.1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ht="15" spans="1:13">
      <c r="A55" s="30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ht="15.5" spans="1:13">
      <c r="A56" s="29" t="s">
        <v>54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ht="16.25" spans="1:13">
      <c r="A57" s="29" t="s">
        <v>55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ht="14.75" spans="1:13">
      <c r="A58" s="24" t="s">
        <v>56</v>
      </c>
      <c r="B58" s="24"/>
      <c r="C58" s="24"/>
      <c r="D58" s="24"/>
      <c r="E58" s="24">
        <v>45046</v>
      </c>
      <c r="F58" s="24">
        <v>45077</v>
      </c>
      <c r="G58" s="24">
        <v>45107</v>
      </c>
      <c r="H58" s="24">
        <v>45138</v>
      </c>
      <c r="I58" s="24">
        <v>45169</v>
      </c>
      <c r="J58" s="24">
        <v>45199</v>
      </c>
      <c r="K58" s="24">
        <v>45230</v>
      </c>
      <c r="L58" s="24">
        <v>45260</v>
      </c>
      <c r="M58" s="24">
        <v>45291</v>
      </c>
    </row>
    <row r="59" spans="1:13">
      <c r="A59" s="25" t="s">
        <v>23</v>
      </c>
      <c r="B59" s="31"/>
      <c r="C59" s="31"/>
      <c r="D59" s="31"/>
      <c r="E59" s="33">
        <f>E46*$B$54</f>
        <v>796134.69578842</v>
      </c>
      <c r="F59" s="33">
        <f t="shared" ref="F59:M59" si="20">F46*$B$54</f>
        <v>922287.106424521</v>
      </c>
      <c r="G59" s="33">
        <f t="shared" si="20"/>
        <v>1060910.00076497</v>
      </c>
      <c r="H59" s="33">
        <f t="shared" si="20"/>
        <v>1206558.63753718</v>
      </c>
      <c r="I59" s="33">
        <f t="shared" si="20"/>
        <v>1384290.00967139</v>
      </c>
      <c r="J59" s="33">
        <f t="shared" si="20"/>
        <v>1609539.96996799</v>
      </c>
      <c r="K59" s="33">
        <f t="shared" si="20"/>
        <v>1838580.61088928</v>
      </c>
      <c r="L59" s="33">
        <f t="shared" si="20"/>
        <v>2049701.06000611</v>
      </c>
      <c r="M59" s="33">
        <f t="shared" si="20"/>
        <v>2219504.02527281</v>
      </c>
    </row>
    <row r="60" spans="1:13">
      <c r="A60" s="25" t="s">
        <v>24</v>
      </c>
      <c r="B60" s="31"/>
      <c r="C60" s="31"/>
      <c r="D60" s="31"/>
      <c r="E60" s="33">
        <f>E47*$B$54</f>
        <v>824139.754555662</v>
      </c>
      <c r="F60" s="33">
        <f t="shared" ref="F60:M60" si="21">F47*$B$54</f>
        <v>965588.660626727</v>
      </c>
      <c r="G60" s="33">
        <f t="shared" si="21"/>
        <v>1080097.87245869</v>
      </c>
      <c r="H60" s="33">
        <f t="shared" si="21"/>
        <v>1211940.42219177</v>
      </c>
      <c r="I60" s="33">
        <f t="shared" si="21"/>
        <v>1437042.08671636</v>
      </c>
      <c r="J60" s="33">
        <f t="shared" si="21"/>
        <v>1673920.91243387</v>
      </c>
      <c r="K60" s="33">
        <f t="shared" si="21"/>
        <v>1846917.1320495</v>
      </c>
      <c r="L60" s="33">
        <f t="shared" si="21"/>
        <v>2027130.40653781</v>
      </c>
      <c r="M60" s="33">
        <f t="shared" si="21"/>
        <v>2151747.1548969</v>
      </c>
    </row>
    <row r="61" spans="1:13">
      <c r="A61" s="25" t="s">
        <v>25</v>
      </c>
      <c r="B61" s="31"/>
      <c r="C61" s="31"/>
      <c r="D61" s="31"/>
      <c r="E61" s="33">
        <f>E48*$B$54</f>
        <v>711732.070514177</v>
      </c>
      <c r="F61" s="33">
        <f t="shared" ref="F61:M61" si="22">F48*$B$54</f>
        <v>844898.517319955</v>
      </c>
      <c r="G61" s="33">
        <f t="shared" si="22"/>
        <v>977912.814083141</v>
      </c>
      <c r="H61" s="33">
        <f t="shared" si="22"/>
        <v>1111211.78283355</v>
      </c>
      <c r="I61" s="33">
        <f t="shared" si="22"/>
        <v>1252011.62378276</v>
      </c>
      <c r="J61" s="33">
        <f t="shared" si="22"/>
        <v>1487582.11747877</v>
      </c>
      <c r="K61" s="33">
        <f t="shared" si="22"/>
        <v>1702292.85724793</v>
      </c>
      <c r="L61" s="33">
        <f t="shared" si="22"/>
        <v>1877337.30032293</v>
      </c>
      <c r="M61" s="33">
        <f t="shared" si="22"/>
        <v>2045097.88618389</v>
      </c>
    </row>
    <row r="62" spans="1:13">
      <c r="A62" s="25" t="s">
        <v>26</v>
      </c>
      <c r="B62" s="31"/>
      <c r="C62" s="31"/>
      <c r="D62" s="31"/>
      <c r="E62" s="33">
        <f>E49*$B$54</f>
        <v>655558.916078316</v>
      </c>
      <c r="F62" s="33">
        <f t="shared" ref="F62:M62" si="23">F49*$B$54</f>
        <v>719797.332485156</v>
      </c>
      <c r="G62" s="33">
        <f t="shared" si="23"/>
        <v>847104.399110856</v>
      </c>
      <c r="H62" s="33">
        <f t="shared" si="23"/>
        <v>986394.596249205</v>
      </c>
      <c r="I62" s="33">
        <f t="shared" si="23"/>
        <v>1117172.16348999</v>
      </c>
      <c r="J62" s="33">
        <f t="shared" si="23"/>
        <v>1259036.52857082</v>
      </c>
      <c r="K62" s="33">
        <f t="shared" si="23"/>
        <v>1490680.12213124</v>
      </c>
      <c r="L62" s="33">
        <f t="shared" si="23"/>
        <v>1703239.95552307</v>
      </c>
      <c r="M62" s="33">
        <f t="shared" si="23"/>
        <v>1877556.78385481</v>
      </c>
    </row>
    <row r="63" spans="1:13">
      <c r="A63" s="25"/>
      <c r="B63" s="25"/>
      <c r="C63" s="25"/>
      <c r="D63" s="25"/>
      <c r="E63" s="34">
        <f t="shared" ref="E63:M63" si="24">SUM(E59:E62)</f>
        <v>2987565.43693657</v>
      </c>
      <c r="F63" s="34">
        <f t="shared" si="24"/>
        <v>3452571.61685636</v>
      </c>
      <c r="G63" s="34">
        <f t="shared" si="24"/>
        <v>3966025.08641765</v>
      </c>
      <c r="H63" s="34">
        <f t="shared" si="24"/>
        <v>4516105.4388117</v>
      </c>
      <c r="I63" s="34">
        <f t="shared" si="24"/>
        <v>5190515.8836605</v>
      </c>
      <c r="J63" s="34">
        <f t="shared" si="24"/>
        <v>6030079.52845144</v>
      </c>
      <c r="K63" s="34">
        <f t="shared" si="24"/>
        <v>6878470.72231796</v>
      </c>
      <c r="L63" s="34">
        <f t="shared" si="24"/>
        <v>7657408.72238992</v>
      </c>
      <c r="M63" s="34">
        <f t="shared" si="24"/>
        <v>8293905.85020841</v>
      </c>
    </row>
    <row r="64" spans="1: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ht="15.5" spans="1:13">
      <c r="A65" s="30" t="s">
        <v>57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>
      <c r="A66" s="36" t="s">
        <v>58</v>
      </c>
      <c r="B66" s="36"/>
      <c r="C66" s="36"/>
      <c r="D66" s="36"/>
      <c r="E66" s="36"/>
      <c r="F66" s="36"/>
      <c r="G66" s="37" t="s">
        <v>59</v>
      </c>
      <c r="H66" s="37" t="s">
        <v>60</v>
      </c>
      <c r="I66" s="37" t="s">
        <v>61</v>
      </c>
      <c r="J66" s="37" t="s">
        <v>62</v>
      </c>
      <c r="K66" s="27"/>
      <c r="L66" s="27"/>
      <c r="M66" s="27"/>
    </row>
    <row r="67" spans="1:13">
      <c r="A67" s="38" t="s">
        <v>23</v>
      </c>
      <c r="B67" s="25"/>
      <c r="C67" s="25"/>
      <c r="D67" s="25"/>
      <c r="E67" s="25"/>
      <c r="F67" s="25"/>
      <c r="G67" s="33">
        <v>50115149.53058</v>
      </c>
      <c r="H67" s="31">
        <v>0.0402618958731228</v>
      </c>
      <c r="I67" s="39">
        <v>1.1</v>
      </c>
      <c r="J67" s="33">
        <f t="shared" ref="J67:J70" si="25">G67*H67*I67</f>
        <v>2219504.02527281</v>
      </c>
      <c r="K67" s="27"/>
      <c r="L67" s="27"/>
      <c r="M67" s="27"/>
    </row>
    <row r="68" spans="1:13">
      <c r="A68" s="38" t="s">
        <v>24</v>
      </c>
      <c r="B68" s="25"/>
      <c r="C68" s="25"/>
      <c r="D68" s="25"/>
      <c r="E68" s="25"/>
      <c r="F68" s="25"/>
      <c r="G68" s="33">
        <v>5102001.8877028</v>
      </c>
      <c r="H68" s="31">
        <v>0.383405145712277</v>
      </c>
      <c r="I68" s="39">
        <v>1.1</v>
      </c>
      <c r="J68" s="33">
        <f t="shared" si="25"/>
        <v>2151747.15489691</v>
      </c>
      <c r="K68" s="27"/>
      <c r="L68" s="27"/>
      <c r="M68" s="27"/>
    </row>
    <row r="69" spans="1:13">
      <c r="A69" s="38" t="s">
        <v>25</v>
      </c>
      <c r="B69" s="25"/>
      <c r="C69" s="25"/>
      <c r="D69" s="25"/>
      <c r="E69" s="25"/>
      <c r="F69" s="25"/>
      <c r="G69" s="33">
        <v>2166850.86128079</v>
      </c>
      <c r="H69" s="31">
        <v>0.858010087243327</v>
      </c>
      <c r="I69" s="39">
        <v>1.1</v>
      </c>
      <c r="J69" s="33">
        <f t="shared" si="25"/>
        <v>2045097.88618389</v>
      </c>
      <c r="K69" s="27"/>
      <c r="L69" s="27"/>
      <c r="M69" s="27"/>
    </row>
    <row r="70" spans="1:13">
      <c r="A70" s="38" t="s">
        <v>26</v>
      </c>
      <c r="B70" s="25"/>
      <c r="C70" s="25"/>
      <c r="D70" s="25"/>
      <c r="E70" s="25"/>
      <c r="F70" s="25"/>
      <c r="G70" s="33">
        <v>1882812.5368495</v>
      </c>
      <c r="H70" s="31">
        <v>0.9065532388904</v>
      </c>
      <c r="I70" s="39">
        <v>1.1</v>
      </c>
      <c r="J70" s="33">
        <f t="shared" si="25"/>
        <v>1877556.7838548</v>
      </c>
      <c r="K70" s="27"/>
      <c r="L70" s="27"/>
      <c r="M70" s="27"/>
    </row>
    <row r="71" spans="1:13">
      <c r="A71" s="27"/>
      <c r="B71" s="27"/>
      <c r="C71" s="27"/>
      <c r="D71" s="27"/>
      <c r="E71" s="27"/>
      <c r="F71" s="27"/>
      <c r="G71" s="27"/>
      <c r="H71" s="27"/>
      <c r="I71" s="27"/>
      <c r="J71" s="35">
        <f>SUM(J67:J70)</f>
        <v>8293905.85020841</v>
      </c>
      <c r="K71" s="27"/>
      <c r="L71" s="27"/>
      <c r="M71" s="27"/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5" topLeftCell="A6" activePane="bottomLeft" state="frozen"/>
      <selection/>
      <selection pane="bottomLeft" activeCell="B9" sqref="$A1:$XFD104857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8</v>
      </c>
    </row>
    <row r="2" spans="1:5">
      <c r="A2" s="2" t="s">
        <v>63</v>
      </c>
    </row>
    <row r="4" ht="14.5" spans="1:5">
      <c r="A4" s="3" t="s">
        <v>64</v>
      </c>
      <c r="B4" s="4" t="s">
        <v>65</v>
      </c>
      <c r="C4" s="4" t="s">
        <v>65</v>
      </c>
      <c r="D4" s="4" t="s">
        <v>65</v>
      </c>
    </row>
    <row r="5" ht="14.5" spans="1:5">
      <c r="A5" s="5" t="s">
        <v>66</v>
      </c>
      <c r="B5" s="5" t="s">
        <v>67</v>
      </c>
      <c r="C5" s="5" t="s">
        <v>68</v>
      </c>
      <c r="D5" s="5" t="s">
        <v>69</v>
      </c>
    </row>
    <row r="6" ht="14.5" spans="1:5">
      <c r="A6" s="6" t="s">
        <v>70</v>
      </c>
      <c r="B6" s="4">
        <v>200000000</v>
      </c>
      <c r="C6" s="4" t="s">
        <v>71</v>
      </c>
      <c r="D6" s="4" t="s">
        <v>72</v>
      </c>
    </row>
    <row r="7" ht="14.5" spans="1:5">
      <c r="A7" s="6" t="s">
        <v>73</v>
      </c>
      <c r="B7" s="4">
        <v>2400000</v>
      </c>
      <c r="C7" s="4" t="s">
        <v>71</v>
      </c>
      <c r="D7" s="4" t="s">
        <v>72</v>
      </c>
    </row>
    <row r="8" ht="14.5" spans="1:5">
      <c r="A8" s="7" t="s">
        <v>7</v>
      </c>
      <c r="B8" s="19">
        <f>B7/B6</f>
        <v>0.012</v>
      </c>
      <c r="C8" s="9" t="s">
        <v>74</v>
      </c>
      <c r="D8" s="9" t="s">
        <v>75</v>
      </c>
    </row>
    <row r="10" ht="14.5" spans="1:5">
      <c r="A10" s="10" t="s">
        <v>76</v>
      </c>
      <c r="B10" s="11" t="s">
        <v>65</v>
      </c>
      <c r="C10" s="11" t="s">
        <v>65</v>
      </c>
      <c r="D10" s="11" t="s">
        <v>65</v>
      </c>
    </row>
    <row r="11" ht="14.5" spans="1:5">
      <c r="A11" s="12" t="s">
        <v>77</v>
      </c>
      <c r="B11" s="12" t="s">
        <v>78</v>
      </c>
      <c r="C11" s="12" t="s">
        <v>79</v>
      </c>
      <c r="D11" s="12" t="s">
        <v>80</v>
      </c>
    </row>
    <row r="13" ht="17.25" spans="1:5">
      <c r="A13" s="13" t="s">
        <v>81</v>
      </c>
    </row>
    <row r="14" ht="14.75" spans="1:5">
      <c r="A14" s="14" t="s">
        <v>82</v>
      </c>
      <c r="B14" s="14" t="s">
        <v>83</v>
      </c>
      <c r="C14" s="14" t="s">
        <v>84</v>
      </c>
      <c r="D14" s="14" t="s">
        <v>7</v>
      </c>
      <c r="E14" s="14" t="s">
        <v>85</v>
      </c>
    </row>
    <row r="15" ht="14.75" spans="1:5">
      <c r="A15" s="15" t="s">
        <v>24</v>
      </c>
      <c r="B15" s="15" t="s">
        <v>86</v>
      </c>
      <c r="C15" s="15" t="s">
        <v>87</v>
      </c>
      <c r="D15" s="20">
        <v>0.001</v>
      </c>
      <c r="E15" s="20">
        <v>0.0002</v>
      </c>
    </row>
    <row r="16" ht="14.75" spans="1:5">
      <c r="A16" s="16" t="s">
        <v>25</v>
      </c>
      <c r="B16" s="16" t="s">
        <v>88</v>
      </c>
      <c r="C16" s="16" t="s">
        <v>89</v>
      </c>
      <c r="D16" s="21">
        <v>0.0012</v>
      </c>
      <c r="E16" s="21">
        <v>0.0002</v>
      </c>
    </row>
    <row r="17" ht="14.75" spans="1:5">
      <c r="A17" s="15" t="s">
        <v>26</v>
      </c>
      <c r="B17" s="15" t="s">
        <v>90</v>
      </c>
      <c r="C17" s="15" t="s">
        <v>91</v>
      </c>
      <c r="D17" s="20">
        <v>0.0015</v>
      </c>
      <c r="E17" s="20">
        <v>0.0003</v>
      </c>
    </row>
    <row r="18" ht="14.75" spans="1:5">
      <c r="A18" s="16" t="s">
        <v>92</v>
      </c>
      <c r="B18" s="16" t="s">
        <v>93</v>
      </c>
      <c r="C18" s="16" t="s">
        <v>75</v>
      </c>
      <c r="D18" s="21">
        <v>0.0037</v>
      </c>
      <c r="E18" s="16" t="s">
        <v>75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{118eb7bf-a5ea-4534-8335-f487ee875544}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8eb7bf-a5ea-4534-8335-f487ee87554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5" topLeftCell="A6" activePane="bottomLeft" state="frozen"/>
      <selection/>
      <selection pane="bottomLeft" activeCell="C36" sqref="C3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10</v>
      </c>
    </row>
    <row r="2" spans="1:5">
      <c r="A2" s="2" t="s">
        <v>94</v>
      </c>
    </row>
    <row r="4" ht="14.5" spans="1:5">
      <c r="A4" s="3" t="s">
        <v>64</v>
      </c>
      <c r="B4" s="4" t="s">
        <v>65</v>
      </c>
      <c r="C4" s="4" t="s">
        <v>65</v>
      </c>
      <c r="D4" s="4" t="s">
        <v>65</v>
      </c>
    </row>
    <row r="5" ht="14.5" spans="1:5">
      <c r="A5" s="5" t="s">
        <v>66</v>
      </c>
      <c r="B5" s="5" t="s">
        <v>67</v>
      </c>
      <c r="C5" s="5" t="s">
        <v>68</v>
      </c>
      <c r="D5" s="5" t="s">
        <v>69</v>
      </c>
    </row>
    <row r="6" ht="14.5" spans="1:5">
      <c r="A6" s="6" t="s">
        <v>95</v>
      </c>
      <c r="B6" s="4">
        <v>8100000</v>
      </c>
      <c r="C6" s="4" t="s">
        <v>71</v>
      </c>
      <c r="D6" s="4" t="s">
        <v>72</v>
      </c>
    </row>
    <row r="7" ht="14.5" spans="1:5">
      <c r="A7" s="6" t="s">
        <v>96</v>
      </c>
      <c r="B7" s="4">
        <v>5400000</v>
      </c>
      <c r="C7" s="4" t="s">
        <v>71</v>
      </c>
      <c r="D7" s="4" t="s">
        <v>72</v>
      </c>
    </row>
    <row r="8" ht="14.5" spans="1:5">
      <c r="A8" s="7" t="s">
        <v>9</v>
      </c>
      <c r="B8" s="8">
        <f>B6/B7</f>
        <v>1.5</v>
      </c>
      <c r="C8" s="9" t="s">
        <v>74</v>
      </c>
      <c r="D8" s="9" t="s">
        <v>75</v>
      </c>
    </row>
    <row r="10" ht="14.5" spans="1:5">
      <c r="A10" s="10" t="s">
        <v>76</v>
      </c>
      <c r="B10" s="11" t="s">
        <v>65</v>
      </c>
      <c r="C10" s="11" t="s">
        <v>65</v>
      </c>
      <c r="D10" s="11" t="s">
        <v>65</v>
      </c>
    </row>
    <row r="11" ht="14.5" spans="1:5">
      <c r="A11" s="12" t="s">
        <v>77</v>
      </c>
      <c r="B11" s="12" t="s">
        <v>97</v>
      </c>
      <c r="C11" s="12" t="s">
        <v>79</v>
      </c>
      <c r="D11" s="12" t="s">
        <v>80</v>
      </c>
    </row>
    <row r="14" ht="17.25" spans="1:5">
      <c r="A14" s="13" t="s">
        <v>98</v>
      </c>
    </row>
    <row r="15" ht="14.75" spans="1:5">
      <c r="A15" s="14" t="s">
        <v>99</v>
      </c>
      <c r="B15" s="14" t="s">
        <v>100</v>
      </c>
      <c r="C15" s="14" t="s">
        <v>101</v>
      </c>
      <c r="D15" s="14" t="s">
        <v>102</v>
      </c>
      <c r="E15" s="14" t="s">
        <v>103</v>
      </c>
    </row>
    <row r="16" ht="14.75" spans="1:5">
      <c r="A16" s="15" t="s">
        <v>10</v>
      </c>
      <c r="B16" s="15" t="s">
        <v>104</v>
      </c>
      <c r="C16" s="15" t="s">
        <v>105</v>
      </c>
      <c r="D16" s="15" t="s">
        <v>106</v>
      </c>
      <c r="E16" s="15" t="s">
        <v>107</v>
      </c>
    </row>
    <row r="18" ht="17.25" spans="1:5">
      <c r="A18" s="13" t="s">
        <v>108</v>
      </c>
    </row>
    <row r="19" ht="14.75" spans="1:5">
      <c r="A19" s="14" t="s">
        <v>109</v>
      </c>
      <c r="B19" s="14" t="s">
        <v>10</v>
      </c>
      <c r="C19" s="14" t="s">
        <v>110</v>
      </c>
      <c r="D19" s="14" t="s">
        <v>111</v>
      </c>
      <c r="E19" s="14" t="s">
        <v>103</v>
      </c>
    </row>
    <row r="20" ht="14.75" spans="1:5">
      <c r="A20" s="15" t="s">
        <v>112</v>
      </c>
      <c r="B20" s="15" t="s">
        <v>101</v>
      </c>
      <c r="C20" s="15" t="s">
        <v>75</v>
      </c>
      <c r="D20" s="15" t="s">
        <v>75</v>
      </c>
      <c r="E20" s="15" t="s">
        <v>113</v>
      </c>
    </row>
    <row r="21" ht="14.75" spans="1:5">
      <c r="A21" s="16" t="s">
        <v>114</v>
      </c>
      <c r="B21" s="16" t="s">
        <v>115</v>
      </c>
      <c r="C21" s="17">
        <v>0.05</v>
      </c>
      <c r="D21" s="16" t="s">
        <v>116</v>
      </c>
      <c r="E21" s="16" t="s">
        <v>117</v>
      </c>
    </row>
    <row r="22" ht="14.75" spans="1:5">
      <c r="A22" s="15" t="s">
        <v>118</v>
      </c>
      <c r="B22" s="15" t="s">
        <v>119</v>
      </c>
      <c r="C22" s="18">
        <v>0.12</v>
      </c>
      <c r="D22" s="15" t="s">
        <v>120</v>
      </c>
      <c r="E22" s="15" t="s">
        <v>121</v>
      </c>
    </row>
    <row r="23" ht="14.75" spans="1:5">
      <c r="A23" s="16" t="s">
        <v>122</v>
      </c>
      <c r="B23" s="16" t="s">
        <v>123</v>
      </c>
      <c r="C23" s="17">
        <v>-0.03</v>
      </c>
      <c r="D23" s="16" t="s">
        <v>124</v>
      </c>
      <c r="E23" s="16" t="s">
        <v>113</v>
      </c>
    </row>
    <row r="25" ht="17.25" spans="1:5">
      <c r="A25" s="13" t="s">
        <v>125</v>
      </c>
    </row>
    <row r="26" ht="14.75" spans="1:5">
      <c r="A26" s="14" t="s">
        <v>99</v>
      </c>
      <c r="B26" s="14" t="s">
        <v>126</v>
      </c>
      <c r="C26" s="14" t="s">
        <v>127</v>
      </c>
      <c r="D26" s="14" t="s">
        <v>128</v>
      </c>
      <c r="E26" s="14" t="s">
        <v>129</v>
      </c>
    </row>
    <row r="27" ht="14.75" spans="1:5">
      <c r="A27" s="15" t="s">
        <v>10</v>
      </c>
      <c r="B27" s="15" t="s">
        <v>130</v>
      </c>
      <c r="C27" s="15" t="s">
        <v>131</v>
      </c>
      <c r="D27" s="15" t="s">
        <v>132</v>
      </c>
      <c r="E27" s="15" t="s">
        <v>133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{452ba3a1-668a-46c0-8480-9a28d0902c1e}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2ba3a1-668a-46c0-8480-9a28d0902c1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6" activePane="bottomLeft" state="frozen"/>
      <selection/>
      <selection pane="bottomLeft" activeCell="H23" sqref="H23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12</v>
      </c>
    </row>
    <row r="2" spans="1:5">
      <c r="A2" s="2" t="s">
        <v>134</v>
      </c>
    </row>
    <row r="4" ht="14.5" spans="1:5">
      <c r="A4" s="3" t="s">
        <v>64</v>
      </c>
      <c r="B4" s="4" t="s">
        <v>65</v>
      </c>
      <c r="C4" s="4" t="s">
        <v>65</v>
      </c>
      <c r="D4" s="4" t="s">
        <v>65</v>
      </c>
    </row>
    <row r="5" ht="14.5" spans="1:5">
      <c r="A5" s="5" t="s">
        <v>66</v>
      </c>
      <c r="B5" s="5" t="s">
        <v>67</v>
      </c>
      <c r="C5" s="5" t="s">
        <v>68</v>
      </c>
      <c r="D5" s="5" t="s">
        <v>69</v>
      </c>
    </row>
    <row r="6" ht="14.5" spans="1:5">
      <c r="A6" s="6" t="s">
        <v>95</v>
      </c>
      <c r="B6" s="4">
        <v>8100000</v>
      </c>
      <c r="C6" s="4" t="s">
        <v>71</v>
      </c>
      <c r="D6" s="4" t="s">
        <v>72</v>
      </c>
    </row>
    <row r="7" ht="14.5" spans="1:5">
      <c r="A7" s="6" t="s">
        <v>135</v>
      </c>
      <c r="B7" s="4">
        <v>200000000</v>
      </c>
      <c r="C7" s="4" t="s">
        <v>71</v>
      </c>
      <c r="D7" s="4" t="s">
        <v>72</v>
      </c>
    </row>
    <row r="8" ht="14.5" spans="1:5">
      <c r="A8" s="7" t="s">
        <v>11</v>
      </c>
      <c r="B8" s="19">
        <f>B6/B7</f>
        <v>0.0405</v>
      </c>
      <c r="C8" s="9" t="s">
        <v>74</v>
      </c>
      <c r="D8" s="9" t="s">
        <v>75</v>
      </c>
    </row>
    <row r="10" ht="14.5" spans="1:5">
      <c r="A10" s="10" t="s">
        <v>76</v>
      </c>
      <c r="B10" s="11" t="s">
        <v>65</v>
      </c>
      <c r="C10" s="11" t="s">
        <v>65</v>
      </c>
      <c r="D10" s="11" t="s">
        <v>65</v>
      </c>
    </row>
    <row r="11" ht="14.5" spans="1:5">
      <c r="A11" s="12" t="s">
        <v>77</v>
      </c>
      <c r="B11" s="12" t="s">
        <v>136</v>
      </c>
      <c r="C11" s="12" t="s">
        <v>79</v>
      </c>
      <c r="D11" s="12" t="s">
        <v>80</v>
      </c>
    </row>
    <row r="13" ht="17.25" spans="1:5">
      <c r="A13" s="13" t="s">
        <v>137</v>
      </c>
    </row>
    <row r="14" ht="14.75" spans="1:5">
      <c r="A14" s="14" t="s">
        <v>99</v>
      </c>
      <c r="B14" s="14" t="s">
        <v>100</v>
      </c>
      <c r="C14" s="14" t="s">
        <v>101</v>
      </c>
      <c r="D14" s="14" t="s">
        <v>102</v>
      </c>
      <c r="E14" s="14" t="s">
        <v>103</v>
      </c>
    </row>
    <row r="15" ht="14.75" spans="1:5">
      <c r="A15" s="15" t="s">
        <v>12</v>
      </c>
      <c r="B15" s="15" t="s">
        <v>104</v>
      </c>
      <c r="C15" s="15" t="s">
        <v>105</v>
      </c>
      <c r="D15" s="15" t="s">
        <v>106</v>
      </c>
      <c r="E15" s="15" t="s">
        <v>107</v>
      </c>
    </row>
    <row r="17" ht="17.25" spans="1:5">
      <c r="A17" s="13" t="s">
        <v>138</v>
      </c>
    </row>
    <row r="18" ht="14.75" spans="1:5">
      <c r="A18" s="14" t="s">
        <v>109</v>
      </c>
      <c r="B18" s="14" t="s">
        <v>12</v>
      </c>
      <c r="C18" s="14" t="s">
        <v>110</v>
      </c>
      <c r="D18" s="14" t="s">
        <v>111</v>
      </c>
      <c r="E18" s="14" t="s">
        <v>103</v>
      </c>
    </row>
    <row r="19" ht="14.75" spans="1:5">
      <c r="A19" s="15" t="s">
        <v>112</v>
      </c>
      <c r="B19" s="15" t="s">
        <v>101</v>
      </c>
      <c r="C19" s="15" t="s">
        <v>75</v>
      </c>
      <c r="D19" s="15" t="s">
        <v>75</v>
      </c>
      <c r="E19" s="15" t="s">
        <v>113</v>
      </c>
    </row>
    <row r="20" ht="14.75" spans="1:5">
      <c r="A20" s="16" t="s">
        <v>114</v>
      </c>
      <c r="B20" s="16" t="s">
        <v>115</v>
      </c>
      <c r="C20" s="17">
        <v>0.05</v>
      </c>
      <c r="D20" s="16" t="s">
        <v>116</v>
      </c>
      <c r="E20" s="16" t="s">
        <v>117</v>
      </c>
    </row>
    <row r="21" ht="14.75" spans="1:5">
      <c r="A21" s="15" t="s">
        <v>118</v>
      </c>
      <c r="B21" s="15" t="s">
        <v>119</v>
      </c>
      <c r="C21" s="18">
        <v>0.12</v>
      </c>
      <c r="D21" s="15" t="s">
        <v>120</v>
      </c>
      <c r="E21" s="15" t="s">
        <v>121</v>
      </c>
    </row>
    <row r="22" ht="14.75" spans="1:5">
      <c r="A22" s="16" t="s">
        <v>122</v>
      </c>
      <c r="B22" s="16" t="s">
        <v>123</v>
      </c>
      <c r="C22" s="17">
        <v>-0.03</v>
      </c>
      <c r="D22" s="16" t="s">
        <v>124</v>
      </c>
      <c r="E22" s="16" t="s">
        <v>113</v>
      </c>
    </row>
    <row r="24" ht="17.25" spans="1:5">
      <c r="A24" s="13" t="s">
        <v>139</v>
      </c>
    </row>
    <row r="25" ht="14.75" spans="1:5">
      <c r="A25" s="14" t="s">
        <v>99</v>
      </c>
      <c r="B25" s="14" t="s">
        <v>126</v>
      </c>
      <c r="C25" s="14" t="s">
        <v>127</v>
      </c>
      <c r="D25" s="14" t="s">
        <v>128</v>
      </c>
      <c r="E25" s="14" t="s">
        <v>129</v>
      </c>
    </row>
    <row r="26" ht="14.75" spans="1:5">
      <c r="A26" s="15" t="s">
        <v>12</v>
      </c>
      <c r="B26" s="15" t="s">
        <v>130</v>
      </c>
      <c r="C26" s="15" t="s">
        <v>131</v>
      </c>
      <c r="D26" s="15" t="s">
        <v>132</v>
      </c>
      <c r="E26" s="15" t="s">
        <v>133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{418bd35e-c9e9-4115-888a-8c4829d84a2c}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8bd35e-c9e9-4115-888a-8c4829d84a2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15" activePane="bottomLeft" state="frozen"/>
      <selection/>
      <selection pane="bottomLeft" activeCell="A25" sqref="A25:E26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14</v>
      </c>
    </row>
    <row r="2" spans="1:5">
      <c r="A2" s="2" t="s">
        <v>140</v>
      </c>
    </row>
    <row r="4" ht="14.5" spans="1:5">
      <c r="A4" s="3" t="s">
        <v>64</v>
      </c>
      <c r="B4" s="4" t="s">
        <v>65</v>
      </c>
      <c r="C4" s="4" t="s">
        <v>65</v>
      </c>
      <c r="D4" s="4" t="s">
        <v>65</v>
      </c>
    </row>
    <row r="5" ht="14.5" spans="1:5">
      <c r="A5" s="5" t="s">
        <v>66</v>
      </c>
      <c r="B5" s="5" t="s">
        <v>67</v>
      </c>
      <c r="C5" s="5" t="s">
        <v>68</v>
      </c>
      <c r="D5" s="5" t="s">
        <v>69</v>
      </c>
    </row>
    <row r="6" ht="14.5" spans="1:5">
      <c r="A6" s="6" t="s">
        <v>141</v>
      </c>
      <c r="B6" s="4">
        <v>5000000</v>
      </c>
      <c r="C6" s="4" t="s">
        <v>71</v>
      </c>
      <c r="D6" s="4" t="s">
        <v>72</v>
      </c>
    </row>
    <row r="7" ht="14.5" spans="1:5">
      <c r="A7" s="6" t="s">
        <v>142</v>
      </c>
      <c r="B7" s="4">
        <v>800000</v>
      </c>
      <c r="C7" s="4" t="s">
        <v>71</v>
      </c>
      <c r="D7" s="4" t="s">
        <v>72</v>
      </c>
    </row>
    <row r="8" ht="14.5" spans="1:5">
      <c r="A8" s="7" t="s">
        <v>13</v>
      </c>
      <c r="B8" s="19">
        <f>B7/B6</f>
        <v>0.16</v>
      </c>
      <c r="C8" s="9" t="s">
        <v>74</v>
      </c>
      <c r="D8" s="9" t="s">
        <v>75</v>
      </c>
    </row>
    <row r="10" ht="14.5" spans="1:5">
      <c r="A10" s="10" t="s">
        <v>76</v>
      </c>
      <c r="B10" s="11" t="s">
        <v>65</v>
      </c>
      <c r="C10" s="11" t="s">
        <v>65</v>
      </c>
      <c r="D10" s="11" t="s">
        <v>65</v>
      </c>
    </row>
    <row r="11" ht="14.5" spans="1:5">
      <c r="A11" s="12" t="s">
        <v>77</v>
      </c>
      <c r="B11" s="12" t="s">
        <v>78</v>
      </c>
      <c r="C11" s="12" t="s">
        <v>79</v>
      </c>
      <c r="D11" s="12" t="s">
        <v>80</v>
      </c>
    </row>
    <row r="13" ht="17.25" spans="1:5">
      <c r="A13" s="13" t="s">
        <v>143</v>
      </c>
    </row>
    <row r="14" ht="14.75" spans="1:5">
      <c r="A14" s="14" t="s">
        <v>99</v>
      </c>
      <c r="B14" s="14" t="s">
        <v>100</v>
      </c>
      <c r="C14" s="14" t="s">
        <v>101</v>
      </c>
      <c r="D14" s="14" t="s">
        <v>102</v>
      </c>
      <c r="E14" s="14" t="s">
        <v>103</v>
      </c>
    </row>
    <row r="15" ht="14.75" spans="1:5">
      <c r="A15" s="15" t="s">
        <v>14</v>
      </c>
      <c r="B15" s="15" t="s">
        <v>104</v>
      </c>
      <c r="C15" s="15" t="s">
        <v>105</v>
      </c>
      <c r="D15" s="15" t="s">
        <v>106</v>
      </c>
      <c r="E15" s="15" t="s">
        <v>107</v>
      </c>
    </row>
    <row r="17" ht="17.25" spans="1:5">
      <c r="A17" s="13" t="s">
        <v>144</v>
      </c>
    </row>
    <row r="18" ht="14.75" spans="1:5">
      <c r="A18" s="14" t="s">
        <v>109</v>
      </c>
      <c r="B18" s="14" t="s">
        <v>14</v>
      </c>
      <c r="C18" s="14" t="s">
        <v>110</v>
      </c>
      <c r="D18" s="14" t="s">
        <v>111</v>
      </c>
      <c r="E18" s="14" t="s">
        <v>103</v>
      </c>
    </row>
    <row r="19" ht="14.75" spans="1:5">
      <c r="A19" s="15" t="s">
        <v>112</v>
      </c>
      <c r="B19" s="15" t="s">
        <v>101</v>
      </c>
      <c r="C19" s="15" t="s">
        <v>75</v>
      </c>
      <c r="D19" s="15" t="s">
        <v>75</v>
      </c>
      <c r="E19" s="15" t="s">
        <v>113</v>
      </c>
    </row>
    <row r="20" ht="14.75" spans="1:5">
      <c r="A20" s="16" t="s">
        <v>114</v>
      </c>
      <c r="B20" s="16" t="s">
        <v>115</v>
      </c>
      <c r="C20" s="17">
        <v>0.05</v>
      </c>
      <c r="D20" s="16" t="s">
        <v>116</v>
      </c>
      <c r="E20" s="16" t="s">
        <v>117</v>
      </c>
    </row>
    <row r="21" ht="14.75" spans="1:5">
      <c r="A21" s="15" t="s">
        <v>118</v>
      </c>
      <c r="B21" s="15" t="s">
        <v>119</v>
      </c>
      <c r="C21" s="18">
        <v>0.12</v>
      </c>
      <c r="D21" s="15" t="s">
        <v>120</v>
      </c>
      <c r="E21" s="15" t="s">
        <v>121</v>
      </c>
    </row>
    <row r="22" ht="14.75" spans="1:5">
      <c r="A22" s="16" t="s">
        <v>122</v>
      </c>
      <c r="B22" s="16" t="s">
        <v>123</v>
      </c>
      <c r="C22" s="17">
        <v>-0.03</v>
      </c>
      <c r="D22" s="16" t="s">
        <v>124</v>
      </c>
      <c r="E22" s="16" t="s">
        <v>113</v>
      </c>
    </row>
    <row r="24" ht="17.25" spans="1:5">
      <c r="A24" s="13" t="s">
        <v>145</v>
      </c>
    </row>
    <row r="25" ht="14.75" spans="1:5">
      <c r="A25" s="14" t="s">
        <v>99</v>
      </c>
      <c r="B25" s="14" t="s">
        <v>126</v>
      </c>
      <c r="C25" s="14" t="s">
        <v>127</v>
      </c>
      <c r="D25" s="14" t="s">
        <v>128</v>
      </c>
      <c r="E25" s="14" t="s">
        <v>129</v>
      </c>
    </row>
    <row r="26" ht="14.75" spans="1:5">
      <c r="A26" s="15" t="s">
        <v>14</v>
      </c>
      <c r="B26" s="15" t="s">
        <v>130</v>
      </c>
      <c r="C26" s="15" t="s">
        <v>131</v>
      </c>
      <c r="D26" s="15" t="s">
        <v>132</v>
      </c>
      <c r="E26" s="15" t="s">
        <v>133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{eb513eda-0c18-4fbb-adc2-9a3dae13e208}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513eda-0c18-4fbb-adc2-9a3dae13e20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5" topLeftCell="A6" activePane="bottomLeft" state="frozen"/>
      <selection/>
      <selection pane="bottomLeft" activeCell="D24" sqref="D24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16</v>
      </c>
    </row>
    <row r="2" spans="1:5">
      <c r="A2" s="2" t="s">
        <v>146</v>
      </c>
    </row>
    <row r="4" ht="14.5" spans="1:5">
      <c r="A4" s="3" t="s">
        <v>64</v>
      </c>
      <c r="B4" s="4" t="s">
        <v>65</v>
      </c>
      <c r="C4" s="4" t="s">
        <v>65</v>
      </c>
      <c r="D4" s="4" t="s">
        <v>65</v>
      </c>
    </row>
    <row r="5" ht="14.5" spans="1:5">
      <c r="A5" s="5" t="s">
        <v>66</v>
      </c>
      <c r="B5" s="5" t="s">
        <v>67</v>
      </c>
      <c r="C5" s="5" t="s">
        <v>68</v>
      </c>
      <c r="D5" s="5" t="s">
        <v>69</v>
      </c>
    </row>
    <row r="6" ht="14.5" spans="1:5">
      <c r="A6" s="6" t="s">
        <v>96</v>
      </c>
      <c r="B6" s="4">
        <v>5400000</v>
      </c>
      <c r="C6" s="4" t="s">
        <v>71</v>
      </c>
      <c r="D6" s="4" t="s">
        <v>72</v>
      </c>
    </row>
    <row r="7" ht="14.5" spans="1:5">
      <c r="A7" s="6" t="s">
        <v>147</v>
      </c>
      <c r="B7" s="4">
        <v>1080000</v>
      </c>
      <c r="C7" s="4" t="s">
        <v>71</v>
      </c>
      <c r="D7" s="4" t="s">
        <v>72</v>
      </c>
    </row>
    <row r="8" ht="14.5" spans="1:5">
      <c r="A8" s="7" t="s">
        <v>148</v>
      </c>
      <c r="B8" s="8">
        <f>B7/B6</f>
        <v>0.2</v>
      </c>
      <c r="C8" s="9" t="s">
        <v>74</v>
      </c>
      <c r="D8" s="9" t="s">
        <v>75</v>
      </c>
    </row>
    <row r="10" ht="14.5" spans="1:5">
      <c r="A10" s="10" t="s">
        <v>76</v>
      </c>
      <c r="B10" s="11" t="s">
        <v>65</v>
      </c>
      <c r="C10" s="11" t="s">
        <v>65</v>
      </c>
      <c r="D10" s="11" t="s">
        <v>65</v>
      </c>
    </row>
    <row r="11" ht="14.5" spans="1:5">
      <c r="A11" s="12" t="s">
        <v>77</v>
      </c>
      <c r="B11" s="12" t="s">
        <v>149</v>
      </c>
      <c r="C11" s="12" t="s">
        <v>79</v>
      </c>
      <c r="D11" s="12" t="s">
        <v>80</v>
      </c>
    </row>
    <row r="13" ht="17.25" spans="1:5">
      <c r="A13" s="13" t="s">
        <v>150</v>
      </c>
    </row>
    <row r="14" ht="14.75" spans="1:5">
      <c r="A14" s="14" t="s">
        <v>99</v>
      </c>
      <c r="B14" s="14" t="s">
        <v>100</v>
      </c>
      <c r="C14" s="14" t="s">
        <v>101</v>
      </c>
      <c r="D14" s="14" t="s">
        <v>102</v>
      </c>
      <c r="E14" s="14" t="s">
        <v>103</v>
      </c>
    </row>
    <row r="15" ht="14.75" spans="1:5">
      <c r="A15" s="15" t="s">
        <v>16</v>
      </c>
      <c r="B15" s="15" t="s">
        <v>104</v>
      </c>
      <c r="C15" s="15" t="s">
        <v>105</v>
      </c>
      <c r="D15" s="15" t="s">
        <v>106</v>
      </c>
      <c r="E15" s="15" t="s">
        <v>107</v>
      </c>
    </row>
    <row r="17" ht="17.25" spans="1:5">
      <c r="A17" s="13" t="s">
        <v>151</v>
      </c>
    </row>
    <row r="18" ht="14.75" spans="1:5">
      <c r="A18" s="14" t="s">
        <v>109</v>
      </c>
      <c r="B18" s="14" t="s">
        <v>16</v>
      </c>
      <c r="C18" s="14" t="s">
        <v>110</v>
      </c>
      <c r="D18" s="14" t="s">
        <v>111</v>
      </c>
      <c r="E18" s="14" t="s">
        <v>103</v>
      </c>
    </row>
    <row r="19" ht="14.75" spans="1:5">
      <c r="A19" s="15" t="s">
        <v>112</v>
      </c>
      <c r="B19" s="15" t="s">
        <v>101</v>
      </c>
      <c r="C19" s="15" t="s">
        <v>75</v>
      </c>
      <c r="D19" s="15" t="s">
        <v>75</v>
      </c>
      <c r="E19" s="15" t="s">
        <v>113</v>
      </c>
    </row>
    <row r="20" ht="14.75" spans="1:5">
      <c r="A20" s="16" t="s">
        <v>114</v>
      </c>
      <c r="B20" s="16" t="s">
        <v>115</v>
      </c>
      <c r="C20" s="17">
        <v>0.05</v>
      </c>
      <c r="D20" s="16" t="s">
        <v>116</v>
      </c>
      <c r="E20" s="16" t="s">
        <v>117</v>
      </c>
    </row>
    <row r="21" ht="14.75" spans="1:5">
      <c r="A21" s="15" t="s">
        <v>118</v>
      </c>
      <c r="B21" s="15" t="s">
        <v>119</v>
      </c>
      <c r="C21" s="18">
        <v>0.12</v>
      </c>
      <c r="D21" s="15" t="s">
        <v>120</v>
      </c>
      <c r="E21" s="15" t="s">
        <v>121</v>
      </c>
    </row>
    <row r="22" ht="14.75" spans="1:5">
      <c r="A22" s="16" t="s">
        <v>122</v>
      </c>
      <c r="B22" s="16" t="s">
        <v>123</v>
      </c>
      <c r="C22" s="17">
        <v>-0.03</v>
      </c>
      <c r="D22" s="16" t="s">
        <v>124</v>
      </c>
      <c r="E22" s="16" t="s">
        <v>113</v>
      </c>
    </row>
    <row r="24" ht="17.25" spans="1:5">
      <c r="A24" s="13" t="s">
        <v>152</v>
      </c>
    </row>
    <row r="25" ht="14.75" spans="1:5">
      <c r="A25" s="14" t="s">
        <v>99</v>
      </c>
      <c r="B25" s="14" t="s">
        <v>126</v>
      </c>
      <c r="C25" s="14" t="s">
        <v>127</v>
      </c>
      <c r="D25" s="14" t="s">
        <v>128</v>
      </c>
      <c r="E25" s="14" t="s">
        <v>129</v>
      </c>
    </row>
    <row r="26" ht="14.75" spans="1:5">
      <c r="A26" s="15" t="s">
        <v>16</v>
      </c>
      <c r="B26" s="15" t="s">
        <v>130</v>
      </c>
      <c r="C26" s="15" t="s">
        <v>131</v>
      </c>
      <c r="D26" s="15" t="s">
        <v>132</v>
      </c>
      <c r="E26" s="15" t="s">
        <v>133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{f7b11be9-184c-4b62-a403-eb2018407d38}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b11be9-184c-4b62-a403-eb2018407d3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目录</vt:lpstr>
      <vt:lpstr>3.1 ECL计算</vt:lpstr>
      <vt:lpstr>3.2 不良生成率</vt:lpstr>
      <vt:lpstr>3.3 拨备覆盖率</vt:lpstr>
      <vt:lpstr>3.4 拨贷比</vt:lpstr>
      <vt:lpstr>3.5 核销率</vt:lpstr>
      <vt:lpstr>3.6 不良贷款回收率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2026-04-01T03:27:00Z</dcterms:created>
  <dcterms:modified xsi:type="dcterms:W3CDTF">2026-05-14T06:26:57Z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963923218DD448E991B270A1BCF5A297_12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