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firstSheet="5" activeTab="9"/>
  </bookViews>
  <sheets>
    <sheet name="目录" sheetId="1" r:id="rId1"/>
    <sheet name="1.1 授信通过率" sheetId="2" r:id="rId2"/>
    <sheet name="1.2 申请命中规则&amp;黑名单率" sheetId="3" r:id="rId3"/>
    <sheet name="1.3 人均授信额度" sheetId="4" r:id="rId4"/>
    <sheet name="1.4 人均利率" sheetId="5" r:id="rId5"/>
    <sheet name="1.5 授信额度使用率" sheetId="6" r:id="rId6"/>
    <sheet name="1.6 支用率" sheetId="7" r:id="rId7"/>
    <sheet name="1.7 模型KS值" sheetId="8" r:id="rId8"/>
    <sheet name="1.8 模型PSI" sheetId="9" r:id="rId9"/>
    <sheet name="1.9 评分分布偏移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<sst xmlns="http://schemas.openxmlformats.org/spreadsheetml/2006/main" count="735" uniqueCount="469">
  <si>
    <t>第1章 贷前指标测算</t>
  </si>
  <si>
    <t>序号</t>
  </si>
  <si>
    <t>指标编号</t>
  </si>
  <si>
    <t>指标名称</t>
  </si>
  <si>
    <t>Sheet名称</t>
  </si>
  <si>
    <t>授信通过率</t>
  </si>
  <si>
    <t>1.1 授信通过率</t>
  </si>
  <si>
    <t>申请命中规则/黑名单率</t>
  </si>
  <si>
    <t>1.2 申请命中规则/黑名单率</t>
  </si>
  <si>
    <t>进件件均授信额度</t>
  </si>
  <si>
    <t>1.3 进件件均授信额度</t>
  </si>
  <si>
    <t>进件件均利率</t>
  </si>
  <si>
    <t>1.4 进件件均利率</t>
  </si>
  <si>
    <t>授信额度使用率</t>
  </si>
  <si>
    <t>1.5 授信额度使用率</t>
  </si>
  <si>
    <t>支用率</t>
  </si>
  <si>
    <t>1.6 支用率</t>
  </si>
  <si>
    <t>模型KS值</t>
  </si>
  <si>
    <t>1.7 模型KS值</t>
  </si>
  <si>
    <t>模型PSI</t>
  </si>
  <si>
    <t>1.8 模型PSI</t>
  </si>
  <si>
    <t>评分分布偏移</t>
  </si>
  <si>
    <t>1.9 评分分布偏移</t>
  </si>
  <si>
    <t>授信通过率 = (授信通过件数 / 授信申请总件数) x 100%</t>
  </si>
  <si>
    <t>输入参数</t>
  </si>
  <si>
    <t/>
  </si>
  <si>
    <t>参数名称</t>
  </si>
  <si>
    <t>参数值</t>
  </si>
  <si>
    <t>说明</t>
  </si>
  <si>
    <t>数据来源</t>
  </si>
  <si>
    <t>申请件数</t>
  </si>
  <si>
    <t>手工输入</t>
  </si>
  <si>
    <t>业务系统</t>
  </si>
  <si>
    <t>通过件数</t>
  </si>
  <si>
    <t>通过率</t>
  </si>
  <si>
    <t>计算结果</t>
  </si>
  <si>
    <t>-</t>
  </si>
  <si>
    <t>参考阈值</t>
  </si>
  <si>
    <t>参考范围</t>
  </si>
  <si>
    <t>20%~80%</t>
  </si>
  <si>
    <t>来源</t>
  </si>
  <si>
    <t>行业基准</t>
  </si>
  <si>
    <t>【实例0】新渠道准入风险评估</t>
  </si>
  <si>
    <t>日期</t>
  </si>
  <si>
    <t>申请量</t>
  </si>
  <si>
    <t>通过量</t>
  </si>
  <si>
    <t>环比变化</t>
  </si>
  <si>
    <t>Day 1</t>
  </si>
  <si>
    <t>Day 2</t>
  </si>
  <si>
    <t>Day 3</t>
  </si>
  <si>
    <t>Day 4</t>
  </si>
  <si>
    <t>Day 5</t>
  </si>
  <si>
    <t>历史均值</t>
  </si>
  <si>
    <t>【实例1】审批模型迭代效果验证</t>
  </si>
  <si>
    <t>按日拆分渠道，进行归因分析</t>
  </si>
  <si>
    <t>指标</t>
  </si>
  <si>
    <t>V1模型用户占比</t>
  </si>
  <si>
    <t>V1模型通过率</t>
  </si>
  <si>
    <t>V2模型用户占比</t>
  </si>
  <si>
    <t>V2模型通过率</t>
  </si>
  <si>
    <t>变化</t>
  </si>
  <si>
    <t>备注</t>
  </si>
  <si>
    <t>贡献占比</t>
  </si>
  <si>
    <t>合计</t>
  </si>
  <si>
    <t>显著下降</t>
  </si>
  <si>
    <t>结构影响</t>
  </si>
  <si>
    <t>指标影响</t>
  </si>
  <si>
    <t>A级客户</t>
  </si>
  <si>
    <t>小幅下降</t>
  </si>
  <si>
    <t>B级客户</t>
  </si>
  <si>
    <t>==&gt;</t>
  </si>
  <si>
    <t>C级客户</t>
  </si>
  <si>
    <t>大幅下降</t>
  </si>
  <si>
    <t>D级客户</t>
  </si>
  <si>
    <t>FPD30</t>
  </si>
  <si>
    <t>显著改善</t>
  </si>
  <si>
    <t>预计损失率</t>
  </si>
  <si>
    <t>风险下降</t>
  </si>
  <si>
    <t>【实例2】促销活动期间通过率监控</t>
  </si>
  <si>
    <t>时间段</t>
  </si>
  <si>
    <t>申请量环比</t>
  </si>
  <si>
    <t>促销前1周</t>
  </si>
  <si>
    <t>促销Day 1</t>
  </si>
  <si>
    <t>促销Day 3</t>
  </si>
  <si>
    <t>促销Day 5</t>
  </si>
  <si>
    <t>促销后1周</t>
  </si>
  <si>
    <t>规则/黑名单命中率 = (命中规则或黑名单或规则件数 / 申请总件数) x 100%</t>
  </si>
  <si>
    <t>命中黑名/规则单件数</t>
  </si>
  <si>
    <t>黑名单命中率</t>
  </si>
  <si>
    <t>&lt; 5%</t>
  </si>
  <si>
    <t>策略调优常看的四率</t>
  </si>
  <si>
    <t>逻辑</t>
  </si>
  <si>
    <t>举例</t>
  </si>
  <si>
    <t>作用&amp;意义</t>
  </si>
  <si>
    <t>精准率</t>
  </si>
  <si>
    <t>规则命中的坏人/规则总命中人数</t>
  </si>
  <si>
    <t>某信贷模型预测了100笔交易为“欺诈”（TP+FP）。经核实，其中90笔是确凿的欺诈（TP），另外10笔是正常交易（FP）。那么精准率 = 90 / (90 + 10) = 90%</t>
  </si>
  <si>
    <t>命中规则的人当中，有多少是坏人
抓住坏人的准确率</t>
  </si>
  <si>
    <t>误杀率</t>
  </si>
  <si>
    <t>好客户被错误判定为坏的比例</t>
  </si>
  <si>
    <t>评估规则对好客户的伤害程度，影响客户体验</t>
  </si>
  <si>
    <t>召回率/覆盖率</t>
  </si>
  <si>
    <t>规则命中的坏人/总坏人</t>
  </si>
  <si>
    <t>实际发生了50笔欺诈交易（TP+FN）。模型成功预警了其中的45笔（TP），漏掉了5笔（FN）。那么召回率 = 45 / (45 + 5) = 90%</t>
  </si>
  <si>
    <t>抓住的坏人中，占总坏人的占比</t>
  </si>
  <si>
    <t>F1-Score</t>
  </si>
  <si>
    <t>2 × (精准率 × 命中率) / (精准率 + 命中率)</t>
  </si>
  <si>
    <t>精准率和命中率的调和平均数</t>
  </si>
  <si>
    <t>lift值</t>
  </si>
  <si>
    <r>
      <rPr>
        <sz val="11"/>
        <color theme="1"/>
        <rFont val="宋体"/>
        <charset val="134"/>
        <scheme val="minor"/>
      </rPr>
      <t xml:space="preserve">单规则的坏账率 / 整体的坏账率
</t>
    </r>
    <r>
      <rPr>
        <sz val="11"/>
        <color rgb="FFFF0000"/>
        <rFont val="宋体"/>
        <charset val="134"/>
        <scheme val="minor"/>
      </rPr>
      <t>= 精准率 / 整体坏客户率</t>
    </r>
  </si>
  <si>
    <t>整个贷款组合的坏客户率为5%（基准）。风控团队运用新策略对一批客户进行干预，在这个被干预的群体中，坏客户的浓度达到了20%。那么该策略的Lift值 = 20% / 5% = 4。这意味着该策略筛选客户的效率是随机选择的4倍</t>
  </si>
  <si>
    <t>衡量的是模型或策略相对于一个基线（如随机选择）的​​效率提升倍数​​</t>
  </si>
  <si>
    <t>【实例0】集中欺诈攻击识别</t>
  </si>
  <si>
    <t>黑名单命中</t>
  </si>
  <si>
    <t>命中率</t>
  </si>
  <si>
    <t>设备重复率</t>
  </si>
  <si>
    <t>00:00-01:00</t>
  </si>
  <si>
    <t>02:00-03:00</t>
  </si>
  <si>
    <t>03:00-04:00</t>
  </si>
  <si>
    <t>04:00-05:00</t>
  </si>
  <si>
    <t>05:00-06:00</t>
  </si>
  <si>
    <r>
      <rPr>
        <b/>
        <sz val="11"/>
        <color rgb="FF1F4E79"/>
        <rFont val="微软雅黑"/>
        <charset val="134"/>
      </rPr>
      <t>【实例1】黑名单库</t>
    </r>
    <r>
      <rPr>
        <b/>
        <sz val="11"/>
        <color rgb="FFFF0000"/>
        <rFont val="微软雅黑"/>
        <charset val="134"/>
      </rPr>
      <t>过期</t>
    </r>
    <r>
      <rPr>
        <b/>
        <sz val="11"/>
        <color rgb="FF1F4E79"/>
        <rFont val="微软雅黑"/>
        <charset val="134"/>
      </rPr>
      <t>策略优化</t>
    </r>
  </si>
  <si>
    <t>黑名单类型</t>
  </si>
  <si>
    <t>总数</t>
  </si>
  <si>
    <t>近1年命中</t>
  </si>
  <si>
    <t>近6月命中</t>
  </si>
  <si>
    <t>建议处理</t>
  </si>
  <si>
    <t>欺诈黑名单</t>
  </si>
  <si>
    <t>保留</t>
  </si>
  <si>
    <t>司法黑名单</t>
  </si>
  <si>
    <t>部分清理</t>
  </si>
  <si>
    <t>逾期黑名单</t>
  </si>
  <si>
    <t>分级管理</t>
  </si>
  <si>
    <t>灰名单</t>
  </si>
  <si>
    <t>重新评估</t>
  </si>
  <si>
    <t>【实例2】灰名单客户精细化运营</t>
  </si>
  <si>
    <t>灰名单类型</t>
  </si>
  <si>
    <t>客户数</t>
  </si>
  <si>
    <t>当前通过率</t>
  </si>
  <si>
    <t>建议策略</t>
  </si>
  <si>
    <t>轻度多头</t>
  </si>
  <si>
    <t>额度限制通过</t>
  </si>
  <si>
    <t>设备异常</t>
  </si>
  <si>
    <t>增强验证通过</t>
  </si>
  <si>
    <t>信息不一致</t>
  </si>
  <si>
    <t>人工复核</t>
  </si>
  <si>
    <t>历史关注</t>
  </si>
  <si>
    <t>审慎放行</t>
  </si>
  <si>
    <t>分层处理</t>
  </si>
  <si>
    <t>件均授信额度 = 授信总额 / 授信通过件数</t>
  </si>
  <si>
    <t>授信总额(元)</t>
  </si>
  <si>
    <t>授信通过件数</t>
  </si>
  <si>
    <t>件均授信额度(元)</t>
  </si>
  <si>
    <t>根据产品定位</t>
  </si>
  <si>
    <t>【实例0】新客群额度策略上线效果评估</t>
  </si>
  <si>
    <t>蓝领产品</t>
  </si>
  <si>
    <t>标准产品</t>
  </si>
  <si>
    <t>差异</t>
  </si>
  <si>
    <t>评估</t>
  </si>
  <si>
    <t>件均额度</t>
  </si>
  <si>
    <t>偏低</t>
  </si>
  <si>
    <t>优秀</t>
  </si>
  <si>
    <t>良好</t>
  </si>
  <si>
    <t>额度使用率</t>
  </si>
  <si>
    <t>过高</t>
  </si>
  <si>
    <t>【实例1】竞争对手额度战应对</t>
  </si>
  <si>
    <t>公司</t>
  </si>
  <si>
    <t>利率</t>
  </si>
  <si>
    <t>审批时效</t>
  </si>
  <si>
    <t>客户流失率</t>
  </si>
  <si>
    <t>本公司</t>
  </si>
  <si>
    <t>5分钟</t>
  </si>
  <si>
    <t>竞争对手A</t>
  </si>
  <si>
    <t>3分钟</t>
  </si>
  <si>
    <t>竞争对手B</t>
  </si>
  <si>
    <t>10分钟</t>
  </si>
  <si>
    <t>【实例2】优质客户额度提升方案</t>
  </si>
  <si>
    <t>用户风险</t>
  </si>
  <si>
    <t>当前件均</t>
  </si>
  <si>
    <t>目标件均</t>
  </si>
  <si>
    <t>历史逾期率</t>
  </si>
  <si>
    <t>R1</t>
  </si>
  <si>
    <t>R2</t>
  </si>
  <si>
    <t>R3</t>
  </si>
  <si>
    <t>R4</t>
  </si>
  <si>
    <t>件均利率 = 利息收入总额 / 放款总额 x 100%</t>
  </si>
  <si>
    <t>利息收入总额(元)</t>
  </si>
  <si>
    <t>放款总额(元)</t>
  </si>
  <si>
    <t>件均利率</t>
  </si>
  <si>
    <t>【实例0】风险分层定价落地验证</t>
  </si>
  <si>
    <t>风险等级</t>
  </si>
  <si>
    <t>客户占比</t>
  </si>
  <si>
    <t>定价利率</t>
  </si>
  <si>
    <t>实际利率</t>
  </si>
  <si>
    <t>Lift值</t>
  </si>
  <si>
    <t>A级</t>
  </si>
  <si>
    <t>B级</t>
  </si>
  <si>
    <t>C级</t>
  </si>
  <si>
    <t>D级</t>
  </si>
  <si>
    <t>E级</t>
  </si>
  <si>
    <t>【实例1】渠道定价差异分析</t>
  </si>
  <si>
    <t>渠道</t>
  </si>
  <si>
    <t>渠道成本</t>
  </si>
  <si>
    <t>信息流广告</t>
  </si>
  <si>
    <t>150元</t>
  </si>
  <si>
    <t>应用商店</t>
  </si>
  <si>
    <t>80元</t>
  </si>
  <si>
    <t>合作渠道A</t>
  </si>
  <si>
    <t>200元</t>
  </si>
  <si>
    <t>自然流量</t>
  </si>
  <si>
    <t>20元</t>
  </si>
  <si>
    <t>【实例2】利率合规红线排查</t>
  </si>
  <si>
    <t>产品类型</t>
  </si>
  <si>
    <t>名义利率</t>
  </si>
  <si>
    <t>综合成本</t>
  </si>
  <si>
    <t>年化IRR</t>
  </si>
  <si>
    <t>合规状态</t>
  </si>
  <si>
    <t>现金贷A</t>
  </si>
  <si>
    <t>合规</t>
  </si>
  <si>
    <t>现金贷B</t>
  </si>
  <si>
    <t>不合规</t>
  </si>
  <si>
    <t>消费分期</t>
  </si>
  <si>
    <t>小额快贷</t>
  </si>
  <si>
    <t>IRR&lt;24%</t>
  </si>
  <si>
    <t>年化计算公式</t>
  </si>
  <si>
    <t>rate=rate(期限,(1+利息)/期限，-1）*12</t>
  </si>
  <si>
    <t>年化转flat公式</t>
  </si>
  <si>
    <t>flat rate=pmt(年化除12个月，期限，-1)*期限 -1</t>
  </si>
  <si>
    <t>额度使用率 = 已用额度 / 总授信额度 x 100%</t>
  </si>
  <si>
    <t>总授信额度(元)</t>
  </si>
  <si>
    <t>已用额度(元)</t>
  </si>
  <si>
    <t>这里的额度使用率经常是看某个时点用户当前的额度使用率</t>
  </si>
  <si>
    <t>20%~40%</t>
  </si>
  <si>
    <t>【实例0】高使用率客户早期预警</t>
  </si>
  <si>
    <t>使用率区间</t>
  </si>
  <si>
    <t>占比</t>
  </si>
  <si>
    <t>DPD30</t>
  </si>
  <si>
    <t>0-30%</t>
  </si>
  <si>
    <t>低</t>
  </si>
  <si>
    <t>30-60%</t>
  </si>
  <si>
    <t>60-80%</t>
  </si>
  <si>
    <t>中</t>
  </si>
  <si>
    <t>80-90%</t>
  </si>
  <si>
    <t>高</t>
  </si>
  <si>
    <t>90-100%</t>
  </si>
  <si>
    <t>极高</t>
  </si>
  <si>
    <t>【实例1】额度促活策略效果评估</t>
  </si>
  <si>
    <t>客户群</t>
  </si>
  <si>
    <t>促活前使用率</t>
  </si>
  <si>
    <t>促活后使用率</t>
  </si>
  <si>
    <t>活动成本</t>
  </si>
  <si>
    <t>对照组</t>
  </si>
  <si>
    <t>利率优惠组</t>
  </si>
  <si>
    <t>15万</t>
  </si>
  <si>
    <t>提额奖励组</t>
  </si>
  <si>
    <t>20万</t>
  </si>
  <si>
    <t>组合策略组</t>
  </si>
  <si>
    <t>30万</t>
  </si>
  <si>
    <t>【实例2】多头借贷客户额度管控</t>
  </si>
  <si>
    <t>多头平台数</t>
  </si>
  <si>
    <t>本公司使用率</t>
  </si>
  <si>
    <t>外部负债/收入</t>
  </si>
  <si>
    <t>建议措施</t>
  </si>
  <si>
    <t>1-2家</t>
  </si>
  <si>
    <t>正常监控</t>
  </si>
  <si>
    <t>3-5家</t>
  </si>
  <si>
    <t>额度限制</t>
  </si>
  <si>
    <t>6-10家</t>
  </si>
  <si>
    <t>严格管控</t>
  </si>
  <si>
    <t>&gt;10家</t>
  </si>
  <si>
    <t>考虑清退</t>
  </si>
  <si>
    <r>
      <rPr>
        <b/>
        <sz val="14"/>
        <color rgb="FF1F4E79"/>
        <rFont val="Arial"/>
        <charset val="134"/>
      </rPr>
      <t xml:space="preserve">1.6 </t>
    </r>
    <r>
      <rPr>
        <b/>
        <sz val="14"/>
        <color rgb="FF1F4E79"/>
        <rFont val="微软雅黑"/>
        <charset val="134"/>
      </rPr>
      <t>支用率</t>
    </r>
  </si>
  <si>
    <r>
      <rPr>
        <i/>
        <sz val="9"/>
        <rFont val="微软雅黑"/>
        <charset val="134"/>
      </rPr>
      <t>支用率</t>
    </r>
    <r>
      <rPr>
        <i/>
        <sz val="9"/>
        <rFont val="Arial"/>
        <charset val="134"/>
      </rPr>
      <t xml:space="preserve"> = (</t>
    </r>
    <r>
      <rPr>
        <i/>
        <sz val="9"/>
        <rFont val="微软雅黑"/>
        <charset val="134"/>
      </rPr>
      <t>实际提款人数</t>
    </r>
    <r>
      <rPr>
        <i/>
        <sz val="9"/>
        <rFont val="Arial"/>
        <charset val="134"/>
      </rPr>
      <t xml:space="preserve"> / </t>
    </r>
    <r>
      <rPr>
        <i/>
        <sz val="9"/>
        <rFont val="微软雅黑"/>
        <charset val="134"/>
      </rPr>
      <t>授信通过人数</t>
    </r>
    <r>
      <rPr>
        <i/>
        <sz val="9"/>
        <rFont val="Arial"/>
        <charset val="134"/>
      </rPr>
      <t>) x 100%</t>
    </r>
  </si>
  <si>
    <r>
      <rPr>
        <sz val="12"/>
        <color rgb="FFFF0000"/>
        <rFont val="宋体"/>
        <charset val="134"/>
      </rPr>
      <t>这个指标是衡量</t>
    </r>
    <r>
      <rPr>
        <sz val="12"/>
        <color rgb="FFFF0000"/>
        <rFont val="Arial"/>
        <charset val="134"/>
      </rPr>
      <t>“</t>
    </r>
    <r>
      <rPr>
        <sz val="12"/>
        <color rgb="FFFF0000"/>
        <rFont val="宋体"/>
        <charset val="134"/>
      </rPr>
      <t>流量变现效率</t>
    </r>
    <r>
      <rPr>
        <sz val="12"/>
        <color rgb="FFFF0000"/>
        <rFont val="Arial"/>
        <charset val="134"/>
      </rPr>
      <t>”</t>
    </r>
    <r>
      <rPr>
        <sz val="12"/>
        <color rgb="FFFF0000"/>
        <rFont val="宋体"/>
        <charset val="134"/>
      </rPr>
      <t>的核心。它直接反映了你的产品是否满足了用户需求，以及风控策略是否精准。</t>
    </r>
  </si>
  <si>
    <r>
      <rPr>
        <b/>
        <sz val="10"/>
        <rFont val="微软雅黑"/>
        <charset val="134"/>
      </rPr>
      <t>输入参数</t>
    </r>
  </si>
  <si>
    <r>
      <rPr>
        <b/>
        <sz val="10"/>
        <color rgb="FFFFFFFF"/>
        <rFont val="微软雅黑"/>
        <charset val="134"/>
      </rPr>
      <t>参数名称</t>
    </r>
  </si>
  <si>
    <r>
      <rPr>
        <b/>
        <sz val="10"/>
        <color rgb="FFFFFFFF"/>
        <rFont val="微软雅黑"/>
        <charset val="134"/>
      </rPr>
      <t>参数值</t>
    </r>
  </si>
  <si>
    <r>
      <rPr>
        <b/>
        <sz val="10"/>
        <color rgb="FFFFFFFF"/>
        <rFont val="微软雅黑"/>
        <charset val="134"/>
      </rPr>
      <t>说明</t>
    </r>
  </si>
  <si>
    <r>
      <rPr>
        <b/>
        <sz val="10"/>
        <color rgb="FFFFFFFF"/>
        <rFont val="微软雅黑"/>
        <charset val="134"/>
      </rPr>
      <t>数据来源</t>
    </r>
  </si>
  <si>
    <r>
      <rPr>
        <sz val="10"/>
        <rFont val="微软雅黑"/>
        <charset val="134"/>
      </rPr>
      <t>授信通过人数</t>
    </r>
  </si>
  <si>
    <r>
      <rPr>
        <sz val="10"/>
        <rFont val="微软雅黑"/>
        <charset val="134"/>
      </rPr>
      <t>手工输入</t>
    </r>
  </si>
  <si>
    <r>
      <rPr>
        <sz val="10"/>
        <rFont val="微软雅黑"/>
        <charset val="134"/>
      </rPr>
      <t>业务系统</t>
    </r>
  </si>
  <si>
    <r>
      <rPr>
        <sz val="10"/>
        <rFont val="微软雅黑"/>
        <charset val="134"/>
      </rPr>
      <t>实际提款人数</t>
    </r>
  </si>
  <si>
    <r>
      <rPr>
        <b/>
        <sz val="10"/>
        <rFont val="微软雅黑"/>
        <charset val="134"/>
      </rPr>
      <t>支用率</t>
    </r>
  </si>
  <si>
    <r>
      <rPr>
        <sz val="10"/>
        <rFont val="微软雅黑"/>
        <charset val="134"/>
      </rPr>
      <t>计算结果</t>
    </r>
  </si>
  <si>
    <r>
      <rPr>
        <b/>
        <sz val="10"/>
        <rFont val="微软雅黑"/>
        <charset val="134"/>
      </rPr>
      <t>参考阈值</t>
    </r>
  </si>
  <si>
    <r>
      <rPr>
        <sz val="10"/>
        <rFont val="微软雅黑"/>
        <charset val="134"/>
      </rPr>
      <t>参考范围</t>
    </r>
  </si>
  <si>
    <t>30%~70%</t>
  </si>
  <si>
    <r>
      <rPr>
        <sz val="10"/>
        <rFont val="微软雅黑"/>
        <charset val="134"/>
      </rPr>
      <t>来源</t>
    </r>
  </si>
  <si>
    <r>
      <rPr>
        <sz val="10"/>
        <rFont val="微软雅黑"/>
        <charset val="134"/>
      </rPr>
      <t>行业基准</t>
    </r>
  </si>
  <si>
    <r>
      <rPr>
        <b/>
        <sz val="10"/>
        <rFont val="微软雅黑"/>
        <charset val="134"/>
      </rPr>
      <t>支用率的作用：</t>
    </r>
  </si>
  <si>
    <r>
      <rPr>
        <sz val="11"/>
        <color theme="1"/>
        <rFont val="Arial"/>
        <charset val="134"/>
      </rPr>
      <t xml:space="preserve">1). </t>
    </r>
    <r>
      <rPr>
        <sz val="11"/>
        <color theme="1"/>
        <rFont val="宋体"/>
        <charset val="134"/>
      </rPr>
      <t>指导策略优化</t>
    </r>
  </si>
  <si>
    <r>
      <rPr>
        <sz val="11"/>
        <color theme="1"/>
        <rFont val="宋体"/>
        <charset val="134"/>
      </rPr>
      <t>通过支用率拆解，可以定位问题出在哪个环节：是额度不够吸引人？还是定价太贵？还是产品体验差</t>
    </r>
    <r>
      <rPr>
        <sz val="11"/>
        <color theme="1"/>
        <rFont val="Arial"/>
        <charset val="134"/>
      </rPr>
      <t>(</t>
    </r>
    <r>
      <rPr>
        <sz val="11"/>
        <color theme="1"/>
        <rFont val="宋体"/>
        <charset val="134"/>
      </rPr>
      <t>可通过电话回访方式确认</t>
    </r>
    <r>
      <rPr>
        <sz val="11"/>
        <color theme="1"/>
        <rFont val="Arial"/>
        <charset val="134"/>
      </rPr>
      <t>)</t>
    </r>
  </si>
  <si>
    <r>
      <rPr>
        <sz val="11"/>
        <color theme="1"/>
        <rFont val="Arial"/>
        <charset val="134"/>
      </rPr>
      <t xml:space="preserve">2). </t>
    </r>
    <r>
      <rPr>
        <sz val="11"/>
        <color theme="1"/>
        <rFont val="宋体"/>
        <charset val="134"/>
      </rPr>
      <t>影响业务收益</t>
    </r>
  </si>
  <si>
    <r>
      <rPr>
        <sz val="11"/>
        <color theme="1"/>
        <rFont val="宋体"/>
        <charset val="134"/>
      </rPr>
      <t>支用率</t>
    </r>
    <r>
      <rPr>
        <sz val="11"/>
        <color theme="1"/>
        <rFont val="Arial"/>
        <charset val="134"/>
      </rPr>
      <t>30% vs 60%</t>
    </r>
    <r>
      <rPr>
        <sz val="11"/>
        <color theme="1"/>
        <rFont val="宋体"/>
        <charset val="134"/>
      </rPr>
      <t>，同样审批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万人，收益差了整整</t>
    </r>
    <r>
      <rPr>
        <sz val="11"/>
        <color theme="1"/>
        <rFont val="Arial"/>
        <charset val="134"/>
      </rPr>
      <t>1</t>
    </r>
    <r>
      <rPr>
        <sz val="11"/>
        <color theme="1"/>
        <rFont val="宋体"/>
        <charset val="134"/>
      </rPr>
      <t>倍！低支用率意味着大量审批成本被浪费</t>
    </r>
  </si>
  <si>
    <r>
      <rPr>
        <sz val="11"/>
        <color theme="1"/>
        <rFont val="Arial"/>
        <charset val="134"/>
      </rPr>
      <t xml:space="preserve">3). </t>
    </r>
    <r>
      <rPr>
        <sz val="11"/>
        <color theme="1"/>
        <rFont val="宋体"/>
        <charset val="134"/>
      </rPr>
      <t>模型优化</t>
    </r>
  </si>
  <si>
    <r>
      <rPr>
        <sz val="11"/>
        <color theme="1"/>
        <rFont val="宋体"/>
        <charset val="134"/>
      </rPr>
      <t>支用率直接反映风控模型精准度，批了额度但用户不来借，说明我们可能在拒绝真正有需求的人，或者对已通过用户的吸引力不够</t>
    </r>
    <r>
      <rPr>
        <sz val="11"/>
        <color theme="1"/>
        <rFont val="Arial"/>
        <charset val="134"/>
      </rPr>
      <t>,</t>
    </r>
    <r>
      <rPr>
        <sz val="11"/>
        <color theme="1"/>
        <rFont val="宋体"/>
        <charset val="134"/>
      </rPr>
      <t>需要优化模型</t>
    </r>
  </si>
  <si>
    <r>
      <rPr>
        <b/>
        <sz val="11"/>
        <color rgb="FF1F4E79"/>
        <rFont val="微软雅黑"/>
        <charset val="134"/>
      </rPr>
      <t>【实例</t>
    </r>
    <r>
      <rPr>
        <b/>
        <sz val="11"/>
        <color rgb="FF1F4E79"/>
        <rFont val="Arial"/>
        <charset val="134"/>
      </rPr>
      <t>0</t>
    </r>
    <r>
      <rPr>
        <b/>
        <sz val="11"/>
        <color rgb="FF1F4E79"/>
        <rFont val="微软雅黑"/>
        <charset val="134"/>
      </rPr>
      <t>】授信后提款转化漏斗优化</t>
    </r>
  </si>
  <si>
    <r>
      <rPr>
        <b/>
        <sz val="9.5"/>
        <color rgb="FFFFFFFF"/>
        <rFont val="微软雅黑"/>
        <charset val="134"/>
      </rPr>
      <t>环节</t>
    </r>
  </si>
  <si>
    <r>
      <rPr>
        <b/>
        <sz val="9.5"/>
        <color rgb="FFFFFFFF"/>
        <rFont val="微软雅黑"/>
        <charset val="134"/>
      </rPr>
      <t>用户数</t>
    </r>
  </si>
  <si>
    <r>
      <rPr>
        <b/>
        <sz val="9.5"/>
        <color rgb="FFFFFFFF"/>
        <rFont val="微软雅黑"/>
        <charset val="134"/>
      </rPr>
      <t>转化率</t>
    </r>
  </si>
  <si>
    <r>
      <rPr>
        <b/>
        <sz val="9.5"/>
        <color rgb="FFFFFFFF"/>
        <rFont val="微软雅黑"/>
        <charset val="134"/>
      </rPr>
      <t>流失率</t>
    </r>
  </si>
  <si>
    <r>
      <rPr>
        <b/>
        <sz val="9.5"/>
        <color rgb="FFFFFFFF"/>
        <rFont val="微软雅黑"/>
        <charset val="134"/>
      </rPr>
      <t>优化空间</t>
    </r>
  </si>
  <si>
    <r>
      <rPr>
        <sz val="9"/>
        <color theme="1"/>
        <rFont val="微软雅黑"/>
        <charset val="134"/>
      </rPr>
      <t>授信通过</t>
    </r>
  </si>
  <si>
    <r>
      <rPr>
        <sz val="9"/>
        <color theme="1"/>
        <rFont val="微软雅黑"/>
        <charset val="134"/>
      </rPr>
      <t>查看额度</t>
    </r>
  </si>
  <si>
    <r>
      <rPr>
        <sz val="9"/>
        <color theme="1"/>
        <rFont val="微软雅黑"/>
        <charset val="134"/>
      </rPr>
      <t>中</t>
    </r>
  </si>
  <si>
    <r>
      <rPr>
        <sz val="9"/>
        <color theme="1"/>
        <rFont val="微软雅黑"/>
        <charset val="134"/>
      </rPr>
      <t>发起提款</t>
    </r>
  </si>
  <si>
    <r>
      <rPr>
        <sz val="9"/>
        <color theme="1"/>
        <rFont val="微软雅黑"/>
        <charset val="134"/>
      </rPr>
      <t>高</t>
    </r>
  </si>
  <si>
    <r>
      <rPr>
        <sz val="9"/>
        <color theme="1"/>
        <rFont val="微软雅黑"/>
        <charset val="134"/>
      </rPr>
      <t>完成签约</t>
    </r>
  </si>
  <si>
    <r>
      <rPr>
        <sz val="9"/>
        <color theme="1"/>
        <rFont val="微软雅黑"/>
        <charset val="134"/>
      </rPr>
      <t>资金到账</t>
    </r>
  </si>
  <si>
    <r>
      <rPr>
        <b/>
        <sz val="11"/>
        <color rgb="FF1F4E79"/>
        <rFont val="微软雅黑"/>
        <charset val="134"/>
      </rPr>
      <t>【实例</t>
    </r>
    <r>
      <rPr>
        <b/>
        <sz val="11"/>
        <color rgb="FF1F4E79"/>
        <rFont val="Arial"/>
        <charset val="134"/>
      </rPr>
      <t>1</t>
    </r>
    <r>
      <rPr>
        <b/>
        <sz val="11"/>
        <color rgb="FF1F4E79"/>
        <rFont val="微软雅黑"/>
        <charset val="134"/>
      </rPr>
      <t>】不同月份的支用率</t>
    </r>
  </si>
  <si>
    <r>
      <rPr>
        <b/>
        <sz val="9.5"/>
        <color rgb="FFFFFFFF"/>
        <rFont val="微软雅黑"/>
        <charset val="134"/>
      </rPr>
      <t>日期</t>
    </r>
  </si>
  <si>
    <r>
      <rPr>
        <b/>
        <sz val="9.5"/>
        <color rgb="FFFFFFFF"/>
        <rFont val="微软雅黑"/>
        <charset val="134"/>
      </rPr>
      <t>授信通过人数</t>
    </r>
  </si>
  <si>
    <t>T+1</t>
  </si>
  <si>
    <t>T+15</t>
  </si>
  <si>
    <t>T+30</t>
  </si>
  <si>
    <t>T+45</t>
  </si>
  <si>
    <t>T+60</t>
  </si>
  <si>
    <t>T+90</t>
  </si>
  <si>
    <r>
      <rPr>
        <b/>
        <sz val="11"/>
        <color rgb="FFFF0000"/>
        <rFont val="Arial"/>
        <charset val="134"/>
      </rPr>
      <t>*</t>
    </r>
    <r>
      <rPr>
        <b/>
        <sz val="11"/>
        <color rgb="FFFF0000"/>
        <rFont val="宋体"/>
        <charset val="134"/>
      </rPr>
      <t>日</t>
    </r>
    <r>
      <rPr>
        <b/>
        <sz val="11"/>
        <color rgb="FFFF0000"/>
        <rFont val="Arial"/>
        <charset val="134"/>
      </rPr>
      <t>/</t>
    </r>
    <r>
      <rPr>
        <b/>
        <sz val="11"/>
        <color rgb="FFFF0000"/>
        <rFont val="宋体"/>
        <charset val="134"/>
      </rPr>
      <t>周</t>
    </r>
    <r>
      <rPr>
        <b/>
        <sz val="11"/>
        <color rgb="FFFF0000"/>
        <rFont val="Arial"/>
        <charset val="134"/>
      </rPr>
      <t>/</t>
    </r>
    <r>
      <rPr>
        <b/>
        <sz val="11"/>
        <color rgb="FFFF0000"/>
        <rFont val="宋体"/>
        <charset val="134"/>
      </rPr>
      <t>月支用率上升或者下降幅度加较大，需要增加维度进行归因</t>
    </r>
  </si>
  <si>
    <r>
      <rPr>
        <b/>
        <sz val="11"/>
        <color rgb="FF1F4E79"/>
        <rFont val="微软雅黑"/>
        <charset val="134"/>
      </rPr>
      <t>【实例</t>
    </r>
    <r>
      <rPr>
        <b/>
        <sz val="11"/>
        <color rgb="FF1F4E79"/>
        <rFont val="Arial"/>
        <charset val="134"/>
      </rPr>
      <t>2</t>
    </r>
    <r>
      <rPr>
        <b/>
        <sz val="11"/>
        <color rgb="FF1F4E79"/>
        <rFont val="微软雅黑"/>
        <charset val="134"/>
      </rPr>
      <t>】支用率如何提高</t>
    </r>
    <r>
      <rPr>
        <b/>
        <sz val="11"/>
        <color rgb="FF1F4E79"/>
        <rFont val="Arial"/>
        <charset val="134"/>
      </rPr>
      <t>(</t>
    </r>
    <r>
      <rPr>
        <b/>
        <sz val="11"/>
        <color rgb="FF1F4E79"/>
        <rFont val="宋体"/>
        <charset val="134"/>
      </rPr>
      <t>主要还是监控渠道</t>
    </r>
    <r>
      <rPr>
        <b/>
        <sz val="11"/>
        <color rgb="FF1F4E79"/>
        <rFont val="微软雅黑"/>
        <charset val="134"/>
      </rPr>
      <t>/用户分层找到额度使用率底的原因，对症下药</t>
    </r>
    <r>
      <rPr>
        <b/>
        <sz val="11"/>
        <color rgb="FF1F4E79"/>
        <rFont val="Arial"/>
        <charset val="134"/>
      </rPr>
      <t>)</t>
    </r>
  </si>
  <si>
    <r>
      <rPr>
        <b/>
        <sz val="11"/>
        <rFont val="Arial"/>
        <charset val="134"/>
      </rPr>
      <t xml:space="preserve">1). </t>
    </r>
    <r>
      <rPr>
        <b/>
        <sz val="11"/>
        <rFont val="微软雅黑"/>
        <charset val="134"/>
      </rPr>
      <t>优化额度策略</t>
    </r>
  </si>
  <si>
    <r>
      <rPr>
        <sz val="11"/>
        <color theme="1"/>
        <rFont val="宋体"/>
        <charset val="134"/>
      </rPr>
      <t>额度使用率达到</t>
    </r>
    <r>
      <rPr>
        <sz val="11"/>
        <color theme="1"/>
        <rFont val="Arial"/>
        <charset val="134"/>
      </rPr>
      <t>70%</t>
    </r>
    <r>
      <rPr>
        <sz val="11"/>
        <color theme="1"/>
        <rFont val="宋体"/>
        <charset val="134"/>
      </rPr>
      <t>以上的用户，可以考虑提额</t>
    </r>
  </si>
  <si>
    <r>
      <rPr>
        <b/>
        <sz val="11"/>
        <rFont val="Arial"/>
        <charset val="134"/>
      </rPr>
      <t xml:space="preserve">2). </t>
    </r>
    <r>
      <rPr>
        <b/>
        <sz val="11"/>
        <rFont val="微软雅黑"/>
        <charset val="134"/>
      </rPr>
      <t>改进定价模型</t>
    </r>
  </si>
  <si>
    <t>风险定价：低风险用户低利率，高风险用户高利率</t>
  </si>
  <si>
    <r>
      <rPr>
        <b/>
        <sz val="11"/>
        <rFont val="Arial"/>
        <charset val="134"/>
      </rPr>
      <t xml:space="preserve">3). </t>
    </r>
    <r>
      <rPr>
        <b/>
        <sz val="11"/>
        <rFont val="微软雅黑"/>
        <charset val="134"/>
      </rPr>
      <t>提升产品体验</t>
    </r>
  </si>
  <si>
    <r>
      <rPr>
        <sz val="11"/>
        <color theme="1"/>
        <rFont val="宋体"/>
        <charset val="134"/>
      </rPr>
      <t>实时审批</t>
    </r>
    <r>
      <rPr>
        <sz val="11"/>
        <color theme="1"/>
        <rFont val="Arial"/>
        <charset val="134"/>
      </rPr>
      <t>+</t>
    </r>
    <r>
      <rPr>
        <sz val="11"/>
        <color theme="1"/>
        <rFont val="宋体"/>
        <charset val="134"/>
      </rPr>
      <t>极速到账</t>
    </r>
  </si>
  <si>
    <r>
      <rPr>
        <b/>
        <sz val="11"/>
        <rFont val="Arial"/>
        <charset val="134"/>
      </rPr>
      <t xml:space="preserve">4). </t>
    </r>
    <r>
      <rPr>
        <b/>
        <sz val="11"/>
        <rFont val="微软雅黑"/>
        <charset val="134"/>
      </rPr>
      <t>精准用户触达</t>
    </r>
  </si>
  <si>
    <t>高支用率客群：保持现状，定期关怀</t>
  </si>
  <si>
    <t>低支用率但高价值：定向激活，提升额度</t>
  </si>
  <si>
    <t>低支用率低价值：降低成本，等待时机</t>
  </si>
  <si>
    <t>4.监控体系</t>
  </si>
  <si>
    <t>整体按日/周/月监控T+1---&gt;T+90</t>
  </si>
  <si>
    <t>授信渠道对支用率进行归因，优化低效渠道</t>
  </si>
  <si>
    <t>客群等级，定向提升低支用率但高价值客群</t>
  </si>
  <si>
    <t>KS = max(TPR - FPR)，需要累计好/坏分布数据</t>
  </si>
  <si>
    <t>放款月份</t>
  </si>
  <si>
    <t>好客户占比</t>
  </si>
  <si>
    <t>坏客户占比</t>
  </si>
  <si>
    <t>好客户累计</t>
  </si>
  <si>
    <t>坏客户累计</t>
  </si>
  <si>
    <t>KS值</t>
  </si>
  <si>
    <t>A</t>
  </si>
  <si>
    <t>模型AUC</t>
  </si>
  <si>
    <t>B</t>
  </si>
  <si>
    <t>样本好坏比</t>
  </si>
  <si>
    <t>C</t>
  </si>
  <si>
    <t>估算KS值</t>
  </si>
  <si>
    <t>D</t>
  </si>
  <si>
    <t>&gt; 0.30</t>
  </si>
  <si>
    <t>【实例0】模型KS值持续下降排查</t>
  </si>
  <si>
    <t>月份</t>
  </si>
  <si>
    <t>AUC</t>
  </si>
  <si>
    <t>PSI</t>
  </si>
  <si>
    <t>状态</t>
  </si>
  <si>
    <t>M-6</t>
  </si>
  <si>
    <t>正常</t>
  </si>
  <si>
    <t>M-4</t>
  </si>
  <si>
    <t>关注</t>
  </si>
  <si>
    <t>M-2</t>
  </si>
  <si>
    <t>不稳定</t>
  </si>
  <si>
    <t>M0</t>
  </si>
  <si>
    <t>退化</t>
  </si>
  <si>
    <t>【实例1】多模型KS对比评估</t>
  </si>
  <si>
    <t>模型</t>
  </si>
  <si>
    <t>KS</t>
  </si>
  <si>
    <t>Gini</t>
  </si>
  <si>
    <t>运算耗时</t>
  </si>
  <si>
    <t>V1.0 LR</t>
  </si>
  <si>
    <t>50ms</t>
  </si>
  <si>
    <t>V2.0 XGB</t>
  </si>
  <si>
    <t>200ms</t>
  </si>
  <si>
    <t>V3.0 LGBM</t>
  </si>
  <si>
    <t>120ms</t>
  </si>
  <si>
    <t>【实例2】新特征加入后KS提升验证</t>
  </si>
  <si>
    <t>特征组</t>
  </si>
  <si>
    <t>KS变化</t>
  </si>
  <si>
    <t>AUC变化</t>
  </si>
  <si>
    <t>显著水平</t>
  </si>
  <si>
    <t>建议</t>
  </si>
  <si>
    <t>原始特征</t>
  </si>
  <si>
    <t>基准</t>
  </si>
  <si>
    <t>+运营商数据</t>
  </si>
  <si>
    <t>p&lt;0.01</t>
  </si>
  <si>
    <t>采纳</t>
  </si>
  <si>
    <t>+电商行为</t>
  </si>
  <si>
    <t>+社交关系</t>
  </si>
  <si>
    <t>p&gt;0.05</t>
  </si>
  <si>
    <t>暂不采纳</t>
  </si>
  <si>
    <t>全部加入</t>
  </si>
  <si>
    <t>PSI = sum((实际占比-预期占比) x ln(实际占比/预期占比))</t>
  </si>
  <si>
    <t>Risk level</t>
  </si>
  <si>
    <t>base distribution%</t>
  </si>
  <si>
    <t>VS Mob1%</t>
  </si>
  <si>
    <t>VS Mob2</t>
  </si>
  <si>
    <t>Mob1 PSI</t>
  </si>
  <si>
    <t>Mob2 PSI</t>
  </si>
  <si>
    <t>预期占比(低分)</t>
  </si>
  <si>
    <t>实际占比(低分)</t>
  </si>
  <si>
    <t>预期占比(中分)</t>
  </si>
  <si>
    <t>实际占比(中分)</t>
  </si>
  <si>
    <t>E</t>
  </si>
  <si>
    <t>预期占比(高分)</t>
  </si>
  <si>
    <t>实际占比(高分)</t>
  </si>
  <si>
    <t>小于0.1</t>
  </si>
  <si>
    <t>无需更新模型</t>
  </si>
  <si>
    <t>0.1-0.25</t>
  </si>
  <si>
    <t>检查一下特征</t>
  </si>
  <si>
    <t>大于0.25</t>
  </si>
  <si>
    <t>需要更新模型</t>
  </si>
  <si>
    <t>&lt; 0.10</t>
  </si>
  <si>
    <t>【实例0】客群偏移导致PSI飙升</t>
  </si>
  <si>
    <t>通过率变化</t>
  </si>
  <si>
    <t>FPD30变化</t>
  </si>
  <si>
    <t>M-3</t>
  </si>
  <si>
    <t>M-1</t>
  </si>
  <si>
    <t>【实例1】模型重构后PSI监控</t>
  </si>
  <si>
    <t>周次</t>
  </si>
  <si>
    <t>V1.0 PSI</t>
  </si>
  <si>
    <t>V2.0 PSI</t>
  </si>
  <si>
    <t>V2.0 KS</t>
  </si>
  <si>
    <t>V2.0 FPD30</t>
  </si>
  <si>
    <t>W1</t>
  </si>
  <si>
    <t>W2</t>
  </si>
  <si>
    <t>W3</t>
  </si>
  <si>
    <t>W4</t>
  </si>
  <si>
    <t>这里还涉及到swap in&amp;out</t>
  </si>
  <si>
    <t>【实例2】季节性PSI波动分析</t>
  </si>
  <si>
    <t>新客占比</t>
  </si>
  <si>
    <t>评分均值</t>
  </si>
  <si>
    <t>1月</t>
  </si>
  <si>
    <t>-8分</t>
  </si>
  <si>
    <t>2月</t>
  </si>
  <si>
    <t>-2分</t>
  </si>
  <si>
    <t>6月</t>
  </si>
  <si>
    <t>+1分</t>
  </si>
  <si>
    <t>7月</t>
  </si>
  <si>
    <t>-12分</t>
  </si>
  <si>
    <t>8月</t>
  </si>
  <si>
    <t>-3分</t>
  </si>
  <si>
    <t>偏移 = 当前评分均值 - 基准评分均值</t>
  </si>
  <si>
    <t>基准评分均值</t>
  </si>
  <si>
    <t>当前评分均值</t>
  </si>
  <si>
    <t>评分偏移</t>
  </si>
  <si>
    <t>偏移评估</t>
  </si>
  <si>
    <t>请参考指标体系文档</t>
  </si>
  <si>
    <t>【实例0】评分均值系统性偏移</t>
  </si>
  <si>
    <t>标准差</t>
  </si>
  <si>
    <t>Day 10</t>
  </si>
  <si>
    <t>Day 14</t>
  </si>
  <si>
    <t>【实例1】模型评分漂移长期趋势</t>
  </si>
  <si>
    <t>季度</t>
  </si>
  <si>
    <t>月均偏移</t>
  </si>
  <si>
    <t>Q1</t>
  </si>
  <si>
    <t>Q2</t>
  </si>
  <si>
    <t>Q3</t>
  </si>
  <si>
    <t>Q4</t>
  </si>
  <si>
    <t>【实例2】新渠道客群评分分布异常</t>
  </si>
  <si>
    <t>统计量</t>
  </si>
  <si>
    <t>主客群</t>
  </si>
  <si>
    <t>新渠道</t>
  </si>
  <si>
    <t>均值</t>
  </si>
  <si>
    <t>显著偏低</t>
  </si>
  <si>
    <t>中位数</t>
  </si>
  <si>
    <t>偏大</t>
  </si>
  <si>
    <t>P10</t>
  </si>
  <si>
    <t>风险较高</t>
  </si>
  <si>
    <t>P90</t>
  </si>
  <si>
    <t>尾部正常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</si>
</sst>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_ * #,##0.00_ ;_ * \-#,##0.00_ ;_ * &quot;-&quot;??.0_ ;_ @_ "/>
    <numFmt numFmtId="178" formatCode="0.00_);[Red]\(0.00\)"/>
    <numFmt numFmtId="179" formatCode="0.00_ "/>
    <numFmt numFmtId="180" formatCode="_ * #,##0_ ;_ * \-#,##0_ ;_ * &quot;-&quot;??_ ;_ @_ "/>
    <numFmt numFmtId="181" formatCode="_ * #,##0.0_ ;_ * \-#,##0.0_ ;_ * &quot;-&quot;??_ ;_ @_ "/>
  </numFmts>
  <fonts count="60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i/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1F4E79"/>
      <name val="微软雅黑"/>
      <charset val="134"/>
    </font>
    <font>
      <b/>
      <sz val="9.5"/>
      <color rgb="FFFFFFFF"/>
      <name val="微软雅黑"/>
      <charset val="134"/>
    </font>
    <font>
      <sz val="9"/>
      <color theme="1"/>
      <name val="微软雅黑"/>
      <charset val="134"/>
    </font>
    <font>
      <sz val="10"/>
      <color rgb="FF333333"/>
      <name val="微软雅黑"/>
      <charset val="134"/>
    </font>
    <font>
      <b/>
      <sz val="10"/>
      <color rgb="FF333333"/>
      <name val="微软雅黑"/>
      <charset val="134"/>
    </font>
    <font>
      <sz val="9"/>
      <color rgb="FFFF0000"/>
      <name val="微软雅黑"/>
      <charset val="134"/>
    </font>
    <font>
      <b/>
      <sz val="10"/>
      <color rgb="FFFFFFFF"/>
      <name val="Arial"/>
      <charset val="134"/>
    </font>
    <font>
      <b/>
      <sz val="10"/>
      <color rgb="FFFFFFFF"/>
      <name val="宋体"/>
      <charset val="134"/>
    </font>
    <font>
      <sz val="10"/>
      <color rgb="FF2D3748"/>
      <name val="Arial"/>
      <charset val="134"/>
    </font>
    <font>
      <sz val="11"/>
      <color theme="1"/>
      <name val="Arial"/>
      <charset val="134"/>
    </font>
    <font>
      <b/>
      <sz val="14"/>
      <color rgb="FF1F4E79"/>
      <name val="Arial"/>
      <charset val="134"/>
    </font>
    <font>
      <i/>
      <sz val="9"/>
      <name val="Arial"/>
      <charset val="134"/>
    </font>
    <font>
      <sz val="12"/>
      <color rgb="FFFF000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1"/>
      <color rgb="FF1F4E79"/>
      <name val="Arial"/>
      <charset val="134"/>
    </font>
    <font>
      <b/>
      <sz val="9.5"/>
      <color rgb="FFFFFFFF"/>
      <name val="Arial"/>
      <charset val="134"/>
    </font>
    <font>
      <sz val="9"/>
      <color theme="1"/>
      <name val="Arial"/>
      <charset val="134"/>
    </font>
    <font>
      <b/>
      <sz val="11"/>
      <color rgb="FFFF0000"/>
      <name val="Arial"/>
      <charset val="134"/>
    </font>
    <font>
      <b/>
      <sz val="11"/>
      <name val="Arial"/>
      <charset val="134"/>
    </font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000000"/>
      <name val="Segoe UI"/>
      <charset val="134"/>
    </font>
    <font>
      <b/>
      <sz val="9.75"/>
      <color rgb="FF3B3B3B"/>
      <name val="Arial"/>
      <charset val="134"/>
    </font>
    <font>
      <sz val="9.75"/>
      <color rgb="FF3B3B3B"/>
      <name val="Arial"/>
      <charset val="134"/>
    </font>
    <font>
      <b/>
      <sz val="11"/>
      <color rgb="FFFF0000"/>
      <name val="宋体"/>
      <charset val="134"/>
      <scheme val="minor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微软雅黑"/>
      <charset val="134"/>
    </font>
    <font>
      <sz val="12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color rgb="FF1F4E79"/>
      <name val="宋体"/>
      <charset val="134"/>
    </font>
    <font>
      <b/>
      <sz val="11"/>
      <color rgb="FFFF0000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E0F7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13" borderId="1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4" borderId="21" applyNumberFormat="0" applyAlignment="0" applyProtection="0">
      <alignment vertical="center"/>
    </xf>
    <xf numFmtId="0" fontId="45" fillId="15" borderId="22" applyNumberFormat="0" applyAlignment="0" applyProtection="0">
      <alignment vertical="center"/>
    </xf>
    <xf numFmtId="0" fontId="46" fillId="15" borderId="21" applyNumberFormat="0" applyAlignment="0" applyProtection="0">
      <alignment vertical="center"/>
    </xf>
    <xf numFmtId="0" fontId="47" fillId="16" borderId="23" applyNumberFormat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</cellStyleXfs>
  <cellXfs count="1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6" borderId="2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9" fontId="8" fillId="0" borderId="3" xfId="0" applyNumberFormat="1" applyFont="1" applyBorder="1" applyAlignment="1">
      <alignment horizontal="center" vertical="top" wrapText="1"/>
    </xf>
    <xf numFmtId="0" fontId="8" fillId="7" borderId="3" xfId="0" applyFont="1" applyFill="1" applyBorder="1" applyAlignment="1">
      <alignment horizontal="center" vertical="top" wrapText="1"/>
    </xf>
    <xf numFmtId="9" fontId="8" fillId="7" borderId="3" xfId="0" applyNumberFormat="1" applyFont="1" applyFill="1" applyBorder="1" applyAlignment="1">
      <alignment horizontal="center" vertical="top" wrapText="1"/>
    </xf>
    <xf numFmtId="10" fontId="8" fillId="0" borderId="3" xfId="0" applyNumberFormat="1" applyFont="1" applyBorder="1" applyAlignment="1">
      <alignment horizontal="center" vertical="top" wrapText="1"/>
    </xf>
    <xf numFmtId="10" fontId="8" fillId="7" borderId="3" xfId="0" applyNumberFormat="1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2" fontId="5" fillId="8" borderId="5" xfId="0" applyNumberFormat="1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176" fontId="9" fillId="9" borderId="1" xfId="3" applyNumberFormat="1" applyFont="1" applyFill="1" applyBorder="1" applyAlignment="1">
      <alignment horizontal="left" vertical="center" wrapText="1"/>
    </xf>
    <xf numFmtId="176" fontId="9" fillId="9" borderId="4" xfId="3" applyNumberFormat="1" applyFont="1" applyFill="1" applyBorder="1" applyAlignment="1">
      <alignment horizontal="left" vertical="center" wrapText="1"/>
    </xf>
    <xf numFmtId="177" fontId="9" fillId="9" borderId="7" xfId="0" applyNumberFormat="1" applyFont="1" applyFill="1" applyBorder="1" applyAlignment="1">
      <alignment horizontal="left" vertical="center" wrapText="1"/>
    </xf>
    <xf numFmtId="177" fontId="9" fillId="9" borderId="8" xfId="0" applyNumberFormat="1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176" fontId="9" fillId="10" borderId="1" xfId="3" applyNumberFormat="1" applyFont="1" applyFill="1" applyBorder="1" applyAlignment="1">
      <alignment horizontal="left" vertical="center" wrapText="1"/>
    </xf>
    <xf numFmtId="176" fontId="9" fillId="10" borderId="4" xfId="3" applyNumberFormat="1" applyFont="1" applyFill="1" applyBorder="1" applyAlignment="1">
      <alignment horizontal="left" vertical="center" wrapText="1"/>
    </xf>
    <xf numFmtId="177" fontId="9" fillId="10" borderId="7" xfId="0" applyNumberFormat="1" applyFont="1" applyFill="1" applyBorder="1" applyAlignment="1">
      <alignment horizontal="left" vertical="center" wrapText="1"/>
    </xf>
    <xf numFmtId="177" fontId="9" fillId="10" borderId="8" xfId="0" applyNumberFormat="1" applyFont="1" applyFill="1" applyBorder="1" applyAlignment="1">
      <alignment horizontal="left" vertical="center" wrapText="1"/>
    </xf>
    <xf numFmtId="177" fontId="9" fillId="10" borderId="9" xfId="0" applyNumberFormat="1" applyFont="1" applyFill="1" applyBorder="1" applyAlignment="1">
      <alignment horizontal="left" vertical="center" wrapText="1"/>
    </xf>
    <xf numFmtId="177" fontId="9" fillId="10" borderId="10" xfId="0" applyNumberFormat="1" applyFont="1" applyFill="1" applyBorder="1" applyAlignment="1">
      <alignment horizontal="left" vertical="center" wrapText="1"/>
    </xf>
    <xf numFmtId="0" fontId="10" fillId="10" borderId="0" xfId="0" applyFont="1" applyFill="1" applyBorder="1" applyAlignment="1">
      <alignment horizontal="left" vertical="center" wrapText="1"/>
    </xf>
    <xf numFmtId="176" fontId="10" fillId="10" borderId="0" xfId="3" applyNumberFormat="1" applyFont="1" applyFill="1" applyBorder="1" applyAlignment="1">
      <alignment horizontal="left" vertical="center" wrapText="1"/>
    </xf>
    <xf numFmtId="177" fontId="10" fillId="10" borderId="0" xfId="0" applyNumberFormat="1" applyFont="1" applyFill="1" applyBorder="1" applyAlignment="1">
      <alignment horizontal="left" vertical="center" wrapText="1"/>
    </xf>
    <xf numFmtId="176" fontId="3" fillId="4" borderId="1" xfId="3" applyNumberFormat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top" wrapText="1"/>
    </xf>
    <xf numFmtId="0" fontId="11" fillId="7" borderId="3" xfId="0" applyFont="1" applyFill="1" applyBorder="1" applyAlignment="1">
      <alignment horizontal="center" vertical="top" wrapText="1"/>
    </xf>
    <xf numFmtId="0" fontId="12" fillId="11" borderId="11" xfId="0" applyFont="1" applyFill="1" applyBorder="1" applyAlignment="1">
      <alignment horizontal="center" vertical="top" wrapText="1"/>
    </xf>
    <xf numFmtId="0" fontId="12" fillId="11" borderId="12" xfId="0" applyFont="1" applyFill="1" applyBorder="1" applyAlignment="1">
      <alignment horizontal="center" vertical="top" wrapText="1"/>
    </xf>
    <xf numFmtId="0" fontId="13" fillId="11" borderId="12" xfId="0" applyFont="1" applyFill="1" applyBorder="1" applyAlignment="1">
      <alignment horizontal="center" vertical="top" wrapText="1"/>
    </xf>
    <xf numFmtId="17" fontId="14" fillId="12" borderId="13" xfId="0" applyNumberFormat="1" applyFont="1" applyFill="1" applyBorder="1" applyAlignment="1">
      <alignment horizontal="center" vertical="top" wrapText="1"/>
    </xf>
    <xf numFmtId="0" fontId="14" fillId="12" borderId="14" xfId="0" applyFont="1" applyFill="1" applyBorder="1" applyAlignment="1">
      <alignment horizontal="center" vertical="top" wrapText="1"/>
    </xf>
    <xf numFmtId="10" fontId="14" fillId="12" borderId="14" xfId="0" applyNumberFormat="1" applyFont="1" applyFill="1" applyBorder="1" applyAlignment="1">
      <alignment horizontal="center" vertical="top" wrapText="1"/>
    </xf>
    <xf numFmtId="178" fontId="14" fillId="12" borderId="14" xfId="0" applyNumberFormat="1" applyFont="1" applyFill="1" applyBorder="1" applyAlignment="1">
      <alignment horizontal="center" vertical="top" wrapText="1"/>
    </xf>
    <xf numFmtId="17" fontId="14" fillId="10" borderId="13" xfId="0" applyNumberFormat="1" applyFont="1" applyFill="1" applyBorder="1" applyAlignment="1">
      <alignment horizontal="center" vertical="top" wrapText="1"/>
    </xf>
    <xf numFmtId="0" fontId="14" fillId="10" borderId="14" xfId="0" applyFont="1" applyFill="1" applyBorder="1" applyAlignment="1">
      <alignment horizontal="center" vertical="top" wrapText="1"/>
    </xf>
    <xf numFmtId="10" fontId="14" fillId="10" borderId="14" xfId="0" applyNumberFormat="1" applyFont="1" applyFill="1" applyBorder="1" applyAlignment="1">
      <alignment horizontal="center" vertical="top" wrapText="1"/>
    </xf>
    <xf numFmtId="176" fontId="4" fillId="2" borderId="1" xfId="3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179" fontId="15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0" xfId="0" applyFont="1"/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176" fontId="19" fillId="4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21" fillId="0" borderId="0" xfId="0" applyFont="1"/>
    <xf numFmtId="0" fontId="22" fillId="6" borderId="2" xfId="0" applyFont="1" applyFill="1" applyBorder="1" applyAlignment="1">
      <alignment horizontal="center" vertical="top" wrapText="1"/>
    </xf>
    <xf numFmtId="0" fontId="23" fillId="0" borderId="3" xfId="0" applyFont="1" applyBorder="1" applyAlignment="1">
      <alignment horizontal="center" vertical="top" wrapText="1"/>
    </xf>
    <xf numFmtId="3" fontId="23" fillId="0" borderId="3" xfId="0" applyNumberFormat="1" applyFont="1" applyBorder="1" applyAlignment="1">
      <alignment horizontal="center" vertical="top" wrapText="1"/>
    </xf>
    <xf numFmtId="9" fontId="23" fillId="0" borderId="3" xfId="0" applyNumberFormat="1" applyFont="1" applyBorder="1" applyAlignment="1">
      <alignment horizontal="center" vertical="top" wrapText="1"/>
    </xf>
    <xf numFmtId="0" fontId="23" fillId="7" borderId="3" xfId="0" applyFont="1" applyFill="1" applyBorder="1" applyAlignment="1">
      <alignment horizontal="center" vertical="top" wrapText="1"/>
    </xf>
    <xf numFmtId="3" fontId="23" fillId="7" borderId="3" xfId="0" applyNumberFormat="1" applyFont="1" applyFill="1" applyBorder="1" applyAlignment="1">
      <alignment horizontal="center" vertical="top" wrapText="1"/>
    </xf>
    <xf numFmtId="9" fontId="23" fillId="7" borderId="3" xfId="0" applyNumberFormat="1" applyFont="1" applyFill="1" applyBorder="1" applyAlignment="1">
      <alignment horizontal="center" vertical="top" wrapText="1"/>
    </xf>
    <xf numFmtId="14" fontId="23" fillId="0" borderId="3" xfId="0" applyNumberFormat="1" applyFont="1" applyBorder="1" applyAlignment="1">
      <alignment horizontal="center" vertical="top" wrapText="1"/>
    </xf>
    <xf numFmtId="180" fontId="23" fillId="0" borderId="3" xfId="0" applyNumberFormat="1" applyFont="1" applyBorder="1" applyAlignment="1">
      <alignment horizontal="center" vertical="top" wrapText="1"/>
    </xf>
    <xf numFmtId="14" fontId="23" fillId="0" borderId="15" xfId="0" applyNumberFormat="1" applyFont="1" applyBorder="1" applyAlignment="1">
      <alignment vertical="top" wrapText="1"/>
    </xf>
    <xf numFmtId="14" fontId="23" fillId="0" borderId="16" xfId="0" applyNumberFormat="1" applyFont="1" applyBorder="1" applyAlignment="1">
      <alignment vertical="top" wrapText="1"/>
    </xf>
    <xf numFmtId="14" fontId="23" fillId="0" borderId="17" xfId="0" applyNumberFormat="1" applyFont="1" applyBorder="1" applyAlignment="1">
      <alignment vertical="top" wrapText="1"/>
    </xf>
    <xf numFmtId="176" fontId="23" fillId="0" borderId="3" xfId="3" applyNumberFormat="1" applyFont="1" applyBorder="1" applyAlignment="1">
      <alignment horizontal="center" vertical="top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0" fillId="0" borderId="0" xfId="0" applyAlignment="1">
      <alignment horizontal="left" indent="1"/>
    </xf>
    <xf numFmtId="180" fontId="4" fillId="2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28" fillId="0" borderId="0" xfId="0" applyFont="1"/>
    <xf numFmtId="3" fontId="8" fillId="0" borderId="3" xfId="0" applyNumberFormat="1" applyFont="1" applyBorder="1" applyAlignment="1">
      <alignment horizontal="center" vertical="top" wrapText="1"/>
    </xf>
    <xf numFmtId="3" fontId="8" fillId="7" borderId="3" xfId="0" applyNumberFormat="1" applyFont="1" applyFill="1" applyBorder="1" applyAlignment="1">
      <alignment horizontal="center" vertical="top" wrapText="1"/>
    </xf>
    <xf numFmtId="181" fontId="0" fillId="0" borderId="0" xfId="0" applyNumberFormat="1"/>
    <xf numFmtId="10" fontId="29" fillId="0" borderId="0" xfId="3" applyNumberFormat="1" applyFont="1" applyAlignment="1">
      <alignment horizontal="center" vertical="center"/>
    </xf>
    <xf numFmtId="0" fontId="30" fillId="0" borderId="0" xfId="0" applyFont="1"/>
    <xf numFmtId="0" fontId="29" fillId="0" borderId="0" xfId="0" applyFont="1"/>
    <xf numFmtId="3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3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32" fillId="10" borderId="0" xfId="0" applyFont="1" applyFill="1" applyAlignment="1">
      <alignment horizontal="center" wrapText="1"/>
    </xf>
    <xf numFmtId="0" fontId="33" fillId="10" borderId="0" xfId="0" applyFont="1" applyFill="1" applyAlignment="1">
      <alignment wrapText="1"/>
    </xf>
    <xf numFmtId="3" fontId="33" fillId="10" borderId="0" xfId="0" applyNumberFormat="1" applyFont="1" applyFill="1" applyAlignment="1">
      <alignment wrapText="1"/>
    </xf>
    <xf numFmtId="9" fontId="33" fillId="10" borderId="0" xfId="0" applyNumberFormat="1" applyFont="1" applyFill="1" applyAlignment="1">
      <alignment wrapText="1"/>
    </xf>
    <xf numFmtId="10" fontId="33" fillId="10" borderId="0" xfId="0" applyNumberFormat="1" applyFont="1" applyFill="1" applyAlignment="1">
      <alignment wrapText="1"/>
    </xf>
    <xf numFmtId="0" fontId="6" fillId="0" borderId="0" xfId="0" applyFont="1" applyAlignment="1">
      <alignment horizontal="left"/>
    </xf>
    <xf numFmtId="0" fontId="34" fillId="0" borderId="0" xfId="0" applyFont="1"/>
    <xf numFmtId="0" fontId="35" fillId="0" borderId="3" xfId="0" applyFont="1" applyBorder="1" applyAlignment="1">
      <alignment horizontal="center" vertical="top" wrapText="1"/>
    </xf>
    <xf numFmtId="10" fontId="35" fillId="0" borderId="3" xfId="0" applyNumberFormat="1" applyFont="1" applyBorder="1" applyAlignment="1">
      <alignment horizontal="center" vertical="top" wrapText="1"/>
    </xf>
    <xf numFmtId="176" fontId="0" fillId="0" borderId="1" xfId="3" applyNumberFormat="1" applyBorder="1" applyAlignment="1"/>
    <xf numFmtId="176" fontId="29" fillId="0" borderId="1" xfId="3" applyNumberFormat="1" applyFont="1" applyBorder="1" applyAlignment="1"/>
    <xf numFmtId="0" fontId="4" fillId="0" borderId="1" xfId="0" applyNumberFormat="1" applyFont="1" applyBorder="1" applyAlignment="1">
      <alignment horizontal="center" vertical="center" wrapText="1"/>
    </xf>
    <xf numFmtId="0" fontId="29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支用率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'1.6 支用率'!$A$38</c:f>
              <c:strCache>
                <c:ptCount val="1"/>
                <c:pt idx="0">
                  <c:v>2025/1/1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'1.6 支用率'!$B$32:$H$32</c15:sqref>
                  </c15:fullRef>
                </c:ext>
              </c:extLst>
              <c:f>'1.6 支用率'!$C$32:$H$32</c:f>
              <c:strCache>
                <c:ptCount val="6"/>
                <c:pt idx="0">
                  <c:v>T+1</c:v>
                </c:pt>
                <c:pt idx="1">
                  <c:v>T+15</c:v>
                </c:pt>
                <c:pt idx="2">
                  <c:v>T+30</c:v>
                </c:pt>
                <c:pt idx="3">
                  <c:v>T+45</c:v>
                </c:pt>
                <c:pt idx="4">
                  <c:v>T+60</c:v>
                </c:pt>
                <c:pt idx="5">
                  <c:v>T+90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'1.6 支用率'!$B$38:$H$38</c15:sqref>
                  </c15:fullRef>
                </c:ext>
              </c:extLst>
              <c:f>'1.6 支用率'!$C$38:$H$38</c:f>
              <c:numCache>
                <c:formatCode>0.0%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0.65</c:v>
                </c:pt>
                <c:pt idx="3">
                  <c:v>0.7</c:v>
                </c:pt>
                <c:pt idx="4">
                  <c:v>0.73</c:v>
                </c:pt>
                <c:pt idx="5">
                  <c:v>0.74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'1.6 支用率'!$A$39</c:f>
              <c:strCache>
                <c:ptCount val="1"/>
                <c:pt idx="0">
                  <c:v>2025/2/1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'1.6 支用率'!$B$32:$H$32</c15:sqref>
                  </c15:fullRef>
                </c:ext>
              </c:extLst>
              <c:f>'1.6 支用率'!$C$32:$H$32</c:f>
              <c:strCache>
                <c:ptCount val="6"/>
                <c:pt idx="0">
                  <c:v>T+1</c:v>
                </c:pt>
                <c:pt idx="1">
                  <c:v>T+15</c:v>
                </c:pt>
                <c:pt idx="2">
                  <c:v>T+30</c:v>
                </c:pt>
                <c:pt idx="3">
                  <c:v>T+45</c:v>
                </c:pt>
                <c:pt idx="4">
                  <c:v>T+60</c:v>
                </c:pt>
                <c:pt idx="5">
                  <c:v>T+90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'1.6 支用率'!$B$39:$H$39</c15:sqref>
                  </c15:fullRef>
                </c:ext>
              </c:extLst>
              <c:f>'1.6 支用率'!$C$39:$H$39</c:f>
              <c:numCache>
                <c:formatCode>0.0%</c:formatCode>
                <c:ptCount val="6"/>
                <c:pt idx="0">
                  <c:v>0.45</c:v>
                </c:pt>
                <c:pt idx="1">
                  <c:v>0.55</c:v>
                </c:pt>
                <c:pt idx="2">
                  <c:v>0.6</c:v>
                </c:pt>
                <c:pt idx="3">
                  <c:v>0.65</c:v>
                </c:pt>
                <c:pt idx="4">
                  <c:v>0.68</c:v>
                </c:pt>
                <c:pt idx="5">
                  <c:v>0.69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'1.6 支用率'!$A$40</c:f>
              <c:strCache>
                <c:ptCount val="1"/>
                <c:pt idx="0">
                  <c:v>2025/3/1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'1.6 支用率'!$B$32:$H$32</c15:sqref>
                  </c15:fullRef>
                </c:ext>
              </c:extLst>
              <c:f>'1.6 支用率'!$C$32:$H$32</c:f>
              <c:strCache>
                <c:ptCount val="6"/>
                <c:pt idx="0">
                  <c:v>T+1</c:v>
                </c:pt>
                <c:pt idx="1">
                  <c:v>T+15</c:v>
                </c:pt>
                <c:pt idx="2">
                  <c:v>T+30</c:v>
                </c:pt>
                <c:pt idx="3">
                  <c:v>T+45</c:v>
                </c:pt>
                <c:pt idx="4">
                  <c:v>T+60</c:v>
                </c:pt>
                <c:pt idx="5">
                  <c:v>T+90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'1.6 支用率'!$B$40:$H$40</c15:sqref>
                  </c15:fullRef>
                </c:ext>
              </c:extLst>
              <c:f>'1.6 支用率'!$C$40:$H$40</c:f>
              <c:numCache>
                <c:formatCode>0.0%</c:formatCode>
                <c:ptCount val="6"/>
                <c:pt idx="0">
                  <c:v>0.48</c:v>
                </c:pt>
                <c:pt idx="1">
                  <c:v>0.58</c:v>
                </c:pt>
                <c:pt idx="2">
                  <c:v>0.63</c:v>
                </c:pt>
                <c:pt idx="3">
                  <c:v>0.68</c:v>
                </c:pt>
                <c:pt idx="4">
                  <c:v>0.71</c:v>
                </c:pt>
                <c:pt idx="5">
                  <c:v>0.72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'1.6 支用率'!$A$41</c:f>
              <c:strCache>
                <c:ptCount val="1"/>
                <c:pt idx="0">
                  <c:v>2025/4/1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'1.6 支用率'!$B$32:$H$32</c15:sqref>
                  </c15:fullRef>
                </c:ext>
              </c:extLst>
              <c:f>'1.6 支用率'!$C$32:$H$32</c:f>
              <c:strCache>
                <c:ptCount val="6"/>
                <c:pt idx="0">
                  <c:v>T+1</c:v>
                </c:pt>
                <c:pt idx="1">
                  <c:v>T+15</c:v>
                </c:pt>
                <c:pt idx="2">
                  <c:v>T+30</c:v>
                </c:pt>
                <c:pt idx="3">
                  <c:v>T+45</c:v>
                </c:pt>
                <c:pt idx="4">
                  <c:v>T+60</c:v>
                </c:pt>
                <c:pt idx="5">
                  <c:v>T+90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'1.6 支用率'!$B$41:$H$41</c15:sqref>
                  </c15:fullRef>
                </c:ext>
              </c:extLst>
              <c:f>'1.6 支用率'!$C$41:$H$41</c:f>
              <c:numCache>
                <c:formatCode>0.0%</c:formatCode>
                <c:ptCount val="6"/>
                <c:pt idx="0">
                  <c:v>0.53</c:v>
                </c:pt>
                <c:pt idx="1">
                  <c:v>0.63</c:v>
                </c:pt>
                <c:pt idx="2">
                  <c:v>0.68</c:v>
                </c:pt>
                <c:pt idx="3">
                  <c:v>0.73</c:v>
                </c:pt>
                <c:pt idx="4">
                  <c:v>0.76</c:v>
                </c:pt>
                <c:pt idx="5">
                  <c:v>0.77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4793007"/>
        <c:axId val="857503217"/>
      </c:lineChart>
      <c:catAx>
        <c:axId val="764793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503217"/>
        <c:crosses val="autoZero"/>
        <c:auto val="1"/>
        <c:lblAlgn val="ctr"/>
        <c:lblOffset val="100"/>
        <c:noMultiLvlLbl val="0"/>
      </c:catAx>
      <c:valAx>
        <c:axId val="8575032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79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19c3f5-dfbe-4baa-847f-75fb8d9545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471170</xdr:colOff>
      <xdr:row>29</xdr:row>
      <xdr:rowOff>57150</xdr:rowOff>
    </xdr:from>
    <xdr:to>
      <xdr:col>17</xdr:col>
      <xdr:colOff>267970</xdr:colOff>
      <xdr:row>45</xdr:row>
      <xdr:rowOff>174625</xdr:rowOff>
    </xdr:to>
    <xdr:graphicFrame>
      <xdr:nvGraphicFramePr>
        <xdr:cNvPr id="2" name="图表 1"/>
        <xdr:cNvGraphicFramePr/>
      </xdr:nvGraphicFramePr>
      <xdr:xfrm>
        <a:off x="8554720" y="5432425"/>
        <a:ext cx="4826000" cy="3130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17" sqref="D17"/>
    </sheetView>
  </sheetViews>
  <sheetFormatPr defaultColWidth="9" defaultRowHeight="14" outlineLevelCol="3"/>
  <cols>
    <col min="1" max="1" width="8" customWidth="1"/>
    <col min="2" max="2" width="12" customWidth="1"/>
    <col min="3" max="3" width="25" customWidth="1"/>
    <col min="4" max="4" width="30" customWidth="1"/>
  </cols>
  <sheetData>
    <row r="1" ht="20" spans="1:4">
      <c r="A1" s="1" t="s">
        <v>0</v>
      </c>
    </row>
    <row r="3" ht="14.5" spans="1:4">
      <c r="A3" s="5" t="s">
        <v>1</v>
      </c>
      <c r="B3" s="5" t="s">
        <v>2</v>
      </c>
      <c r="C3" s="5" t="s">
        <v>3</v>
      </c>
      <c r="D3" s="5" t="s">
        <v>4</v>
      </c>
    </row>
    <row r="4" ht="14.5" spans="1:4">
      <c r="A4" s="12">
        <v>1</v>
      </c>
      <c r="B4" s="119">
        <v>1.1</v>
      </c>
      <c r="C4" s="12" t="s">
        <v>5</v>
      </c>
      <c r="D4" s="12" t="s">
        <v>6</v>
      </c>
    </row>
    <row r="5" ht="14.5" spans="1:4">
      <c r="A5" s="12">
        <v>2</v>
      </c>
      <c r="B5" s="119">
        <v>1.2</v>
      </c>
      <c r="C5" s="12" t="s">
        <v>7</v>
      </c>
      <c r="D5" s="12" t="s">
        <v>8</v>
      </c>
    </row>
    <row r="6" ht="14.5" spans="1:4">
      <c r="A6" s="12">
        <v>3</v>
      </c>
      <c r="B6" s="119">
        <v>1.3</v>
      </c>
      <c r="C6" s="12" t="s">
        <v>9</v>
      </c>
      <c r="D6" s="12" t="s">
        <v>10</v>
      </c>
    </row>
    <row r="7" ht="14.5" spans="1:4">
      <c r="A7" s="12">
        <v>4</v>
      </c>
      <c r="B7" s="119">
        <v>1.4</v>
      </c>
      <c r="C7" s="12" t="s">
        <v>11</v>
      </c>
      <c r="D7" s="12" t="s">
        <v>12</v>
      </c>
    </row>
    <row r="8" ht="14.5" spans="1:4">
      <c r="A8" s="12">
        <v>5</v>
      </c>
      <c r="B8" s="119">
        <v>1.5</v>
      </c>
      <c r="C8" s="12" t="s">
        <v>13</v>
      </c>
      <c r="D8" s="12" t="s">
        <v>14</v>
      </c>
    </row>
    <row r="9" ht="14.5" spans="1:4">
      <c r="A9" s="12">
        <v>6</v>
      </c>
      <c r="B9" s="119">
        <v>1.6</v>
      </c>
      <c r="C9" s="12" t="s">
        <v>15</v>
      </c>
      <c r="D9" s="12" t="s">
        <v>16</v>
      </c>
    </row>
    <row r="10" ht="14.5" spans="1:4">
      <c r="A10" s="12">
        <v>7</v>
      </c>
      <c r="B10" s="119">
        <v>1.7</v>
      </c>
      <c r="C10" s="12" t="s">
        <v>17</v>
      </c>
      <c r="D10" s="12" t="s">
        <v>18</v>
      </c>
    </row>
    <row r="11" ht="14.5" spans="1:4">
      <c r="A11" s="12">
        <v>8</v>
      </c>
      <c r="B11" s="119">
        <v>1.8</v>
      </c>
      <c r="C11" s="12" t="s">
        <v>19</v>
      </c>
      <c r="D11" s="12" t="s">
        <v>20</v>
      </c>
    </row>
    <row r="12" ht="14.5" spans="1:4">
      <c r="A12" s="12">
        <v>9</v>
      </c>
      <c r="B12" s="119">
        <v>1.9</v>
      </c>
      <c r="C12" s="12" t="s">
        <v>21</v>
      </c>
      <c r="D12" s="12" t="s">
        <v>22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workbookViewId="0">
      <pane ySplit="5" topLeftCell="A33" activePane="bottomLeft" state="frozen"/>
      <selection/>
      <selection pane="bottomLeft" activeCell="C45" sqref="C45"/>
    </sheetView>
  </sheetViews>
  <sheetFormatPr defaultColWidth="9" defaultRowHeight="14"/>
  <cols>
    <col min="1" max="2" width="20" customWidth="1"/>
    <col min="3" max="4" width="15" customWidth="1"/>
    <col min="5" max="5" width="12.3636363636364" customWidth="1"/>
    <col min="6" max="6" width="12.8181818181818"/>
  </cols>
  <sheetData>
    <row r="1" ht="20" spans="1:5">
      <c r="A1" s="1" t="s">
        <v>6</v>
      </c>
    </row>
    <row r="2" spans="1:5">
      <c r="A2" s="2" t="s">
        <v>23</v>
      </c>
    </row>
    <row r="4" ht="14.5" spans="1:5">
      <c r="A4" s="3" t="s">
        <v>24</v>
      </c>
      <c r="B4" s="4" t="s">
        <v>25</v>
      </c>
      <c r="C4" s="4" t="s">
        <v>25</v>
      </c>
      <c r="D4" s="4" t="s">
        <v>25</v>
      </c>
    </row>
    <row r="5" ht="14.5" spans="1:5">
      <c r="A5" s="5" t="s">
        <v>26</v>
      </c>
      <c r="B5" s="5" t="s">
        <v>27</v>
      </c>
      <c r="C5" s="5" t="s">
        <v>28</v>
      </c>
      <c r="D5" s="5" t="s">
        <v>29</v>
      </c>
    </row>
    <row r="6" ht="14.5" spans="1:5">
      <c r="A6" s="6" t="s">
        <v>30</v>
      </c>
      <c r="B6" s="92">
        <v>5000</v>
      </c>
      <c r="C6" s="4" t="s">
        <v>31</v>
      </c>
      <c r="D6" s="4" t="s">
        <v>32</v>
      </c>
    </row>
    <row r="7" ht="14.5" spans="1:5">
      <c r="A7" s="6" t="s">
        <v>33</v>
      </c>
      <c r="B7" s="92">
        <v>3100</v>
      </c>
      <c r="C7" s="4" t="s">
        <v>31</v>
      </c>
      <c r="D7" s="4" t="s">
        <v>32</v>
      </c>
    </row>
    <row r="8" ht="14.5" spans="1:5">
      <c r="A8" s="7" t="s">
        <v>34</v>
      </c>
      <c r="B8" s="93">
        <f>B7/B6</f>
        <v>0.62</v>
      </c>
      <c r="C8" s="9" t="s">
        <v>35</v>
      </c>
      <c r="D8" s="9" t="s">
        <v>36</v>
      </c>
    </row>
    <row r="10" ht="14.5" spans="1:5">
      <c r="A10" s="10" t="s">
        <v>37</v>
      </c>
      <c r="B10" s="11" t="s">
        <v>25</v>
      </c>
      <c r="C10" s="11" t="s">
        <v>25</v>
      </c>
      <c r="D10" s="11" t="s">
        <v>25</v>
      </c>
    </row>
    <row r="11" ht="14.5" spans="1:5">
      <c r="A11" s="12" t="s">
        <v>38</v>
      </c>
      <c r="B11" s="12" t="s">
        <v>39</v>
      </c>
      <c r="C11" s="12" t="s">
        <v>40</v>
      </c>
      <c r="D11" s="12" t="s">
        <v>41</v>
      </c>
    </row>
    <row r="14" ht="17.25" spans="1:5">
      <c r="A14" s="113" t="s">
        <v>42</v>
      </c>
    </row>
    <row r="15" ht="14.75" spans="1:5">
      <c r="A15" s="14" t="s">
        <v>43</v>
      </c>
      <c r="B15" s="14" t="s">
        <v>44</v>
      </c>
      <c r="C15" s="14" t="s">
        <v>45</v>
      </c>
      <c r="D15" s="14" t="s">
        <v>34</v>
      </c>
      <c r="E15" s="14" t="s">
        <v>46</v>
      </c>
    </row>
    <row r="16" ht="14.75" spans="1:5">
      <c r="A16" s="15" t="s">
        <v>47</v>
      </c>
      <c r="B16" s="95">
        <v>1250</v>
      </c>
      <c r="C16" s="95">
        <v>1063</v>
      </c>
      <c r="D16" s="19">
        <f>C16/B16</f>
        <v>0.8504</v>
      </c>
      <c r="E16" s="19">
        <f>D16-D21</f>
        <v>0.2204</v>
      </c>
    </row>
    <row r="17" ht="14.75" spans="1:13">
      <c r="A17" s="17" t="s">
        <v>48</v>
      </c>
      <c r="B17" s="96">
        <v>1380</v>
      </c>
      <c r="C17" s="96">
        <v>1173</v>
      </c>
      <c r="D17" s="20">
        <f>C17/B17</f>
        <v>0.85</v>
      </c>
      <c r="E17" s="20">
        <f>D17-D16</f>
        <v>-0.000400000000000067</v>
      </c>
      <c r="G17" s="100"/>
      <c r="H17" s="114"/>
    </row>
    <row r="18" ht="14.75" spans="1:13">
      <c r="A18" s="15" t="s">
        <v>49</v>
      </c>
      <c r="B18" s="95">
        <v>1520</v>
      </c>
      <c r="C18" s="95">
        <v>1292</v>
      </c>
      <c r="D18" s="19">
        <f>C18/B18</f>
        <v>0.85</v>
      </c>
      <c r="E18" s="19">
        <f>D18-D17</f>
        <v>0</v>
      </c>
    </row>
    <row r="19" ht="14.75" spans="1:13">
      <c r="A19" s="17" t="s">
        <v>50</v>
      </c>
      <c r="B19" s="96">
        <v>1680</v>
      </c>
      <c r="C19" s="96">
        <v>1428</v>
      </c>
      <c r="D19" s="20">
        <f>C19/B19</f>
        <v>0.85</v>
      </c>
      <c r="E19" s="20">
        <f>D19-D18</f>
        <v>0</v>
      </c>
    </row>
    <row r="20" ht="14.75" spans="1:13">
      <c r="A20" s="15" t="s">
        <v>51</v>
      </c>
      <c r="B20" s="95">
        <v>1850</v>
      </c>
      <c r="C20" s="95">
        <v>1573</v>
      </c>
      <c r="D20" s="19">
        <f>C20/B20</f>
        <v>0.85027027027027</v>
      </c>
      <c r="E20" s="19">
        <f>D20-D19</f>
        <v>0.000270270270270268</v>
      </c>
    </row>
    <row r="21" ht="14.75" spans="1:13">
      <c r="A21" s="17" t="s">
        <v>52</v>
      </c>
      <c r="B21" s="96">
        <v>1500</v>
      </c>
      <c r="C21" s="17">
        <v>945</v>
      </c>
      <c r="D21" s="20">
        <v>0.63</v>
      </c>
      <c r="E21" s="17" t="s">
        <v>36</v>
      </c>
    </row>
    <row r="23" ht="17.25" spans="1:13">
      <c r="A23" s="13" t="s">
        <v>53</v>
      </c>
      <c r="I23" s="114" t="s">
        <v>54</v>
      </c>
    </row>
    <row r="24" ht="14.75" spans="1:13">
      <c r="A24" s="14" t="s">
        <v>55</v>
      </c>
      <c r="B24" s="14" t="s">
        <v>56</v>
      </c>
      <c r="C24" s="14" t="s">
        <v>57</v>
      </c>
      <c r="D24" s="14" t="s">
        <v>58</v>
      </c>
      <c r="E24" s="14" t="s">
        <v>59</v>
      </c>
      <c r="F24" s="14" t="s">
        <v>60</v>
      </c>
      <c r="G24" s="14" t="s">
        <v>61</v>
      </c>
      <c r="L24" t="s">
        <v>62</v>
      </c>
    </row>
    <row r="25" ht="14.75" spans="1:13">
      <c r="A25" s="115" t="s">
        <v>63</v>
      </c>
      <c r="B25" s="116">
        <v>1</v>
      </c>
      <c r="C25" s="116" cm="1">
        <f t="array" ref="C25">SUMPRODUCT(B26:B29,C26:C29)</f>
        <v>0.65</v>
      </c>
      <c r="D25" s="116">
        <v>1</v>
      </c>
      <c r="E25" s="116" cm="1">
        <f t="array" ref="E25">SUMPRODUCT(D26:D29,E26:E29)</f>
        <v>0.4372</v>
      </c>
      <c r="F25" s="116">
        <f>E25-C25</f>
        <v>-0.2128</v>
      </c>
      <c r="G25" s="115" t="s">
        <v>64</v>
      </c>
      <c r="I25" s="14" t="s">
        <v>65</v>
      </c>
      <c r="J25" s="14" t="s">
        <v>66</v>
      </c>
      <c r="L25" s="14" t="s">
        <v>65</v>
      </c>
      <c r="M25" s="14" t="s">
        <v>66</v>
      </c>
    </row>
    <row r="26" ht="14.75" spans="1:13">
      <c r="A26" s="17" t="s">
        <v>67</v>
      </c>
      <c r="B26" s="20">
        <v>0.1</v>
      </c>
      <c r="C26" s="20">
        <v>0.95</v>
      </c>
      <c r="D26" s="20">
        <v>0.08</v>
      </c>
      <c r="E26" s="20">
        <v>0.92</v>
      </c>
      <c r="F26" s="20">
        <f t="shared" ref="F25:F29" si="0">E26-C26</f>
        <v>-0.0299999999999999</v>
      </c>
      <c r="G26" s="17" t="s">
        <v>68</v>
      </c>
      <c r="I26" s="117">
        <f>(D26-B26)*C26</f>
        <v>-0.019</v>
      </c>
      <c r="J26" s="117">
        <f>(E26-C26)*D26</f>
        <v>-0.00239999999999999</v>
      </c>
      <c r="L26" s="117">
        <f>I26/($I$30+$J$30)</f>
        <v>0.0892857142857143</v>
      </c>
      <c r="M26" s="117">
        <f>J26/($I$30+$J$30)</f>
        <v>0.0112781954887218</v>
      </c>
    </row>
    <row r="27" ht="14.75" spans="1:13">
      <c r="A27" s="15" t="s">
        <v>69</v>
      </c>
      <c r="B27" s="19">
        <v>0.3</v>
      </c>
      <c r="C27" s="19">
        <v>0.85</v>
      </c>
      <c r="D27" s="19">
        <v>0.25</v>
      </c>
      <c r="E27" s="19">
        <v>0.8</v>
      </c>
      <c r="F27" s="19">
        <f t="shared" si="0"/>
        <v>-0.0499999999999999</v>
      </c>
      <c r="G27" s="15" t="s">
        <v>68</v>
      </c>
      <c r="H27" s="120" t="s">
        <v>70</v>
      </c>
      <c r="I27" s="117">
        <f t="shared" ref="I27:M27" si="1">(D27-B27)*C27</f>
        <v>-0.0425</v>
      </c>
      <c r="J27" s="117">
        <f t="shared" si="1"/>
        <v>-0.0125</v>
      </c>
      <c r="L27" s="117">
        <f>I27/($I$30+$J$30)</f>
        <v>0.199718045112782</v>
      </c>
      <c r="M27" s="117">
        <f>J27/($I$30+$J$30)</f>
        <v>0.0587406015037594</v>
      </c>
    </row>
    <row r="28" ht="14.75" spans="1:13">
      <c r="A28" s="17" t="s">
        <v>71</v>
      </c>
      <c r="B28" s="20">
        <v>0.4</v>
      </c>
      <c r="C28" s="20">
        <v>0.45</v>
      </c>
      <c r="D28" s="20">
        <v>0.37</v>
      </c>
      <c r="E28" s="20">
        <v>0.28</v>
      </c>
      <c r="F28" s="20">
        <f t="shared" si="0"/>
        <v>-0.17</v>
      </c>
      <c r="G28" s="17" t="s">
        <v>72</v>
      </c>
      <c r="I28" s="117">
        <f t="shared" ref="I28:M28" si="2">(D28-B28)*C28</f>
        <v>-0.0135</v>
      </c>
      <c r="J28" s="117">
        <f t="shared" si="2"/>
        <v>-0.0629</v>
      </c>
      <c r="L28" s="117">
        <f>I28/($I$30+$J$30)</f>
        <v>0.0634398496240602</v>
      </c>
      <c r="M28" s="117">
        <f>J28/($I$30+$J$30)</f>
        <v>0.295582706766917</v>
      </c>
    </row>
    <row r="29" ht="14.75" spans="1:13">
      <c r="A29" s="15" t="s">
        <v>73</v>
      </c>
      <c r="B29" s="19">
        <v>0.3</v>
      </c>
      <c r="C29" s="19">
        <v>0.4</v>
      </c>
      <c r="D29" s="19">
        <v>0.3</v>
      </c>
      <c r="E29" s="19">
        <v>0.2</v>
      </c>
      <c r="F29" s="19">
        <f t="shared" si="0"/>
        <v>-0.2</v>
      </c>
      <c r="G29" s="15" t="s">
        <v>72</v>
      </c>
      <c r="I29" s="117">
        <f t="shared" ref="I29:M29" si="3">(D29-B29)*C29</f>
        <v>0</v>
      </c>
      <c r="J29" s="117">
        <f t="shared" si="3"/>
        <v>-0.06</v>
      </c>
      <c r="L29" s="117">
        <f>I29/($I$30+$J$30)</f>
        <v>0</v>
      </c>
      <c r="M29" s="117">
        <f>J29/($I$30+$J$30)</f>
        <v>0.281954887218045</v>
      </c>
    </row>
    <row r="30" ht="14.75" spans="1:13">
      <c r="A30" s="17" t="s">
        <v>74</v>
      </c>
      <c r="B30" s="20"/>
      <c r="C30" s="20">
        <v>0.032</v>
      </c>
      <c r="D30" s="20"/>
      <c r="E30" s="20">
        <v>0.021</v>
      </c>
      <c r="F30" s="20">
        <v>-0.011</v>
      </c>
      <c r="G30" s="17" t="s">
        <v>75</v>
      </c>
      <c r="I30" s="118">
        <f t="shared" ref="I30:M30" si="4">SUM(I26:I29)</f>
        <v>-0.075</v>
      </c>
      <c r="J30" s="118">
        <f t="shared" si="4"/>
        <v>-0.1378</v>
      </c>
      <c r="L30" s="118">
        <f>SUM(L26:L29)</f>
        <v>0.352443609022556</v>
      </c>
      <c r="M30" s="118">
        <f t="shared" si="4"/>
        <v>0.647556390977444</v>
      </c>
    </row>
    <row r="31" ht="14.75" spans="1:13">
      <c r="A31" s="15" t="s">
        <v>76</v>
      </c>
      <c r="B31" s="19"/>
      <c r="C31" s="19">
        <v>0.045</v>
      </c>
      <c r="D31" s="19"/>
      <c r="E31" s="19">
        <v>0.028</v>
      </c>
      <c r="F31" s="19">
        <v>-0.017</v>
      </c>
      <c r="G31" s="15" t="s">
        <v>77</v>
      </c>
    </row>
    <row r="33" ht="17.25" spans="1:5">
      <c r="A33" s="13" t="s">
        <v>78</v>
      </c>
    </row>
    <row r="34" ht="14.75" spans="1:5">
      <c r="A34" s="14" t="s">
        <v>79</v>
      </c>
      <c r="B34" s="14" t="s">
        <v>44</v>
      </c>
      <c r="C34" s="14" t="s">
        <v>45</v>
      </c>
      <c r="D34" s="14" t="s">
        <v>34</v>
      </c>
      <c r="E34" s="14" t="s">
        <v>80</v>
      </c>
    </row>
    <row r="35" ht="14.75" spans="1:5">
      <c r="A35" s="15" t="s">
        <v>81</v>
      </c>
      <c r="B35" s="95">
        <v>15000</v>
      </c>
      <c r="C35" s="95">
        <v>9300</v>
      </c>
      <c r="D35" s="19">
        <f>C35/B35</f>
        <v>0.62</v>
      </c>
      <c r="E35" s="15" t="s">
        <v>36</v>
      </c>
    </row>
    <row r="36" ht="14.75" spans="1:5">
      <c r="A36" s="17" t="s">
        <v>82</v>
      </c>
      <c r="B36" s="96">
        <v>35000</v>
      </c>
      <c r="C36" s="96">
        <v>21350</v>
      </c>
      <c r="D36" s="20">
        <f>C36/B36</f>
        <v>0.61</v>
      </c>
      <c r="E36" s="18">
        <f>B36/B35-1</f>
        <v>1.33333333333333</v>
      </c>
    </row>
    <row r="37" ht="14.75" spans="1:5">
      <c r="A37" s="15" t="s">
        <v>83</v>
      </c>
      <c r="B37" s="95">
        <v>38000</v>
      </c>
      <c r="C37" s="95">
        <v>21660</v>
      </c>
      <c r="D37" s="19">
        <f>C37/B37</f>
        <v>0.57</v>
      </c>
      <c r="E37" s="16">
        <f>B37/B36-1</f>
        <v>0.0857142857142856</v>
      </c>
    </row>
    <row r="38" ht="14.75" spans="1:5">
      <c r="A38" s="17" t="s">
        <v>84</v>
      </c>
      <c r="B38" s="96">
        <v>45000</v>
      </c>
      <c r="C38" s="96">
        <v>24750</v>
      </c>
      <c r="D38" s="20">
        <f>C38/B38</f>
        <v>0.55</v>
      </c>
      <c r="E38" s="18">
        <f>B38/B37-1</f>
        <v>0.184210526315789</v>
      </c>
    </row>
    <row r="39" ht="14.75" spans="1:5">
      <c r="A39" s="15" t="s">
        <v>85</v>
      </c>
      <c r="B39" s="95">
        <v>22000</v>
      </c>
      <c r="C39" s="95">
        <v>13640</v>
      </c>
      <c r="D39" s="19">
        <f>C39/B39</f>
        <v>0.62</v>
      </c>
      <c r="E39" s="16">
        <f>B39/B35-1</f>
        <v>0.466666666666667</v>
      </c>
    </row>
  </sheetData>
  <mergeCells count="2">
    <mergeCell ref="A1:D1"/>
    <mergeCell ref="A2:D2"/>
  </mergeCells>
  <conditionalFormatting sqref="B8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{f8e39ba8-0fe1-4db6-8920-354055bd4f3e}</x14:id>
        </ext>
      </extLst>
    </cfRule>
  </conditionalFormatting>
  <conditionalFormatting sqref="L26:M2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{96a4a90f-c535-41fe-a9bf-98a2b4d09c47}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e39ba8-0fe1-4db6-8920-354055bd4f3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  <x14:conditionalFormatting xmlns:xm="http://schemas.microsoft.com/office/excel/2006/main">
          <x14:cfRule type="dataBar" id="{96a4a90f-c535-41fe-a9bf-98a2b4d09c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L26:M29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zoomScale="65" zoomScaleNormal="65" workbookViewId="0">
      <pane ySplit="5" topLeftCell="A6" activePane="bottomLeft" state="frozen"/>
      <selection/>
      <selection pane="bottomLeft" activeCell="D35" sqref="D35"/>
    </sheetView>
  </sheetViews>
  <sheetFormatPr defaultColWidth="9" defaultRowHeight="14" outlineLevelCol="4"/>
  <cols>
    <col min="1" max="2" width="20" customWidth="1"/>
    <col min="3" max="3" width="36.5454545454545" customWidth="1"/>
    <col min="4" max="4" width="40" customWidth="1"/>
  </cols>
  <sheetData>
    <row r="1" ht="20" spans="1:4">
      <c r="A1" s="1" t="s">
        <v>8</v>
      </c>
    </row>
    <row r="2" spans="1:4">
      <c r="A2" s="2" t="s">
        <v>86</v>
      </c>
    </row>
    <row r="4" ht="14.5" spans="1:4">
      <c r="A4" s="3" t="s">
        <v>24</v>
      </c>
      <c r="B4" s="4" t="s">
        <v>25</v>
      </c>
      <c r="C4" s="4" t="s">
        <v>25</v>
      </c>
      <c r="D4" s="4" t="s">
        <v>25</v>
      </c>
    </row>
    <row r="5" ht="14.5" spans="1:4">
      <c r="A5" s="5" t="s">
        <v>26</v>
      </c>
      <c r="B5" s="5" t="s">
        <v>27</v>
      </c>
      <c r="C5" s="5" t="s">
        <v>28</v>
      </c>
      <c r="D5" s="5" t="s">
        <v>29</v>
      </c>
    </row>
    <row r="6" ht="14.5" spans="1:4">
      <c r="A6" s="6" t="s">
        <v>30</v>
      </c>
      <c r="B6" s="4">
        <v>5000</v>
      </c>
      <c r="C6" s="4" t="s">
        <v>31</v>
      </c>
      <c r="D6" s="4" t="s">
        <v>32</v>
      </c>
    </row>
    <row r="7" ht="14.5" spans="1:4">
      <c r="A7" s="6" t="s">
        <v>87</v>
      </c>
      <c r="B7" s="4">
        <v>180</v>
      </c>
      <c r="C7" s="4" t="s">
        <v>31</v>
      </c>
      <c r="D7" s="4" t="s">
        <v>32</v>
      </c>
    </row>
    <row r="8" ht="14.5" spans="1:4">
      <c r="A8" s="7" t="s">
        <v>88</v>
      </c>
      <c r="B8" s="102">
        <f>B7/B6</f>
        <v>0.036</v>
      </c>
      <c r="C8" s="9" t="s">
        <v>35</v>
      </c>
      <c r="D8" s="9" t="s">
        <v>36</v>
      </c>
    </row>
    <row r="10" ht="14.5" spans="1:4">
      <c r="A10" s="10" t="s">
        <v>37</v>
      </c>
      <c r="B10" s="11" t="s">
        <v>25</v>
      </c>
      <c r="C10" s="11" t="s">
        <v>25</v>
      </c>
      <c r="D10" s="11" t="s">
        <v>25</v>
      </c>
    </row>
    <row r="11" ht="14.5" spans="1:4">
      <c r="A11" s="12" t="s">
        <v>38</v>
      </c>
      <c r="B11" s="12" t="s">
        <v>89</v>
      </c>
      <c r="C11" s="12" t="s">
        <v>40</v>
      </c>
      <c r="D11" s="12" t="s">
        <v>41</v>
      </c>
    </row>
    <row r="12" ht="14.5" spans="1:4">
      <c r="A12" s="103"/>
      <c r="B12" s="103"/>
      <c r="C12" s="103"/>
      <c r="D12" s="103"/>
    </row>
    <row r="13" ht="15.25" spans="1:4">
      <c r="A13" s="12" t="s">
        <v>90</v>
      </c>
    </row>
    <row r="14" ht="14.75" spans="1:4">
      <c r="A14" s="14" t="s">
        <v>55</v>
      </c>
      <c r="B14" s="14" t="s">
        <v>91</v>
      </c>
      <c r="C14" s="14" t="s">
        <v>92</v>
      </c>
      <c r="D14" s="14" t="s">
        <v>93</v>
      </c>
    </row>
    <row r="15" ht="58" spans="1:4">
      <c r="A15" s="12" t="s">
        <v>94</v>
      </c>
      <c r="B15" s="12" t="s">
        <v>95</v>
      </c>
      <c r="C15" s="12" t="s">
        <v>96</v>
      </c>
      <c r="D15" s="12" t="s">
        <v>97</v>
      </c>
    </row>
    <row r="16" ht="29" spans="1:4">
      <c r="A16" s="12" t="s">
        <v>98</v>
      </c>
      <c r="B16" s="12" t="s">
        <v>99</v>
      </c>
      <c r="C16" s="12"/>
      <c r="D16" s="12" t="s">
        <v>100</v>
      </c>
    </row>
    <row r="17" ht="58" spans="1:5">
      <c r="A17" s="12" t="s">
        <v>101</v>
      </c>
      <c r="B17" s="12" t="s">
        <v>102</v>
      </c>
      <c r="C17" s="12" t="s">
        <v>103</v>
      </c>
      <c r="D17" s="12" t="s">
        <v>104</v>
      </c>
    </row>
    <row r="18" ht="29" spans="1:5">
      <c r="A18" s="12" t="s">
        <v>105</v>
      </c>
      <c r="B18" s="12" t="s">
        <v>106</v>
      </c>
      <c r="C18" s="12"/>
      <c r="D18" s="12" t="s">
        <v>107</v>
      </c>
    </row>
    <row r="19" ht="87" spans="1:5">
      <c r="A19" s="12" t="s">
        <v>108</v>
      </c>
      <c r="B19" s="12" t="s">
        <v>109</v>
      </c>
      <c r="C19" s="12" t="s">
        <v>110</v>
      </c>
      <c r="D19" s="12" t="s">
        <v>111</v>
      </c>
    </row>
    <row r="20" ht="17.5" spans="1:5">
      <c r="A20" s="104"/>
      <c r="B20" s="105"/>
      <c r="C20" s="106"/>
      <c r="D20" s="107"/>
    </row>
    <row r="21" ht="17.25" spans="1:5">
      <c r="A21" s="13" t="s">
        <v>112</v>
      </c>
    </row>
    <row r="22" ht="28.75" spans="1:5">
      <c r="A22" s="14" t="s">
        <v>79</v>
      </c>
      <c r="B22" s="14" t="s">
        <v>44</v>
      </c>
      <c r="C22" s="14" t="s">
        <v>113</v>
      </c>
      <c r="D22" s="14" t="s">
        <v>114</v>
      </c>
      <c r="E22" s="14" t="s">
        <v>115</v>
      </c>
    </row>
    <row r="23" ht="14.75" spans="1:5">
      <c r="A23" s="15" t="s">
        <v>116</v>
      </c>
      <c r="B23" s="15">
        <v>120</v>
      </c>
      <c r="C23" s="15">
        <v>8</v>
      </c>
      <c r="D23" s="19">
        <f t="shared" ref="D23:D27" si="0">C23/B23</f>
        <v>0.0666666666666667</v>
      </c>
      <c r="E23" s="16">
        <v>0.12</v>
      </c>
    </row>
    <row r="24" ht="14.75" spans="1:5">
      <c r="A24" s="17" t="s">
        <v>117</v>
      </c>
      <c r="B24" s="17">
        <v>850</v>
      </c>
      <c r="C24" s="17">
        <v>382</v>
      </c>
      <c r="D24" s="20">
        <f t="shared" si="0"/>
        <v>0.449411764705882</v>
      </c>
      <c r="E24" s="18">
        <v>0.68</v>
      </c>
    </row>
    <row r="25" ht="14.75" spans="1:5">
      <c r="A25" s="15" t="s">
        <v>118</v>
      </c>
      <c r="B25" s="15">
        <v>920</v>
      </c>
      <c r="C25" s="15">
        <v>414</v>
      </c>
      <c r="D25" s="19">
        <f t="shared" si="0"/>
        <v>0.45</v>
      </c>
      <c r="E25" s="16">
        <v>0.72</v>
      </c>
    </row>
    <row r="26" ht="14.75" spans="1:5">
      <c r="A26" s="17" t="s">
        <v>119</v>
      </c>
      <c r="B26" s="17">
        <v>180</v>
      </c>
      <c r="C26" s="17">
        <v>25</v>
      </c>
      <c r="D26" s="20">
        <f t="shared" si="0"/>
        <v>0.138888888888889</v>
      </c>
      <c r="E26" s="18">
        <v>0.22</v>
      </c>
    </row>
    <row r="27" ht="14.75" spans="1:5">
      <c r="A27" s="15" t="s">
        <v>120</v>
      </c>
      <c r="B27" s="15">
        <v>95</v>
      </c>
      <c r="C27" s="15">
        <v>6</v>
      </c>
      <c r="D27" s="19">
        <f t="shared" si="0"/>
        <v>0.0631578947368421</v>
      </c>
      <c r="E27" s="16">
        <v>0.1</v>
      </c>
    </row>
    <row r="29" ht="17.25" spans="1:5">
      <c r="A29" s="13" t="s">
        <v>121</v>
      </c>
    </row>
    <row r="30" ht="14.75" spans="1:5">
      <c r="A30" s="14" t="s">
        <v>122</v>
      </c>
      <c r="B30" s="14" t="s">
        <v>123</v>
      </c>
      <c r="C30" s="14" t="s">
        <v>124</v>
      </c>
      <c r="D30" s="14" t="s">
        <v>125</v>
      </c>
      <c r="E30" s="14" t="s">
        <v>126</v>
      </c>
    </row>
    <row r="31" ht="14.75" spans="1:5">
      <c r="A31" s="15" t="s">
        <v>127</v>
      </c>
      <c r="B31" s="95">
        <v>120000</v>
      </c>
      <c r="C31" s="95">
        <v>45000</v>
      </c>
      <c r="D31" s="95">
        <v>28000</v>
      </c>
      <c r="E31" s="15" t="s">
        <v>128</v>
      </c>
    </row>
    <row r="32" ht="14.75" spans="1:5">
      <c r="A32" s="17" t="s">
        <v>129</v>
      </c>
      <c r="B32" s="96">
        <v>80000</v>
      </c>
      <c r="C32" s="96">
        <v>12000</v>
      </c>
      <c r="D32" s="96">
        <v>5000</v>
      </c>
      <c r="E32" s="17" t="s">
        <v>130</v>
      </c>
    </row>
    <row r="33" ht="14.75" spans="1:5">
      <c r="A33" s="15" t="s">
        <v>131</v>
      </c>
      <c r="B33" s="95">
        <v>200000</v>
      </c>
      <c r="C33" s="95">
        <v>35000</v>
      </c>
      <c r="D33" s="95">
        <v>15000</v>
      </c>
      <c r="E33" s="15" t="s">
        <v>132</v>
      </c>
    </row>
    <row r="34" ht="14.75" spans="1:5">
      <c r="A34" s="17" t="s">
        <v>133</v>
      </c>
      <c r="B34" s="96">
        <v>100000</v>
      </c>
      <c r="C34" s="96">
        <v>8000</v>
      </c>
      <c r="D34" s="96">
        <v>3000</v>
      </c>
      <c r="E34" s="17" t="s">
        <v>134</v>
      </c>
    </row>
    <row r="35" ht="14.75" spans="1:5">
      <c r="A35" s="15" t="s">
        <v>63</v>
      </c>
      <c r="B35" s="95">
        <v>500000</v>
      </c>
      <c r="C35" s="95">
        <v>100000</v>
      </c>
      <c r="D35" s="95">
        <v>51000</v>
      </c>
      <c r="E35" s="15" t="s">
        <v>36</v>
      </c>
    </row>
    <row r="37" ht="17.25" spans="1:5">
      <c r="A37" s="13" t="s">
        <v>135</v>
      </c>
    </row>
    <row r="38" ht="14.75" spans="1:5">
      <c r="A38" s="14" t="s">
        <v>136</v>
      </c>
      <c r="B38" s="14" t="s">
        <v>137</v>
      </c>
      <c r="C38" s="14" t="s">
        <v>138</v>
      </c>
      <c r="D38" s="14" t="s">
        <v>74</v>
      </c>
      <c r="E38" s="14" t="s">
        <v>139</v>
      </c>
    </row>
    <row r="39" ht="26.75" spans="1:5">
      <c r="A39" s="15" t="s">
        <v>140</v>
      </c>
      <c r="B39" s="95">
        <v>8500</v>
      </c>
      <c r="C39" s="16">
        <v>0.12</v>
      </c>
      <c r="D39" s="15">
        <v>0.038</v>
      </c>
      <c r="E39" s="15" t="s">
        <v>141</v>
      </c>
    </row>
    <row r="40" ht="26.75" spans="1:5">
      <c r="A40" s="17" t="s">
        <v>142</v>
      </c>
      <c r="B40" s="96">
        <v>5200</v>
      </c>
      <c r="C40" s="18">
        <v>0.05</v>
      </c>
      <c r="D40" s="17">
        <v>0.062</v>
      </c>
      <c r="E40" s="17" t="s">
        <v>143</v>
      </c>
    </row>
    <row r="41" ht="14.75" spans="1:5">
      <c r="A41" s="15" t="s">
        <v>144</v>
      </c>
      <c r="B41" s="95">
        <v>4800</v>
      </c>
      <c r="C41" s="16">
        <v>0.08</v>
      </c>
      <c r="D41" s="15">
        <v>0.045</v>
      </c>
      <c r="E41" s="15" t="s">
        <v>145</v>
      </c>
    </row>
    <row r="42" ht="14.75" spans="1:5">
      <c r="A42" s="17" t="s">
        <v>146</v>
      </c>
      <c r="B42" s="96">
        <v>3500</v>
      </c>
      <c r="C42" s="18">
        <v>0.03</v>
      </c>
      <c r="D42" s="17">
        <v>0.071</v>
      </c>
      <c r="E42" s="17" t="s">
        <v>147</v>
      </c>
    </row>
    <row r="43" ht="14.75" spans="1:5">
      <c r="A43" s="15" t="s">
        <v>63</v>
      </c>
      <c r="B43" s="95">
        <v>22000</v>
      </c>
      <c r="C43" s="16">
        <v>0.08</v>
      </c>
      <c r="D43" s="15">
        <v>0.051</v>
      </c>
      <c r="E43" s="15" t="s">
        <v>148</v>
      </c>
    </row>
    <row r="46" spans="1:5">
      <c r="A46" s="108"/>
      <c r="B46" s="108"/>
      <c r="C46" s="108"/>
      <c r="D46" s="108"/>
      <c r="E46" s="108"/>
    </row>
    <row r="47" spans="1:5">
      <c r="A47" s="109"/>
      <c r="B47" s="110"/>
      <c r="C47" s="111"/>
      <c r="D47" s="112"/>
      <c r="E47" s="109"/>
    </row>
    <row r="48" spans="1:5">
      <c r="A48" s="109"/>
      <c r="B48" s="110"/>
      <c r="C48" s="111"/>
      <c r="D48" s="112"/>
      <c r="E48" s="109"/>
    </row>
    <row r="49" spans="1:5">
      <c r="A49" s="109"/>
      <c r="B49" s="110"/>
      <c r="C49" s="111"/>
      <c r="D49" s="112"/>
      <c r="E49" s="109"/>
    </row>
    <row r="50" spans="1:5">
      <c r="A50" s="109"/>
      <c r="B50" s="110"/>
      <c r="C50" s="111"/>
      <c r="D50" s="112"/>
      <c r="E50" s="109"/>
    </row>
    <row r="51" spans="1:5">
      <c r="A51" s="109"/>
      <c r="B51" s="110"/>
      <c r="C51" s="111"/>
      <c r="D51" s="112"/>
      <c r="E51" s="109"/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{d623f21b-1517-40f0-b815-5cf4fed4df61}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23f21b-1517-40f0-b815-5cf4fed4df6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5" topLeftCell="A6" activePane="bottomLeft" state="frozen"/>
      <selection/>
      <selection pane="bottomLeft" activeCell="G23" sqref="G23"/>
    </sheetView>
  </sheetViews>
  <sheetFormatPr defaultColWidth="9" defaultRowHeight="14" outlineLevelCol="4"/>
  <cols>
    <col min="1" max="2" width="20" customWidth="1"/>
    <col min="3" max="4" width="15" customWidth="1"/>
    <col min="5" max="5" width="10.4545454545455" customWidth="1"/>
  </cols>
  <sheetData>
    <row r="1" ht="20" spans="1:5">
      <c r="A1" s="1" t="s">
        <v>10</v>
      </c>
    </row>
    <row r="2" spans="1:5">
      <c r="A2" s="2" t="s">
        <v>149</v>
      </c>
    </row>
    <row r="4" ht="14.5" spans="1:5">
      <c r="A4" s="3" t="s">
        <v>24</v>
      </c>
      <c r="B4" s="4" t="s">
        <v>25</v>
      </c>
      <c r="C4" s="4" t="s">
        <v>25</v>
      </c>
      <c r="D4" s="4" t="s">
        <v>25</v>
      </c>
    </row>
    <row r="5" ht="14.5" spans="1:5">
      <c r="A5" s="5" t="s">
        <v>26</v>
      </c>
      <c r="B5" s="5" t="s">
        <v>27</v>
      </c>
      <c r="C5" s="5" t="s">
        <v>28</v>
      </c>
      <c r="D5" s="5" t="s">
        <v>29</v>
      </c>
    </row>
    <row r="6" ht="14.5" spans="1:5">
      <c r="A6" s="6" t="s">
        <v>150</v>
      </c>
      <c r="B6" s="4">
        <v>13500000</v>
      </c>
      <c r="C6" s="4" t="s">
        <v>31</v>
      </c>
      <c r="D6" s="4" t="s">
        <v>32</v>
      </c>
    </row>
    <row r="7" ht="14.5" spans="1:5">
      <c r="A7" s="6" t="s">
        <v>151</v>
      </c>
      <c r="B7" s="4">
        <v>3100</v>
      </c>
      <c r="C7" s="4" t="s">
        <v>31</v>
      </c>
      <c r="D7" s="4" t="s">
        <v>32</v>
      </c>
    </row>
    <row r="8" ht="14.5" spans="1:5">
      <c r="A8" s="7" t="s">
        <v>152</v>
      </c>
      <c r="B8" s="101">
        <f>B6/B7</f>
        <v>4354.83870967742</v>
      </c>
      <c r="C8" s="9" t="s">
        <v>35</v>
      </c>
      <c r="D8" s="9" t="s">
        <v>36</v>
      </c>
    </row>
    <row r="10" ht="14.5" spans="1:5">
      <c r="A10" s="10" t="s">
        <v>37</v>
      </c>
      <c r="B10" s="11" t="s">
        <v>25</v>
      </c>
      <c r="C10" s="11" t="s">
        <v>25</v>
      </c>
      <c r="D10" s="11" t="s">
        <v>25</v>
      </c>
    </row>
    <row r="11" ht="14.5" spans="1:5">
      <c r="A11" s="12" t="s">
        <v>38</v>
      </c>
      <c r="B11" s="12" t="s">
        <v>153</v>
      </c>
      <c r="C11" s="12" t="s">
        <v>40</v>
      </c>
      <c r="D11" s="12" t="s">
        <v>41</v>
      </c>
    </row>
    <row r="13" ht="17.25" spans="1:5">
      <c r="A13" s="13" t="s">
        <v>154</v>
      </c>
    </row>
    <row r="14" ht="14.75" spans="1:5">
      <c r="A14" s="14" t="s">
        <v>55</v>
      </c>
      <c r="B14" s="14" t="s">
        <v>155</v>
      </c>
      <c r="C14" s="14" t="s">
        <v>156</v>
      </c>
      <c r="D14" s="14" t="s">
        <v>157</v>
      </c>
      <c r="E14" s="14" t="s">
        <v>158</v>
      </c>
    </row>
    <row r="15" ht="14.75" spans="1:5">
      <c r="A15" s="15" t="s">
        <v>159</v>
      </c>
      <c r="B15" s="95">
        <v>3000</v>
      </c>
      <c r="C15" s="95">
        <v>8500</v>
      </c>
      <c r="D15" s="95">
        <f>B15-C15</f>
        <v>-5500</v>
      </c>
      <c r="E15" s="15" t="s">
        <v>160</v>
      </c>
    </row>
    <row r="16" ht="14.75" spans="1:5">
      <c r="A16" s="17" t="s">
        <v>15</v>
      </c>
      <c r="B16" s="18">
        <v>0.78</v>
      </c>
      <c r="C16" s="18">
        <v>0.65</v>
      </c>
      <c r="D16" s="18">
        <f>B16-C16</f>
        <v>0.13</v>
      </c>
      <c r="E16" s="17" t="s">
        <v>161</v>
      </c>
    </row>
    <row r="17" ht="14.75" spans="1:5">
      <c r="A17" s="15" t="s">
        <v>74</v>
      </c>
      <c r="B17" s="19">
        <v>0.018</v>
      </c>
      <c r="C17" s="19">
        <v>0.025</v>
      </c>
      <c r="D17" s="19">
        <f>B17-C17</f>
        <v>-0.007</v>
      </c>
      <c r="E17" s="15" t="s">
        <v>162</v>
      </c>
    </row>
    <row r="18" ht="14.75" spans="1:5">
      <c r="A18" s="17" t="s">
        <v>163</v>
      </c>
      <c r="B18" s="18">
        <v>0.92</v>
      </c>
      <c r="C18" s="18">
        <v>0.68</v>
      </c>
      <c r="D18" s="18">
        <f>B18-C18</f>
        <v>0.24</v>
      </c>
      <c r="E18" s="17" t="s">
        <v>164</v>
      </c>
    </row>
    <row r="20" ht="17.25" spans="1:5">
      <c r="A20" s="13" t="s">
        <v>165</v>
      </c>
    </row>
    <row r="21" ht="14.75" spans="1:5">
      <c r="A21" s="14" t="s">
        <v>166</v>
      </c>
      <c r="B21" s="14" t="s">
        <v>159</v>
      </c>
      <c r="C21" s="14" t="s">
        <v>167</v>
      </c>
      <c r="D21" s="14" t="s">
        <v>168</v>
      </c>
      <c r="E21" s="14" t="s">
        <v>169</v>
      </c>
    </row>
    <row r="22" ht="14.75" spans="1:5">
      <c r="A22" s="15" t="s">
        <v>170</v>
      </c>
      <c r="B22" s="95">
        <v>8500</v>
      </c>
      <c r="C22" s="16">
        <v>0.18</v>
      </c>
      <c r="D22" s="15" t="s">
        <v>171</v>
      </c>
      <c r="E22" s="16">
        <v>0.08</v>
      </c>
    </row>
    <row r="23" ht="14.75" spans="1:5">
      <c r="A23" s="17" t="s">
        <v>172</v>
      </c>
      <c r="B23" s="96">
        <v>20000</v>
      </c>
      <c r="C23" s="18">
        <v>0.15</v>
      </c>
      <c r="D23" s="17" t="s">
        <v>173</v>
      </c>
      <c r="E23" s="17" t="s">
        <v>36</v>
      </c>
    </row>
    <row r="24" ht="14.75" spans="1:5">
      <c r="A24" s="15" t="s">
        <v>174</v>
      </c>
      <c r="B24" s="95">
        <v>15000</v>
      </c>
      <c r="C24" s="16">
        <v>0.16</v>
      </c>
      <c r="D24" s="15" t="s">
        <v>175</v>
      </c>
      <c r="E24" s="15" t="s">
        <v>36</v>
      </c>
    </row>
    <row r="26" ht="17.25" spans="1:5">
      <c r="A26" s="13" t="s">
        <v>176</v>
      </c>
    </row>
    <row r="27" ht="14.75" spans="1:5">
      <c r="A27" s="14" t="s">
        <v>177</v>
      </c>
      <c r="B27" s="14" t="s">
        <v>137</v>
      </c>
      <c r="C27" s="14" t="s">
        <v>178</v>
      </c>
      <c r="D27" s="14" t="s">
        <v>179</v>
      </c>
      <c r="E27" s="14" t="s">
        <v>180</v>
      </c>
    </row>
    <row r="28" ht="14.75" spans="1:5">
      <c r="A28" s="15" t="s">
        <v>181</v>
      </c>
      <c r="B28" s="95">
        <v>50000</v>
      </c>
      <c r="C28" s="95">
        <v>5000</v>
      </c>
      <c r="D28" s="95">
        <v>8000</v>
      </c>
      <c r="E28" s="19">
        <v>0.025</v>
      </c>
    </row>
    <row r="29" ht="14.75" spans="1:5">
      <c r="A29" s="17" t="s">
        <v>182</v>
      </c>
      <c r="B29" s="96">
        <v>20000</v>
      </c>
      <c r="C29" s="96">
        <v>10000</v>
      </c>
      <c r="D29" s="96">
        <v>15000</v>
      </c>
      <c r="E29" s="20">
        <v>0.018</v>
      </c>
    </row>
    <row r="30" ht="14.75" spans="1:5">
      <c r="A30" s="15" t="s">
        <v>183</v>
      </c>
      <c r="B30" s="95">
        <v>8000</v>
      </c>
      <c r="C30" s="95">
        <v>20000</v>
      </c>
      <c r="D30" s="95">
        <v>30000</v>
      </c>
      <c r="E30" s="19">
        <v>0.012</v>
      </c>
    </row>
    <row r="31" ht="14.75" spans="1:5">
      <c r="A31" s="17" t="s">
        <v>184</v>
      </c>
      <c r="B31" s="96">
        <v>2000</v>
      </c>
      <c r="C31" s="96">
        <v>50000</v>
      </c>
      <c r="D31" s="96">
        <v>80000</v>
      </c>
      <c r="E31" s="20">
        <v>0.005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{e4568a67-87c9-4dcf-8761-472c73529f23}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568a67-87c9-4dcf-8761-472c73529f2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pane ySplit="5" topLeftCell="A6" activePane="bottomLeft" state="frozen"/>
      <selection/>
      <selection pane="bottomLeft" activeCell="C10" sqref="$A1:$XFD1048576"/>
    </sheetView>
  </sheetViews>
  <sheetFormatPr defaultColWidth="9" defaultRowHeight="14" outlineLevelCol="5"/>
  <cols>
    <col min="1" max="2" width="20" customWidth="1"/>
    <col min="3" max="4" width="15" customWidth="1"/>
    <col min="5" max="5" width="9.18181818181818"/>
    <col min="6" max="6" width="6.54545454545455" customWidth="1"/>
  </cols>
  <sheetData>
    <row r="1" ht="20" spans="1:6">
      <c r="A1" s="1" t="s">
        <v>12</v>
      </c>
    </row>
    <row r="2" spans="1:6">
      <c r="A2" s="2" t="s">
        <v>185</v>
      </c>
    </row>
    <row r="4" ht="14.5" spans="1:6">
      <c r="A4" s="3" t="s">
        <v>24</v>
      </c>
      <c r="B4" s="4" t="s">
        <v>25</v>
      </c>
      <c r="C4" s="4" t="s">
        <v>25</v>
      </c>
      <c r="D4" s="4" t="s">
        <v>25</v>
      </c>
    </row>
    <row r="5" ht="14.5" spans="1:6">
      <c r="A5" s="5" t="s">
        <v>26</v>
      </c>
      <c r="B5" s="5" t="s">
        <v>27</v>
      </c>
      <c r="C5" s="5" t="s">
        <v>28</v>
      </c>
      <c r="D5" s="5" t="s">
        <v>29</v>
      </c>
    </row>
    <row r="6" ht="14.5" spans="1:6">
      <c r="A6" s="6" t="s">
        <v>186</v>
      </c>
      <c r="B6" s="92">
        <v>7650000</v>
      </c>
      <c r="C6" s="4" t="s">
        <v>31</v>
      </c>
      <c r="D6" s="4" t="s">
        <v>32</v>
      </c>
    </row>
    <row r="7" ht="14.5" spans="1:6">
      <c r="A7" s="6" t="s">
        <v>187</v>
      </c>
      <c r="B7" s="92">
        <v>42500000</v>
      </c>
      <c r="C7" s="4" t="s">
        <v>31</v>
      </c>
      <c r="D7" s="4" t="s">
        <v>32</v>
      </c>
    </row>
    <row r="8" ht="14.5" spans="1:6">
      <c r="A8" s="7" t="s">
        <v>188</v>
      </c>
      <c r="B8" s="93">
        <f>B6/B7</f>
        <v>0.18</v>
      </c>
      <c r="C8" s="9" t="s">
        <v>35</v>
      </c>
      <c r="D8" s="9" t="s">
        <v>36</v>
      </c>
    </row>
    <row r="10" ht="14.5" spans="1:6">
      <c r="A10" s="10" t="s">
        <v>37</v>
      </c>
      <c r="B10" s="11" t="s">
        <v>25</v>
      </c>
      <c r="C10" s="11" t="s">
        <v>25</v>
      </c>
      <c r="D10" s="11" t="s">
        <v>25</v>
      </c>
    </row>
    <row r="11" ht="14.5" spans="1:6">
      <c r="A11" s="12" t="s">
        <v>38</v>
      </c>
      <c r="B11" s="12" t="s">
        <v>153</v>
      </c>
      <c r="C11" s="12" t="s">
        <v>40</v>
      </c>
      <c r="D11" s="12" t="s">
        <v>41</v>
      </c>
    </row>
    <row r="13" ht="17.25" spans="1:6">
      <c r="A13" s="13" t="s">
        <v>189</v>
      </c>
    </row>
    <row r="14" ht="14.75" spans="1:6">
      <c r="A14" s="14" t="s">
        <v>190</v>
      </c>
      <c r="B14" s="14" t="s">
        <v>191</v>
      </c>
      <c r="C14" s="14" t="s">
        <v>192</v>
      </c>
      <c r="D14" s="14" t="s">
        <v>193</v>
      </c>
      <c r="E14" s="14" t="s">
        <v>74</v>
      </c>
      <c r="F14" t="s">
        <v>194</v>
      </c>
    </row>
    <row r="15" ht="14.75" spans="1:6">
      <c r="A15" s="15" t="s">
        <v>195</v>
      </c>
      <c r="B15" s="16">
        <v>0.15</v>
      </c>
      <c r="C15" s="16">
        <v>0.12</v>
      </c>
      <c r="D15" s="19">
        <v>0.125</v>
      </c>
      <c r="E15" s="19">
        <v>0.008</v>
      </c>
      <c r="F15" s="97">
        <f>E15/E$20</f>
        <v>0.240601503759398</v>
      </c>
    </row>
    <row r="16" ht="14.75" spans="1:6">
      <c r="A16" s="17" t="s">
        <v>196</v>
      </c>
      <c r="B16" s="18">
        <v>0.25</v>
      </c>
      <c r="C16" s="18">
        <v>0.15</v>
      </c>
      <c r="D16" s="20">
        <v>0.152</v>
      </c>
      <c r="E16" s="20">
        <v>0.015</v>
      </c>
      <c r="F16" s="97">
        <f>E16/E$20</f>
        <v>0.451127819548872</v>
      </c>
    </row>
    <row r="17" ht="14.75" spans="1:6">
      <c r="A17" s="15" t="s">
        <v>197</v>
      </c>
      <c r="B17" s="16">
        <v>0.3</v>
      </c>
      <c r="C17" s="16">
        <v>0.18</v>
      </c>
      <c r="D17" s="19">
        <v>0.18</v>
      </c>
      <c r="E17" s="19">
        <v>0.028</v>
      </c>
      <c r="F17" s="97">
        <f>E17/E$20</f>
        <v>0.842105263157895</v>
      </c>
    </row>
    <row r="18" ht="14.75" spans="1:6">
      <c r="A18" s="17" t="s">
        <v>198</v>
      </c>
      <c r="B18" s="18">
        <v>0.2</v>
      </c>
      <c r="C18" s="18">
        <v>0.22</v>
      </c>
      <c r="D18" s="20">
        <v>0.215</v>
      </c>
      <c r="E18" s="20">
        <v>0.052</v>
      </c>
      <c r="F18" s="97">
        <f>E18/E$20</f>
        <v>1.56390977443609</v>
      </c>
    </row>
    <row r="19" ht="14.75" spans="1:6">
      <c r="A19" s="15" t="s">
        <v>199</v>
      </c>
      <c r="B19" s="16">
        <v>0.1</v>
      </c>
      <c r="C19" s="16">
        <v>0.28</v>
      </c>
      <c r="D19" s="19">
        <v>0.26</v>
      </c>
      <c r="E19" s="19">
        <v>0.095</v>
      </c>
      <c r="F19" s="97">
        <f>E19/E$20</f>
        <v>2.85714285714286</v>
      </c>
    </row>
    <row r="20" spans="1:6">
      <c r="E20" s="98" cm="1">
        <f t="array" ref="E20">SUMPRODUCT(E15:E19,B15:B19)</f>
        <v>0.03325</v>
      </c>
      <c r="F20" s="97">
        <f>E20/E$20</f>
        <v>1</v>
      </c>
    </row>
    <row r="21" ht="17.25" spans="1:6">
      <c r="A21" s="13" t="s">
        <v>200</v>
      </c>
    </row>
    <row r="22" ht="14.75" spans="1:6">
      <c r="A22" s="14" t="s">
        <v>201</v>
      </c>
      <c r="B22" s="14" t="s">
        <v>188</v>
      </c>
      <c r="C22" s="14" t="s">
        <v>191</v>
      </c>
      <c r="D22" s="14" t="s">
        <v>74</v>
      </c>
      <c r="E22" s="14" t="s">
        <v>202</v>
      </c>
    </row>
    <row r="23" ht="14.75" spans="1:6">
      <c r="A23" s="15" t="s">
        <v>203</v>
      </c>
      <c r="B23" s="19">
        <v>0.152</v>
      </c>
      <c r="C23" s="16">
        <v>0.35</v>
      </c>
      <c r="D23" s="19">
        <v>0.035</v>
      </c>
      <c r="E23" s="15" t="s">
        <v>204</v>
      </c>
    </row>
    <row r="24" ht="14.75" spans="1:6">
      <c r="A24" s="17" t="s">
        <v>205</v>
      </c>
      <c r="B24" s="20">
        <v>0.168</v>
      </c>
      <c r="C24" s="18">
        <v>0.25</v>
      </c>
      <c r="D24" s="20">
        <v>0.028</v>
      </c>
      <c r="E24" s="17" t="s">
        <v>206</v>
      </c>
    </row>
    <row r="25" ht="14.75" spans="1:6">
      <c r="A25" s="15" t="s">
        <v>207</v>
      </c>
      <c r="B25" s="19">
        <v>0.14</v>
      </c>
      <c r="C25" s="16">
        <v>0.15</v>
      </c>
      <c r="D25" s="19">
        <v>0.042</v>
      </c>
      <c r="E25" s="15" t="s">
        <v>208</v>
      </c>
    </row>
    <row r="26" ht="14.75" spans="1:6">
      <c r="A26" s="17" t="s">
        <v>209</v>
      </c>
      <c r="B26" s="20">
        <v>0.185</v>
      </c>
      <c r="C26" s="18">
        <v>0.1</v>
      </c>
      <c r="D26" s="20">
        <v>0.02</v>
      </c>
      <c r="E26" s="17" t="s">
        <v>210</v>
      </c>
    </row>
    <row r="28" ht="17.25" spans="1:6">
      <c r="A28" s="13" t="s">
        <v>211</v>
      </c>
    </row>
    <row r="29" ht="14.75" spans="1:6">
      <c r="A29" s="14" t="s">
        <v>212</v>
      </c>
      <c r="B29" s="14" t="s">
        <v>213</v>
      </c>
      <c r="C29" s="14" t="s">
        <v>214</v>
      </c>
      <c r="D29" s="14" t="s">
        <v>215</v>
      </c>
      <c r="E29" s="14" t="s">
        <v>216</v>
      </c>
    </row>
    <row r="30" ht="14.75" spans="1:6">
      <c r="A30" s="15" t="s">
        <v>217</v>
      </c>
      <c r="B30" s="16">
        <v>0.18</v>
      </c>
      <c r="C30" s="16">
        <v>0.03</v>
      </c>
      <c r="D30" s="19">
        <v>0.212</v>
      </c>
      <c r="E30" s="15" t="s">
        <v>218</v>
      </c>
    </row>
    <row r="31" ht="14.75" spans="1:6">
      <c r="A31" s="17" t="s">
        <v>219</v>
      </c>
      <c r="B31" s="18">
        <v>0.2</v>
      </c>
      <c r="C31" s="18">
        <v>0.04</v>
      </c>
      <c r="D31" s="20">
        <v>0.248</v>
      </c>
      <c r="E31" s="17" t="s">
        <v>220</v>
      </c>
    </row>
    <row r="32" ht="14.75" spans="1:6">
      <c r="A32" s="15" t="s">
        <v>221</v>
      </c>
      <c r="B32" s="16">
        <v>0.15</v>
      </c>
      <c r="C32" s="16">
        <v>0.02</v>
      </c>
      <c r="D32" s="19">
        <v>0.171</v>
      </c>
      <c r="E32" s="15" t="s">
        <v>218</v>
      </c>
    </row>
    <row r="33" ht="14.75" spans="1:5">
      <c r="A33" s="17" t="s">
        <v>222</v>
      </c>
      <c r="B33" s="18">
        <v>0.22</v>
      </c>
      <c r="C33" s="18">
        <v>0.04</v>
      </c>
      <c r="D33" s="20">
        <v>0.275</v>
      </c>
      <c r="E33" s="17" t="s">
        <v>220</v>
      </c>
    </row>
    <row r="34" spans="1:5">
      <c r="A34" s="99" t="s">
        <v>223</v>
      </c>
    </row>
    <row r="36" spans="1:5">
      <c r="A36" s="100" t="s">
        <v>224</v>
      </c>
      <c r="B36" s="120" t="s">
        <v>225</v>
      </c>
      <c r="C36" s="100"/>
      <c r="D36" s="100"/>
      <c r="E36" s="100"/>
    </row>
    <row r="37" spans="1:5">
      <c r="A37" s="100" t="s">
        <v>226</v>
      </c>
      <c r="B37" s="100" t="s">
        <v>227</v>
      </c>
      <c r="C37" s="100"/>
      <c r="D37" s="100"/>
      <c r="E37" s="100"/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{eb0c37e3-d876-4ebc-a08d-f2711ecb178a}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0c37e3-d876-4ebc-a08d-f2711ecb178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pane ySplit="5" topLeftCell="A30" activePane="bottomLeft" state="frozen"/>
      <selection/>
      <selection pane="bottomLeft" activeCell="B9" sqref="B9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14</v>
      </c>
    </row>
    <row r="2" spans="1:5">
      <c r="A2" s="2" t="s">
        <v>228</v>
      </c>
    </row>
    <row r="4" ht="14.5" spans="1:5">
      <c r="A4" s="3" t="s">
        <v>24</v>
      </c>
      <c r="B4" s="4" t="s">
        <v>25</v>
      </c>
      <c r="C4" s="4" t="s">
        <v>25</v>
      </c>
      <c r="D4" s="4" t="s">
        <v>25</v>
      </c>
    </row>
    <row r="5" ht="14.5" spans="1:5">
      <c r="A5" s="5" t="s">
        <v>26</v>
      </c>
      <c r="B5" s="5" t="s">
        <v>27</v>
      </c>
      <c r="C5" s="5" t="s">
        <v>28</v>
      </c>
      <c r="D5" s="5" t="s">
        <v>29</v>
      </c>
    </row>
    <row r="6" ht="14.5" spans="1:5">
      <c r="A6" s="6" t="s">
        <v>229</v>
      </c>
      <c r="B6" s="92">
        <v>50000000</v>
      </c>
      <c r="C6" s="4" t="s">
        <v>31</v>
      </c>
      <c r="D6" s="4" t="s">
        <v>32</v>
      </c>
    </row>
    <row r="7" ht="14.5" spans="1:5">
      <c r="A7" s="6" t="s">
        <v>230</v>
      </c>
      <c r="B7" s="92">
        <v>18000000</v>
      </c>
      <c r="C7" s="4" t="s">
        <v>31</v>
      </c>
      <c r="D7" s="4" t="s">
        <v>32</v>
      </c>
    </row>
    <row r="8" ht="14.5" spans="1:5">
      <c r="A8" s="7" t="s">
        <v>163</v>
      </c>
      <c r="B8" s="93">
        <f>B7/B6</f>
        <v>0.36</v>
      </c>
      <c r="C8" s="9" t="s">
        <v>35</v>
      </c>
      <c r="D8" s="9" t="s">
        <v>36</v>
      </c>
    </row>
    <row r="9" spans="1:5">
      <c r="A9" s="94" t="s">
        <v>231</v>
      </c>
    </row>
    <row r="10" ht="14.5" spans="1:5">
      <c r="A10" s="10" t="s">
        <v>37</v>
      </c>
      <c r="B10" s="11" t="s">
        <v>25</v>
      </c>
      <c r="C10" s="11" t="s">
        <v>25</v>
      </c>
      <c r="D10" s="11" t="s">
        <v>25</v>
      </c>
    </row>
    <row r="11" ht="14.5" spans="1:5">
      <c r="A11" s="12" t="s">
        <v>38</v>
      </c>
      <c r="B11" s="12" t="s">
        <v>232</v>
      </c>
      <c r="C11" s="12" t="s">
        <v>40</v>
      </c>
      <c r="D11" s="12" t="s">
        <v>41</v>
      </c>
    </row>
    <row r="13" ht="17.25" spans="1:5">
      <c r="A13" s="13" t="s">
        <v>233</v>
      </c>
    </row>
    <row r="14" ht="14.75" spans="1:5">
      <c r="A14" s="14" t="s">
        <v>234</v>
      </c>
      <c r="B14" s="14" t="s">
        <v>137</v>
      </c>
      <c r="C14" s="14" t="s">
        <v>235</v>
      </c>
      <c r="D14" s="14" t="s">
        <v>236</v>
      </c>
      <c r="E14" s="14" t="s">
        <v>190</v>
      </c>
    </row>
    <row r="15" ht="14.75" spans="1:5">
      <c r="A15" s="15" t="s">
        <v>237</v>
      </c>
      <c r="B15" s="95">
        <v>25000</v>
      </c>
      <c r="C15" s="16">
        <v>0.25</v>
      </c>
      <c r="D15" s="19">
        <v>0.012</v>
      </c>
      <c r="E15" s="15" t="s">
        <v>238</v>
      </c>
    </row>
    <row r="16" ht="14.75" spans="1:5">
      <c r="A16" s="17" t="s">
        <v>239</v>
      </c>
      <c r="B16" s="96">
        <v>35000</v>
      </c>
      <c r="C16" s="18">
        <v>0.35</v>
      </c>
      <c r="D16" s="20">
        <v>0.018</v>
      </c>
      <c r="E16" s="17" t="s">
        <v>238</v>
      </c>
    </row>
    <row r="17" ht="14.75" spans="1:5">
      <c r="A17" s="15" t="s">
        <v>240</v>
      </c>
      <c r="B17" s="95">
        <v>22000</v>
      </c>
      <c r="C17" s="16">
        <v>0.22</v>
      </c>
      <c r="D17" s="19">
        <v>0.025</v>
      </c>
      <c r="E17" s="15" t="s">
        <v>241</v>
      </c>
    </row>
    <row r="18" ht="14.75" spans="1:5">
      <c r="A18" s="17" t="s">
        <v>242</v>
      </c>
      <c r="B18" s="96">
        <v>12000</v>
      </c>
      <c r="C18" s="18">
        <v>0.12</v>
      </c>
      <c r="D18" s="20">
        <v>0.042</v>
      </c>
      <c r="E18" s="17" t="s">
        <v>243</v>
      </c>
    </row>
    <row r="19" ht="14.75" spans="1:5">
      <c r="A19" s="15" t="s">
        <v>244</v>
      </c>
      <c r="B19" s="95">
        <v>6000</v>
      </c>
      <c r="C19" s="16">
        <v>0.06</v>
      </c>
      <c r="D19" s="19">
        <v>0.085</v>
      </c>
      <c r="E19" s="15" t="s">
        <v>245</v>
      </c>
    </row>
    <row r="21" ht="17.25" spans="1:5">
      <c r="A21" s="13" t="s">
        <v>246</v>
      </c>
    </row>
    <row r="22" ht="14.75" spans="1:5">
      <c r="A22" s="14" t="s">
        <v>247</v>
      </c>
      <c r="B22" s="14" t="s">
        <v>248</v>
      </c>
      <c r="C22" s="14" t="s">
        <v>249</v>
      </c>
      <c r="D22" s="14" t="s">
        <v>60</v>
      </c>
      <c r="E22" s="14" t="s">
        <v>250</v>
      </c>
    </row>
    <row r="23" ht="14.75" spans="1:5">
      <c r="A23" s="15" t="s">
        <v>251</v>
      </c>
      <c r="B23" s="16">
        <v>0.22</v>
      </c>
      <c r="C23" s="16">
        <v>0.23</v>
      </c>
      <c r="D23" s="16">
        <v>0.01</v>
      </c>
      <c r="E23" s="15" t="s">
        <v>36</v>
      </c>
    </row>
    <row r="24" ht="14.75" spans="1:5">
      <c r="A24" s="17" t="s">
        <v>252</v>
      </c>
      <c r="B24" s="18">
        <v>0.21</v>
      </c>
      <c r="C24" s="18">
        <v>0.35</v>
      </c>
      <c r="D24" s="18">
        <v>0.14</v>
      </c>
      <c r="E24" s="17" t="s">
        <v>253</v>
      </c>
    </row>
    <row r="25" ht="14.75" spans="1:5">
      <c r="A25" s="15" t="s">
        <v>254</v>
      </c>
      <c r="B25" s="16">
        <v>0.2</v>
      </c>
      <c r="C25" s="16">
        <v>0.38</v>
      </c>
      <c r="D25" s="16">
        <v>0.18</v>
      </c>
      <c r="E25" s="15" t="s">
        <v>255</v>
      </c>
    </row>
    <row r="26" ht="14.75" spans="1:5">
      <c r="A26" s="17" t="s">
        <v>256</v>
      </c>
      <c r="B26" s="18">
        <v>0.22</v>
      </c>
      <c r="C26" s="18">
        <v>0.42</v>
      </c>
      <c r="D26" s="18">
        <v>0.2</v>
      </c>
      <c r="E26" s="17" t="s">
        <v>257</v>
      </c>
    </row>
    <row r="28" ht="17.25" spans="1:5">
      <c r="A28" s="13" t="s">
        <v>258</v>
      </c>
    </row>
    <row r="29" ht="14.75" spans="1:5">
      <c r="A29" s="14" t="s">
        <v>259</v>
      </c>
      <c r="B29" s="14" t="s">
        <v>137</v>
      </c>
      <c r="C29" s="14" t="s">
        <v>260</v>
      </c>
      <c r="D29" s="14" t="s">
        <v>261</v>
      </c>
      <c r="E29" s="14" t="s">
        <v>262</v>
      </c>
    </row>
    <row r="30" ht="14.75" spans="1:5">
      <c r="A30" s="15" t="s">
        <v>263</v>
      </c>
      <c r="B30" s="95">
        <v>15000</v>
      </c>
      <c r="C30" s="16">
        <v>0.45</v>
      </c>
      <c r="D30" s="16">
        <v>0.3</v>
      </c>
      <c r="E30" s="15" t="s">
        <v>264</v>
      </c>
    </row>
    <row r="31" ht="14.75" spans="1:5">
      <c r="A31" s="17" t="s">
        <v>265</v>
      </c>
      <c r="B31" s="96">
        <v>8000</v>
      </c>
      <c r="C31" s="18">
        <v>0.35</v>
      </c>
      <c r="D31" s="18">
        <v>0.6</v>
      </c>
      <c r="E31" s="17" t="s">
        <v>266</v>
      </c>
    </row>
    <row r="32" ht="14.75" spans="1:5">
      <c r="A32" s="15" t="s">
        <v>267</v>
      </c>
      <c r="B32" s="95">
        <v>3500</v>
      </c>
      <c r="C32" s="16">
        <v>0.25</v>
      </c>
      <c r="D32" s="16">
        <v>1</v>
      </c>
      <c r="E32" s="15" t="s">
        <v>268</v>
      </c>
    </row>
    <row r="33" ht="14.75" spans="1:5">
      <c r="A33" s="17" t="s">
        <v>269</v>
      </c>
      <c r="B33" s="96">
        <v>1200</v>
      </c>
      <c r="C33" s="18">
        <v>0.15</v>
      </c>
      <c r="D33" s="18">
        <v>1.5</v>
      </c>
      <c r="E33" s="17" t="s">
        <v>270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{954e962f-2916-44a7-aac9-1883567caad7}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4e962f-2916-44a7-aac9-1883567caad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zoomScale="85" zoomScaleNormal="85" workbookViewId="0">
      <pane ySplit="5" topLeftCell="A20" activePane="bottomLeft" state="frozen"/>
      <selection/>
      <selection pane="bottomLeft" activeCell="D55" sqref="D55"/>
    </sheetView>
  </sheetViews>
  <sheetFormatPr defaultColWidth="9" defaultRowHeight="14" outlineLevelCol="7"/>
  <cols>
    <col min="1" max="2" width="20" style="56" customWidth="1"/>
    <col min="3" max="4" width="15" style="56" customWidth="1"/>
    <col min="5" max="8" width="9.18181818181818" style="56"/>
    <col min="9" max="16384" width="9" style="56"/>
  </cols>
  <sheetData>
    <row r="1" ht="18" spans="1:4">
      <c r="A1" s="58" t="s">
        <v>271</v>
      </c>
    </row>
    <row r="2" spans="1:4">
      <c r="A2" s="59" t="s">
        <v>272</v>
      </c>
    </row>
    <row r="3" ht="15.5" spans="1:4">
      <c r="A3" s="60" t="s">
        <v>273</v>
      </c>
    </row>
    <row r="4" ht="14.5" spans="1:4">
      <c r="A4" s="61" t="s">
        <v>274</v>
      </c>
      <c r="B4" s="62" t="s">
        <v>25</v>
      </c>
      <c r="C4" s="62" t="s">
        <v>25</v>
      </c>
      <c r="D4" s="62" t="s">
        <v>25</v>
      </c>
    </row>
    <row r="5" ht="14.5" spans="1:4">
      <c r="A5" s="63" t="s">
        <v>275</v>
      </c>
      <c r="B5" s="63" t="s">
        <v>276</v>
      </c>
      <c r="C5" s="63" t="s">
        <v>277</v>
      </c>
      <c r="D5" s="63" t="s">
        <v>278</v>
      </c>
    </row>
    <row r="6" ht="14.5" spans="1:4">
      <c r="A6" s="64" t="s">
        <v>279</v>
      </c>
      <c r="B6" s="62">
        <v>3100</v>
      </c>
      <c r="C6" s="62" t="s">
        <v>280</v>
      </c>
      <c r="D6" s="62" t="s">
        <v>281</v>
      </c>
    </row>
    <row r="7" ht="14.5" spans="1:4">
      <c r="A7" s="64" t="s">
        <v>282</v>
      </c>
      <c r="B7" s="62">
        <v>1705</v>
      </c>
      <c r="C7" s="62" t="s">
        <v>280</v>
      </c>
      <c r="D7" s="62" t="s">
        <v>281</v>
      </c>
    </row>
    <row r="8" ht="14.5" spans="1:4">
      <c r="A8" s="65" t="s">
        <v>283</v>
      </c>
      <c r="B8" s="66">
        <f>B7/B6</f>
        <v>0.55</v>
      </c>
      <c r="C8" s="67" t="s">
        <v>284</v>
      </c>
      <c r="D8" s="67" t="s">
        <v>36</v>
      </c>
    </row>
    <row r="10" ht="14.5" spans="1:4">
      <c r="A10" s="68" t="s">
        <v>285</v>
      </c>
      <c r="B10" s="69" t="s">
        <v>25</v>
      </c>
      <c r="C10" s="69" t="s">
        <v>25</v>
      </c>
      <c r="D10" s="69" t="s">
        <v>25</v>
      </c>
    </row>
    <row r="11" ht="14.5" spans="1:4">
      <c r="A11" s="70" t="s">
        <v>286</v>
      </c>
      <c r="B11" s="70" t="s">
        <v>287</v>
      </c>
      <c r="C11" s="70" t="s">
        <v>288</v>
      </c>
      <c r="D11" s="70" t="s">
        <v>289</v>
      </c>
    </row>
    <row r="12" spans="1:4">
      <c r="A12" s="71"/>
      <c r="B12" s="71"/>
      <c r="C12" s="71"/>
      <c r="D12" s="71"/>
    </row>
    <row r="13" ht="14.5" spans="1:4">
      <c r="A13" s="72" t="s">
        <v>290</v>
      </c>
      <c r="B13" s="71"/>
      <c r="C13" s="71"/>
      <c r="D13" s="71"/>
    </row>
    <row r="14" spans="1:4">
      <c r="A14" s="56" t="s">
        <v>291</v>
      </c>
      <c r="B14" s="71"/>
      <c r="C14" s="71"/>
      <c r="D14" s="71"/>
    </row>
    <row r="15" spans="1:4">
      <c r="A15" s="71"/>
      <c r="B15" s="56" t="s">
        <v>292</v>
      </c>
      <c r="C15" s="71"/>
      <c r="D15" s="71"/>
    </row>
    <row r="16" spans="1:4">
      <c r="A16" s="56" t="s">
        <v>293</v>
      </c>
      <c r="B16" s="71"/>
      <c r="C16" s="71"/>
      <c r="D16" s="71"/>
    </row>
    <row r="17" spans="1:8">
      <c r="A17" s="71"/>
      <c r="B17" s="56" t="s">
        <v>294</v>
      </c>
      <c r="C17" s="71"/>
      <c r="D17" s="71"/>
    </row>
    <row r="18" spans="1:8">
      <c r="A18" s="56" t="s">
        <v>295</v>
      </c>
      <c r="B18" s="71"/>
      <c r="C18" s="71"/>
      <c r="D18" s="71"/>
    </row>
    <row r="19" spans="1:8">
      <c r="A19" s="71"/>
      <c r="B19" s="56" t="s">
        <v>296</v>
      </c>
      <c r="C19" s="71"/>
      <c r="D19" s="71"/>
    </row>
    <row r="20" spans="1:8">
      <c r="A20" s="71"/>
      <c r="B20" s="71"/>
      <c r="C20" s="71"/>
      <c r="D20" s="71"/>
    </row>
    <row r="21" spans="1:8">
      <c r="A21" s="71"/>
      <c r="B21" s="71"/>
      <c r="C21" s="71"/>
      <c r="D21" s="71"/>
    </row>
    <row r="23" ht="17.25" spans="1:8">
      <c r="A23" s="73" t="s">
        <v>297</v>
      </c>
    </row>
    <row r="24" ht="14.75" spans="1:8">
      <c r="A24" s="74" t="s">
        <v>298</v>
      </c>
      <c r="B24" s="74" t="s">
        <v>299</v>
      </c>
      <c r="C24" s="74" t="s">
        <v>300</v>
      </c>
      <c r="D24" s="74" t="s">
        <v>301</v>
      </c>
      <c r="E24" s="74" t="s">
        <v>302</v>
      </c>
    </row>
    <row r="25" ht="14.75" spans="1:8">
      <c r="A25" s="75" t="s">
        <v>303</v>
      </c>
      <c r="B25" s="76">
        <v>10000</v>
      </c>
      <c r="C25" s="77">
        <v>1</v>
      </c>
      <c r="D25" s="75" t="s">
        <v>36</v>
      </c>
      <c r="E25" s="75" t="s">
        <v>36</v>
      </c>
    </row>
    <row r="26" ht="14.75" spans="1:8">
      <c r="A26" s="78" t="s">
        <v>304</v>
      </c>
      <c r="B26" s="79">
        <v>8500</v>
      </c>
      <c r="C26" s="80">
        <f>B26/B25</f>
        <v>0.85</v>
      </c>
      <c r="D26" s="80">
        <f>C25-C26</f>
        <v>0.15</v>
      </c>
      <c r="E26" s="78" t="s">
        <v>305</v>
      </c>
    </row>
    <row r="27" ht="14.75" spans="1:8">
      <c r="A27" s="75" t="s">
        <v>306</v>
      </c>
      <c r="B27" s="76">
        <v>6200</v>
      </c>
      <c r="C27" s="77">
        <f>B27/B25</f>
        <v>0.62</v>
      </c>
      <c r="D27" s="77">
        <f>C26-C27</f>
        <v>0.23</v>
      </c>
      <c r="E27" s="75" t="s">
        <v>307</v>
      </c>
    </row>
    <row r="28" ht="14.75" spans="1:8">
      <c r="A28" s="78" t="s">
        <v>308</v>
      </c>
      <c r="B28" s="79">
        <v>5500</v>
      </c>
      <c r="C28" s="80">
        <f>B28/B25</f>
        <v>0.55</v>
      </c>
      <c r="D28" s="80">
        <f>C27-C28</f>
        <v>0.07</v>
      </c>
      <c r="E28" s="78" t="s">
        <v>305</v>
      </c>
    </row>
    <row r="29" ht="14.75" spans="1:8">
      <c r="A29" s="75" t="s">
        <v>309</v>
      </c>
      <c r="B29" s="76">
        <v>4500</v>
      </c>
      <c r="C29" s="77">
        <f>B29/B25</f>
        <v>0.45</v>
      </c>
      <c r="D29" s="77">
        <f>C28-C29</f>
        <v>0.1</v>
      </c>
      <c r="E29" s="75" t="s">
        <v>307</v>
      </c>
    </row>
    <row r="31" ht="17.25" spans="1:8">
      <c r="A31" s="73" t="s">
        <v>310</v>
      </c>
    </row>
    <row r="32" ht="14.75" spans="1:8">
      <c r="A32" s="74" t="s">
        <v>311</v>
      </c>
      <c r="B32" s="74" t="s">
        <v>312</v>
      </c>
      <c r="C32" s="74" t="s">
        <v>313</v>
      </c>
      <c r="D32" s="74" t="s">
        <v>314</v>
      </c>
      <c r="E32" s="74" t="s">
        <v>315</v>
      </c>
      <c r="F32" s="74" t="s">
        <v>316</v>
      </c>
      <c r="G32" s="74" t="s">
        <v>317</v>
      </c>
      <c r="H32" s="74" t="s">
        <v>318</v>
      </c>
    </row>
    <row r="33" ht="14.75" spans="1:8">
      <c r="A33" s="81">
        <v>45658</v>
      </c>
      <c r="B33" s="82">
        <v>10000</v>
      </c>
      <c r="C33" s="82">
        <f>B33*50%</f>
        <v>5000</v>
      </c>
      <c r="D33" s="82">
        <f t="shared" ref="D33:D41" si="0">C33+$B33*10%</f>
        <v>6000</v>
      </c>
      <c r="E33" s="82">
        <f t="shared" ref="E33:E41" si="1">D33+$B33*5%</f>
        <v>6500</v>
      </c>
      <c r="F33" s="82">
        <f t="shared" ref="F33:F41" si="2">E33+$B33*5%</f>
        <v>7000</v>
      </c>
      <c r="G33" s="82">
        <f t="shared" ref="G33:G41" si="3">F33+$B33*3%</f>
        <v>7300</v>
      </c>
      <c r="H33" s="82">
        <f t="shared" ref="H33:H41" si="4">G33+$B33*1%</f>
        <v>7400</v>
      </c>
    </row>
    <row r="34" ht="14.75" spans="1:8">
      <c r="A34" s="81">
        <v>45689</v>
      </c>
      <c r="B34" s="82">
        <v>10000</v>
      </c>
      <c r="C34" s="82">
        <f>B34*45%</f>
        <v>4500</v>
      </c>
      <c r="D34" s="82">
        <f t="shared" si="0"/>
        <v>5500</v>
      </c>
      <c r="E34" s="82">
        <f t="shared" si="1"/>
        <v>6000</v>
      </c>
      <c r="F34" s="82">
        <f t="shared" si="2"/>
        <v>6500</v>
      </c>
      <c r="G34" s="82">
        <f t="shared" si="3"/>
        <v>6800</v>
      </c>
      <c r="H34" s="82">
        <f t="shared" si="4"/>
        <v>6900</v>
      </c>
    </row>
    <row r="35" ht="14.75" spans="1:8">
      <c r="A35" s="81">
        <v>45717</v>
      </c>
      <c r="B35" s="82">
        <v>10000</v>
      </c>
      <c r="C35" s="82">
        <v>4800</v>
      </c>
      <c r="D35" s="82">
        <f t="shared" si="0"/>
        <v>5800</v>
      </c>
      <c r="E35" s="82">
        <f t="shared" si="1"/>
        <v>6300</v>
      </c>
      <c r="F35" s="82">
        <f t="shared" si="2"/>
        <v>6800</v>
      </c>
      <c r="G35" s="82">
        <f t="shared" si="3"/>
        <v>7100</v>
      </c>
      <c r="H35" s="82">
        <f t="shared" si="4"/>
        <v>7200</v>
      </c>
    </row>
    <row r="36" ht="14.75" spans="1:8">
      <c r="A36" s="81">
        <v>45748</v>
      </c>
      <c r="B36" s="82">
        <v>10000</v>
      </c>
      <c r="C36" s="82">
        <v>5300</v>
      </c>
      <c r="D36" s="82">
        <f t="shared" si="0"/>
        <v>6300</v>
      </c>
      <c r="E36" s="82">
        <f t="shared" si="1"/>
        <v>6800</v>
      </c>
      <c r="F36" s="82">
        <f t="shared" si="2"/>
        <v>7300</v>
      </c>
      <c r="G36" s="82">
        <f t="shared" si="3"/>
        <v>7600</v>
      </c>
      <c r="H36" s="82">
        <f t="shared" si="4"/>
        <v>7700</v>
      </c>
    </row>
    <row r="37" ht="14.75" spans="1:8">
      <c r="A37" s="83"/>
      <c r="B37" s="84"/>
      <c r="C37" s="84"/>
      <c r="D37" s="84"/>
      <c r="E37" s="84"/>
      <c r="F37" s="84"/>
      <c r="G37" s="84"/>
      <c r="H37" s="85"/>
    </row>
    <row r="38" ht="14.75" spans="1:8">
      <c r="A38" s="81">
        <v>45658</v>
      </c>
      <c r="B38" s="82">
        <v>10000</v>
      </c>
      <c r="C38" s="86">
        <f t="shared" ref="C38:H38" si="5">C33/$B33</f>
        <v>0.5</v>
      </c>
      <c r="D38" s="86">
        <f t="shared" si="5"/>
        <v>0.6</v>
      </c>
      <c r="E38" s="86">
        <f t="shared" si="5"/>
        <v>0.65</v>
      </c>
      <c r="F38" s="86">
        <f t="shared" si="5"/>
        <v>0.7</v>
      </c>
      <c r="G38" s="86">
        <f t="shared" si="5"/>
        <v>0.73</v>
      </c>
      <c r="H38" s="86">
        <f t="shared" si="5"/>
        <v>0.74</v>
      </c>
    </row>
    <row r="39" ht="14.75" spans="1:8">
      <c r="A39" s="81">
        <v>45689</v>
      </c>
      <c r="B39" s="82">
        <v>10000</v>
      </c>
      <c r="C39" s="86">
        <f t="shared" ref="C39:H39" si="6">C34/$B34</f>
        <v>0.45</v>
      </c>
      <c r="D39" s="86">
        <f t="shared" si="6"/>
        <v>0.55</v>
      </c>
      <c r="E39" s="86">
        <f t="shared" si="6"/>
        <v>0.6</v>
      </c>
      <c r="F39" s="86">
        <f t="shared" si="6"/>
        <v>0.65</v>
      </c>
      <c r="G39" s="86">
        <f t="shared" si="6"/>
        <v>0.68</v>
      </c>
      <c r="H39" s="86">
        <f t="shared" si="6"/>
        <v>0.69</v>
      </c>
    </row>
    <row r="40" ht="14.75" spans="1:8">
      <c r="A40" s="81">
        <v>45717</v>
      </c>
      <c r="B40" s="82">
        <v>10000</v>
      </c>
      <c r="C40" s="86">
        <f t="shared" ref="C40:H40" si="7">C35/$B35</f>
        <v>0.48</v>
      </c>
      <c r="D40" s="86">
        <f t="shared" si="7"/>
        <v>0.58</v>
      </c>
      <c r="E40" s="86">
        <f t="shared" si="7"/>
        <v>0.63</v>
      </c>
      <c r="F40" s="86">
        <f t="shared" si="7"/>
        <v>0.68</v>
      </c>
      <c r="G40" s="86">
        <f t="shared" si="7"/>
        <v>0.71</v>
      </c>
      <c r="H40" s="86">
        <f t="shared" si="7"/>
        <v>0.72</v>
      </c>
    </row>
    <row r="41" ht="14.75" spans="1:8">
      <c r="A41" s="81">
        <v>45748</v>
      </c>
      <c r="B41" s="82">
        <v>10000</v>
      </c>
      <c r="C41" s="86">
        <f t="shared" ref="C41:H41" si="8">C36/$B36</f>
        <v>0.53</v>
      </c>
      <c r="D41" s="86">
        <f t="shared" si="8"/>
        <v>0.63</v>
      </c>
      <c r="E41" s="86">
        <f t="shared" si="8"/>
        <v>0.68</v>
      </c>
      <c r="F41" s="86">
        <f t="shared" si="8"/>
        <v>0.73</v>
      </c>
      <c r="G41" s="86">
        <f t="shared" si="8"/>
        <v>0.76</v>
      </c>
      <c r="H41" s="86">
        <f t="shared" si="8"/>
        <v>0.77</v>
      </c>
    </row>
    <row r="42" spans="1:8">
      <c r="A42" s="87" t="s">
        <v>319</v>
      </c>
    </row>
    <row r="43" spans="1:8">
      <c r="A43" s="87"/>
    </row>
    <row r="44" spans="1:8">
      <c r="A44" s="87"/>
    </row>
    <row r="45" ht="16.5" spans="1:8">
      <c r="A45" s="13" t="s">
        <v>320</v>
      </c>
    </row>
    <row r="46" ht="16.5" spans="1:8">
      <c r="A46" s="88" t="s">
        <v>321</v>
      </c>
      <c r="B46" s="89" t="s">
        <v>322</v>
      </c>
    </row>
    <row r="47" ht="16.5" spans="1:8">
      <c r="A47" s="88" t="s">
        <v>323</v>
      </c>
      <c r="B47" s="89" t="s">
        <v>324</v>
      </c>
    </row>
    <row r="48" ht="16.5" spans="1:8">
      <c r="A48" s="88" t="s">
        <v>325</v>
      </c>
      <c r="B48" s="89" t="s">
        <v>326</v>
      </c>
    </row>
    <row r="49" ht="16.5" spans="1:2">
      <c r="A49" s="88" t="s">
        <v>327</v>
      </c>
      <c r="B49" s="90" t="s">
        <v>328</v>
      </c>
    </row>
    <row r="50" ht="14.5" spans="1:2">
      <c r="B50" s="90" t="s">
        <v>329</v>
      </c>
    </row>
    <row r="51" ht="14.5" spans="1:2">
      <c r="B51" s="90" t="s">
        <v>330</v>
      </c>
    </row>
    <row r="53" ht="16.5" spans="1:2">
      <c r="A53" s="13" t="s">
        <v>331</v>
      </c>
    </row>
    <row r="54" spans="1:2">
      <c r="A54" s="91" t="s">
        <v>332</v>
      </c>
    </row>
    <row r="55" spans="1:2">
      <c r="A55" s="91" t="s">
        <v>333</v>
      </c>
    </row>
    <row r="56" spans="1:2">
      <c r="A56" s="91" t="s">
        <v>334</v>
      </c>
    </row>
    <row r="58" spans="1:2">
      <c r="A58"/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{b2b083f6-7e00-4744-aba3-b7eea73d75e4}</x14:id>
        </ext>
      </extLst>
    </cfRule>
  </conditionalFormatting>
  <pageMargins left="0.75" right="0.75" top="1" bottom="1" header="0.5" footer="0.5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b083f6-7e00-4744-aba3-b7eea73d75e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pane ySplit="5" topLeftCell="A24" activePane="bottomLeft" state="frozen"/>
      <selection/>
      <selection pane="bottomLeft" activeCell="O4" sqref="O4"/>
    </sheetView>
  </sheetViews>
  <sheetFormatPr defaultColWidth="9" defaultRowHeight="14"/>
  <cols>
    <col min="1" max="2" width="20" customWidth="1"/>
    <col min="3" max="4" width="15" customWidth="1"/>
    <col min="8" max="14" width="14.9090909090909" customWidth="1"/>
  </cols>
  <sheetData>
    <row r="1" ht="20" spans="1:14">
      <c r="A1" s="1" t="s">
        <v>18</v>
      </c>
    </row>
    <row r="2" spans="1:14">
      <c r="A2" s="2" t="s">
        <v>335</v>
      </c>
    </row>
    <row r="3" ht="14.75"/>
    <row r="4" ht="15.25" spans="1:14">
      <c r="A4" s="3" t="s">
        <v>24</v>
      </c>
      <c r="B4" s="4" t="s">
        <v>25</v>
      </c>
      <c r="C4" s="4" t="s">
        <v>25</v>
      </c>
      <c r="D4" s="4" t="s">
        <v>25</v>
      </c>
      <c r="H4" s="44" t="s">
        <v>336</v>
      </c>
      <c r="I4" s="45" t="s">
        <v>190</v>
      </c>
      <c r="J4" s="45" t="s">
        <v>337</v>
      </c>
      <c r="K4" s="45" t="s">
        <v>338</v>
      </c>
      <c r="L4" s="45" t="s">
        <v>339</v>
      </c>
      <c r="M4" s="46" t="s">
        <v>340</v>
      </c>
      <c r="N4" s="45" t="s">
        <v>341</v>
      </c>
    </row>
    <row r="5" ht="15.25" spans="1:14">
      <c r="A5" s="5" t="s">
        <v>26</v>
      </c>
      <c r="B5" s="5" t="s">
        <v>27</v>
      </c>
      <c r="C5" s="5" t="s">
        <v>28</v>
      </c>
      <c r="D5" s="5" t="s">
        <v>29</v>
      </c>
      <c r="H5" s="47">
        <v>45658</v>
      </c>
      <c r="I5" s="48" t="s">
        <v>342</v>
      </c>
      <c r="J5" s="49">
        <v>0.101838388034898</v>
      </c>
      <c r="K5" s="49">
        <v>0.0411522633744856</v>
      </c>
      <c r="L5" s="49">
        <f>SUM(J$5:J5)</f>
        <v>0.101838388034898</v>
      </c>
      <c r="M5" s="49">
        <f>SUM(K$5:K5)</f>
        <v>0.0411522633744856</v>
      </c>
      <c r="N5" s="50">
        <f t="shared" ref="N5:N8" si="0">ABS(M5-L5)</f>
        <v>0.0606861246604124</v>
      </c>
    </row>
    <row r="6" ht="15.25" spans="1:14">
      <c r="A6" s="6" t="s">
        <v>343</v>
      </c>
      <c r="B6" s="4">
        <v>0.74</v>
      </c>
      <c r="C6" s="4" t="s">
        <v>31</v>
      </c>
      <c r="D6" s="4" t="s">
        <v>32</v>
      </c>
      <c r="H6" s="51">
        <v>45658</v>
      </c>
      <c r="I6" s="52" t="s">
        <v>344</v>
      </c>
      <c r="J6" s="53">
        <v>0.302780085860684</v>
      </c>
      <c r="K6" s="53">
        <v>0.165432098765432</v>
      </c>
      <c r="L6" s="49">
        <f>SUM(J$5:J6)</f>
        <v>0.404618473895582</v>
      </c>
      <c r="M6" s="49">
        <f>SUM(K$5:K6)</f>
        <v>0.206584362139918</v>
      </c>
      <c r="N6" s="50">
        <f t="shared" si="0"/>
        <v>0.198034111755664</v>
      </c>
    </row>
    <row r="7" ht="15.25" spans="1:14">
      <c r="A7" s="6" t="s">
        <v>345</v>
      </c>
      <c r="B7" s="54">
        <v>0.08</v>
      </c>
      <c r="C7" s="4" t="s">
        <v>31</v>
      </c>
      <c r="D7" s="4" t="s">
        <v>32</v>
      </c>
      <c r="H7" s="47">
        <v>45658</v>
      </c>
      <c r="I7" s="48" t="s">
        <v>346</v>
      </c>
      <c r="J7" s="49">
        <v>0.343563910815676</v>
      </c>
      <c r="K7" s="49">
        <v>0.31358024691358</v>
      </c>
      <c r="L7" s="49">
        <f>SUM(J$5:J7)</f>
        <v>0.748182384711258</v>
      </c>
      <c r="M7" s="49">
        <f>SUM(K$5:K7)</f>
        <v>0.520164609053498</v>
      </c>
      <c r="N7" s="50">
        <f t="shared" si="0"/>
        <v>0.22801777565776</v>
      </c>
    </row>
    <row r="8" ht="15.25" spans="1:14">
      <c r="A8" s="7" t="s">
        <v>347</v>
      </c>
      <c r="B8" s="55">
        <f>B6*2-1</f>
        <v>0.48</v>
      </c>
      <c r="C8" s="9" t="s">
        <v>35</v>
      </c>
      <c r="D8" s="9" t="s">
        <v>36</v>
      </c>
      <c r="H8" s="51">
        <v>45658</v>
      </c>
      <c r="I8" s="52" t="s">
        <v>348</v>
      </c>
      <c r="J8" s="53">
        <v>0.251817615288741</v>
      </c>
      <c r="K8" s="53">
        <v>0.479835390946502</v>
      </c>
      <c r="L8" s="49">
        <f>SUM(J$5:J8)</f>
        <v>0.999999999999999</v>
      </c>
      <c r="M8" s="49">
        <f>SUM(K$5:K8)</f>
        <v>1</v>
      </c>
      <c r="N8" s="50">
        <f t="shared" si="0"/>
        <v>0</v>
      </c>
    </row>
    <row r="9" spans="1:14">
      <c r="H9" s="56"/>
      <c r="I9" s="56"/>
      <c r="J9" s="56"/>
      <c r="K9" s="56"/>
      <c r="L9" s="56"/>
      <c r="M9" s="56"/>
      <c r="N9" s="57">
        <f>MAX(N5:N8)</f>
        <v>0.22801777565776</v>
      </c>
    </row>
    <row r="10" ht="14.5" spans="1:14">
      <c r="A10" s="10" t="s">
        <v>37</v>
      </c>
      <c r="B10" s="11" t="s">
        <v>25</v>
      </c>
      <c r="C10" s="11" t="s">
        <v>25</v>
      </c>
      <c r="D10" s="11" t="s">
        <v>25</v>
      </c>
    </row>
    <row r="11" ht="14.5" spans="1:14">
      <c r="A11" s="12" t="s">
        <v>38</v>
      </c>
      <c r="B11" s="12" t="s">
        <v>349</v>
      </c>
      <c r="C11" s="12" t="s">
        <v>40</v>
      </c>
      <c r="D11" s="12" t="s">
        <v>41</v>
      </c>
    </row>
    <row r="13" ht="17.25" spans="1:14">
      <c r="A13" s="13" t="s">
        <v>350</v>
      </c>
    </row>
    <row r="14" ht="14.75" spans="1:14">
      <c r="A14" s="14" t="s">
        <v>351</v>
      </c>
      <c r="B14" s="14" t="s">
        <v>341</v>
      </c>
      <c r="C14" s="14" t="s">
        <v>352</v>
      </c>
      <c r="D14" s="14" t="s">
        <v>353</v>
      </c>
      <c r="E14" s="14" t="s">
        <v>354</v>
      </c>
    </row>
    <row r="15" ht="14.75" spans="1:14">
      <c r="A15" s="15" t="s">
        <v>355</v>
      </c>
      <c r="B15" s="15">
        <v>0.35</v>
      </c>
      <c r="C15" s="15">
        <v>0.72</v>
      </c>
      <c r="D15" s="15">
        <v>0.05</v>
      </c>
      <c r="E15" s="15" t="s">
        <v>356</v>
      </c>
    </row>
    <row r="16" ht="14.75" spans="1:14">
      <c r="A16" s="17" t="s">
        <v>357</v>
      </c>
      <c r="B16" s="17">
        <v>0.31</v>
      </c>
      <c r="C16" s="17">
        <v>0.68</v>
      </c>
      <c r="D16" s="17">
        <v>0.12</v>
      </c>
      <c r="E16" s="17" t="s">
        <v>358</v>
      </c>
    </row>
    <row r="17" ht="14.75" spans="1:7">
      <c r="A17" s="15" t="s">
        <v>359</v>
      </c>
      <c r="B17" s="15">
        <v>0.26</v>
      </c>
      <c r="C17" s="15">
        <v>0.63</v>
      </c>
      <c r="D17" s="42">
        <v>0.28</v>
      </c>
      <c r="E17" s="15" t="s">
        <v>360</v>
      </c>
    </row>
    <row r="18" ht="14.75" spans="1:7">
      <c r="A18" s="17" t="s">
        <v>361</v>
      </c>
      <c r="B18" s="17">
        <v>0.22</v>
      </c>
      <c r="C18" s="17">
        <v>0.58</v>
      </c>
      <c r="D18" s="43">
        <v>0.35</v>
      </c>
      <c r="E18" s="17" t="s">
        <v>362</v>
      </c>
    </row>
    <row r="20" ht="17.25" spans="1:7">
      <c r="A20" s="13" t="s">
        <v>363</v>
      </c>
    </row>
    <row r="21" ht="14.75" spans="1:7">
      <c r="A21" s="14" t="s">
        <v>364</v>
      </c>
      <c r="B21" s="14" t="s">
        <v>365</v>
      </c>
      <c r="C21" s="14" t="s">
        <v>352</v>
      </c>
      <c r="D21" s="14" t="s">
        <v>366</v>
      </c>
      <c r="E21" s="14" t="s">
        <v>34</v>
      </c>
      <c r="F21" s="14" t="s">
        <v>74</v>
      </c>
      <c r="G21" s="14" t="s">
        <v>367</v>
      </c>
    </row>
    <row r="22" ht="14.75" spans="1:7">
      <c r="A22" s="15" t="s">
        <v>368</v>
      </c>
      <c r="B22" s="15">
        <v>0.32</v>
      </c>
      <c r="C22" s="15">
        <v>0.68</v>
      </c>
      <c r="D22" s="15">
        <v>0.36</v>
      </c>
      <c r="E22" s="16">
        <v>0.62</v>
      </c>
      <c r="F22" s="19">
        <v>0.028</v>
      </c>
      <c r="G22" s="15" t="s">
        <v>369</v>
      </c>
    </row>
    <row r="23" ht="14.75" spans="1:7">
      <c r="A23" s="17" t="s">
        <v>370</v>
      </c>
      <c r="B23" s="17">
        <v>0.38</v>
      </c>
      <c r="C23" s="17">
        <v>0.74</v>
      </c>
      <c r="D23" s="17">
        <v>0.48</v>
      </c>
      <c r="E23" s="18">
        <v>0.58</v>
      </c>
      <c r="F23" s="20">
        <v>0.021</v>
      </c>
      <c r="G23" s="17" t="s">
        <v>371</v>
      </c>
    </row>
    <row r="24" ht="14.75" spans="1:7">
      <c r="A24" s="15" t="s">
        <v>372</v>
      </c>
      <c r="B24" s="15">
        <v>0.4</v>
      </c>
      <c r="C24" s="15">
        <v>0.76</v>
      </c>
      <c r="D24" s="15">
        <v>0.52</v>
      </c>
      <c r="E24" s="16">
        <v>0.56</v>
      </c>
      <c r="F24" s="19">
        <v>0.019</v>
      </c>
      <c r="G24" s="15" t="s">
        <v>373</v>
      </c>
    </row>
    <row r="26" ht="17.25" spans="1:7">
      <c r="A26" s="13" t="s">
        <v>374</v>
      </c>
    </row>
    <row r="27" ht="14.75" spans="1:7">
      <c r="A27" s="14" t="s">
        <v>375</v>
      </c>
      <c r="B27" s="14" t="s">
        <v>376</v>
      </c>
      <c r="C27" s="14" t="s">
        <v>377</v>
      </c>
      <c r="D27" s="14" t="s">
        <v>378</v>
      </c>
      <c r="E27" s="14" t="s">
        <v>379</v>
      </c>
    </row>
    <row r="28" ht="14.75" spans="1:7">
      <c r="A28" s="15" t="s">
        <v>380</v>
      </c>
      <c r="B28" s="15">
        <v>0.32</v>
      </c>
      <c r="C28" s="15">
        <v>0.68</v>
      </c>
      <c r="D28" s="15" t="s">
        <v>36</v>
      </c>
      <c r="E28" s="15" t="s">
        <v>381</v>
      </c>
    </row>
    <row r="29" ht="14.75" spans="1:7">
      <c r="A29" s="17" t="s">
        <v>382</v>
      </c>
      <c r="B29" s="17">
        <v>0.04</v>
      </c>
      <c r="C29" s="17">
        <v>0.05</v>
      </c>
      <c r="D29" s="17" t="s">
        <v>383</v>
      </c>
      <c r="E29" s="17" t="s">
        <v>384</v>
      </c>
    </row>
    <row r="30" ht="14.75" spans="1:7">
      <c r="A30" s="15" t="s">
        <v>385</v>
      </c>
      <c r="B30" s="15">
        <v>0.03</v>
      </c>
      <c r="C30" s="15">
        <v>0.04</v>
      </c>
      <c r="D30" s="15" t="s">
        <v>383</v>
      </c>
      <c r="E30" s="15" t="s">
        <v>384</v>
      </c>
    </row>
    <row r="31" ht="14.75" spans="1:7">
      <c r="A31" s="17" t="s">
        <v>386</v>
      </c>
      <c r="B31" s="17">
        <v>0.01</v>
      </c>
      <c r="C31" s="17">
        <v>0.01</v>
      </c>
      <c r="D31" s="17" t="s">
        <v>387</v>
      </c>
      <c r="E31" s="17" t="s">
        <v>388</v>
      </c>
    </row>
    <row r="32" ht="14.75" spans="1:7">
      <c r="A32" s="15" t="s">
        <v>389</v>
      </c>
      <c r="B32" s="15">
        <v>0.4</v>
      </c>
      <c r="C32" s="15">
        <v>0.76</v>
      </c>
      <c r="D32" s="15" t="s">
        <v>36</v>
      </c>
      <c r="E32" s="15" t="s">
        <v>384</v>
      </c>
    </row>
  </sheetData>
  <mergeCells count="2">
    <mergeCell ref="A1:D1"/>
    <mergeCell ref="A2:D2"/>
  </mergeCells>
  <conditionalFormatting sqref="B8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{3ec96010-945a-4a07-8832-a77be3415282}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c96010-945a-4a07-8832-a77be341528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opLeftCell="G1" workbookViewId="0">
      <pane ySplit="5" topLeftCell="A6" activePane="bottomLeft" state="frozen"/>
      <selection/>
      <selection pane="bottomLeft" activeCell="G4" sqref="G4:L9"/>
    </sheetView>
  </sheetViews>
  <sheetFormatPr defaultColWidth="9" defaultRowHeight="14"/>
  <cols>
    <col min="1" max="2" width="20" customWidth="1"/>
    <col min="3" max="4" width="15" customWidth="1"/>
    <col min="5" max="5" width="13.1818181818182" customWidth="1"/>
    <col min="7" max="7" width="14.5454545454545" customWidth="1"/>
    <col min="8" max="8" width="21.2727272727273" customWidth="1"/>
    <col min="9" max="12" width="14.5454545454545" customWidth="1"/>
  </cols>
  <sheetData>
    <row r="1" ht="20" spans="1:12">
      <c r="A1" s="1" t="s">
        <v>20</v>
      </c>
    </row>
    <row r="2" spans="1:12">
      <c r="A2" s="2" t="s">
        <v>390</v>
      </c>
    </row>
    <row r="3" ht="14.75"/>
    <row r="4" ht="14.5" spans="1:12">
      <c r="A4" s="3" t="s">
        <v>24</v>
      </c>
      <c r="B4" s="4" t="s">
        <v>25</v>
      </c>
      <c r="C4" s="4" t="s">
        <v>25</v>
      </c>
      <c r="D4" s="4" t="s">
        <v>25</v>
      </c>
      <c r="G4" s="21" t="s">
        <v>391</v>
      </c>
      <c r="H4" s="22" t="s">
        <v>392</v>
      </c>
      <c r="I4" s="22" t="s">
        <v>393</v>
      </c>
      <c r="J4" s="23" t="s">
        <v>394</v>
      </c>
      <c r="K4" s="24" t="s">
        <v>395</v>
      </c>
      <c r="L4" s="25" t="s">
        <v>396</v>
      </c>
    </row>
    <row r="5" ht="14.5" spans="1:12">
      <c r="A5" s="5" t="s">
        <v>26</v>
      </c>
      <c r="B5" s="5" t="s">
        <v>27</v>
      </c>
      <c r="C5" s="5" t="s">
        <v>28</v>
      </c>
      <c r="D5" s="5" t="s">
        <v>29</v>
      </c>
      <c r="G5" s="26" t="s">
        <v>342</v>
      </c>
      <c r="H5" s="27">
        <v>0.2</v>
      </c>
      <c r="I5" s="27">
        <v>0.18</v>
      </c>
      <c r="J5" s="28">
        <v>0.21</v>
      </c>
      <c r="K5" s="29">
        <f t="shared" ref="K5:K9" si="0">LN(H5/I5)*(H5-I5)</f>
        <v>0.00210721031315653</v>
      </c>
      <c r="L5" s="30">
        <f t="shared" ref="L5:L9" si="1">LN(H5/J5)*(H5-J5)</f>
        <v>0.000487901641694319</v>
      </c>
    </row>
    <row r="6" ht="14.5" spans="1:12">
      <c r="A6" s="6" t="s">
        <v>397</v>
      </c>
      <c r="B6" s="4">
        <v>0.3</v>
      </c>
      <c r="C6" s="4" t="s">
        <v>31</v>
      </c>
      <c r="D6" s="4" t="s">
        <v>32</v>
      </c>
      <c r="G6" s="31" t="s">
        <v>344</v>
      </c>
      <c r="H6" s="32">
        <v>0.3</v>
      </c>
      <c r="I6" s="32">
        <v>0.25</v>
      </c>
      <c r="J6" s="33">
        <v>0.33</v>
      </c>
      <c r="K6" s="34">
        <f t="shared" si="0"/>
        <v>0.00911607783969773</v>
      </c>
      <c r="L6" s="35">
        <f t="shared" si="1"/>
        <v>0.00285930539412975</v>
      </c>
    </row>
    <row r="7" ht="14.5" spans="1:12">
      <c r="A7" s="6" t="s">
        <v>398</v>
      </c>
      <c r="B7" s="4">
        <v>0.35</v>
      </c>
      <c r="C7" s="4" t="s">
        <v>31</v>
      </c>
      <c r="D7" s="4" t="s">
        <v>32</v>
      </c>
      <c r="G7" s="26" t="s">
        <v>346</v>
      </c>
      <c r="H7" s="27">
        <v>0.35</v>
      </c>
      <c r="I7" s="27">
        <v>0.32</v>
      </c>
      <c r="J7" s="28">
        <v>0.29</v>
      </c>
      <c r="K7" s="29">
        <f t="shared" si="0"/>
        <v>0.00268836476069061</v>
      </c>
      <c r="L7" s="30">
        <f t="shared" si="1"/>
        <v>0.0112831338901764</v>
      </c>
    </row>
    <row r="8" ht="14.5" spans="1:12">
      <c r="A8" s="6" t="s">
        <v>399</v>
      </c>
      <c r="B8" s="4">
        <v>0.4</v>
      </c>
      <c r="C8" s="4" t="s">
        <v>31</v>
      </c>
      <c r="D8" s="4" t="s">
        <v>32</v>
      </c>
      <c r="G8" s="31" t="s">
        <v>348</v>
      </c>
      <c r="H8" s="32">
        <v>0.1</v>
      </c>
      <c r="I8" s="32">
        <v>0.15</v>
      </c>
      <c r="J8" s="33">
        <v>0.14</v>
      </c>
      <c r="K8" s="34">
        <f t="shared" si="0"/>
        <v>0.0202732554054082</v>
      </c>
      <c r="L8" s="35">
        <f t="shared" si="1"/>
        <v>0.0134588894648485</v>
      </c>
    </row>
    <row r="9" ht="15.25" spans="1:12">
      <c r="A9" s="6" t="s">
        <v>400</v>
      </c>
      <c r="B9" s="4">
        <v>0.38</v>
      </c>
      <c r="C9" s="4" t="s">
        <v>31</v>
      </c>
      <c r="D9" s="4" t="s">
        <v>32</v>
      </c>
      <c r="G9" s="31" t="s">
        <v>401</v>
      </c>
      <c r="H9" s="32">
        <v>0.05</v>
      </c>
      <c r="I9" s="32">
        <v>0.1</v>
      </c>
      <c r="J9" s="33">
        <v>0.03</v>
      </c>
      <c r="K9" s="36">
        <f t="shared" si="0"/>
        <v>0.0346573590279973</v>
      </c>
      <c r="L9" s="37">
        <f t="shared" si="1"/>
        <v>0.0102165124753198</v>
      </c>
    </row>
    <row r="10" ht="14.5" spans="1:12">
      <c r="A10" s="6" t="s">
        <v>402</v>
      </c>
      <c r="B10" s="4">
        <v>0.3</v>
      </c>
      <c r="C10" s="4" t="s">
        <v>31</v>
      </c>
      <c r="D10" s="4" t="s">
        <v>32</v>
      </c>
      <c r="G10" s="38"/>
      <c r="H10" s="39">
        <f t="shared" ref="H10:L10" si="2">SUM(H5:H9)</f>
        <v>1</v>
      </c>
      <c r="I10" s="39">
        <f t="shared" si="2"/>
        <v>1</v>
      </c>
      <c r="J10" s="39">
        <f t="shared" si="2"/>
        <v>1</v>
      </c>
      <c r="K10" s="40">
        <f t="shared" si="2"/>
        <v>0.0688422673469503</v>
      </c>
      <c r="L10" s="40">
        <f t="shared" si="2"/>
        <v>0.0383057428661688</v>
      </c>
    </row>
    <row r="11" ht="14.5" spans="1:12">
      <c r="A11" s="6" t="s">
        <v>403</v>
      </c>
      <c r="B11" s="4">
        <v>0.27</v>
      </c>
      <c r="C11" s="4" t="s">
        <v>31</v>
      </c>
      <c r="D11" s="4" t="s">
        <v>32</v>
      </c>
    </row>
    <row r="12" ht="14.5" spans="1:12">
      <c r="A12" s="7" t="s">
        <v>353</v>
      </c>
      <c r="B12" s="41">
        <f>(B11-B10)*LN(B11/B10)+(B9-B8)*LN(B9/B8)+(B7-B6)*LN(B7/B6)</f>
        <v>0.0118942153488487</v>
      </c>
      <c r="C12" s="9" t="s">
        <v>35</v>
      </c>
      <c r="D12" s="9" t="s">
        <v>36</v>
      </c>
      <c r="G12" t="s">
        <v>404</v>
      </c>
      <c r="H12" t="s">
        <v>405</v>
      </c>
    </row>
    <row r="13" spans="1:12">
      <c r="G13" t="s">
        <v>406</v>
      </c>
      <c r="H13" t="s">
        <v>407</v>
      </c>
    </row>
    <row r="14" ht="14.5" spans="1:12">
      <c r="A14" s="10" t="s">
        <v>37</v>
      </c>
      <c r="B14" s="11" t="s">
        <v>25</v>
      </c>
      <c r="C14" s="11" t="s">
        <v>25</v>
      </c>
      <c r="D14" s="11" t="s">
        <v>25</v>
      </c>
      <c r="G14" t="s">
        <v>408</v>
      </c>
      <c r="H14" t="s">
        <v>409</v>
      </c>
    </row>
    <row r="15" ht="14.5" spans="1:12">
      <c r="A15" s="12" t="s">
        <v>38</v>
      </c>
      <c r="B15" s="12" t="s">
        <v>410</v>
      </c>
      <c r="C15" s="12" t="s">
        <v>40</v>
      </c>
      <c r="D15" s="12" t="s">
        <v>41</v>
      </c>
    </row>
    <row r="17" ht="17.25" spans="1:5">
      <c r="A17" s="13" t="s">
        <v>411</v>
      </c>
    </row>
    <row r="18" ht="14.75" spans="1:5">
      <c r="A18" s="14" t="s">
        <v>351</v>
      </c>
      <c r="B18" s="14" t="s">
        <v>353</v>
      </c>
      <c r="C18" s="14" t="s">
        <v>376</v>
      </c>
      <c r="D18" s="14" t="s">
        <v>412</v>
      </c>
      <c r="E18" s="14" t="s">
        <v>413</v>
      </c>
    </row>
    <row r="19" ht="14.75" spans="1:5">
      <c r="A19" s="15" t="s">
        <v>414</v>
      </c>
      <c r="B19" s="15">
        <v>0.08</v>
      </c>
      <c r="C19" s="19">
        <v>0</v>
      </c>
      <c r="D19" s="16">
        <v>0</v>
      </c>
      <c r="E19" s="19">
        <v>0</v>
      </c>
    </row>
    <row r="20" ht="14.75" spans="1:5">
      <c r="A20" s="17" t="s">
        <v>359</v>
      </c>
      <c r="B20" s="17">
        <v>0.15</v>
      </c>
      <c r="C20" s="17">
        <v>-0.02</v>
      </c>
      <c r="D20" s="18">
        <v>-0.02</v>
      </c>
      <c r="E20" s="20">
        <v>0.003</v>
      </c>
    </row>
    <row r="21" ht="14.75" spans="1:5">
      <c r="A21" s="15" t="s">
        <v>415</v>
      </c>
      <c r="B21" s="42">
        <v>0.22</v>
      </c>
      <c r="C21" s="15">
        <v>-0.05</v>
      </c>
      <c r="D21" s="16">
        <v>-0.05</v>
      </c>
      <c r="E21" s="19">
        <v>0.008</v>
      </c>
    </row>
    <row r="22" ht="14.75" spans="1:5">
      <c r="A22" s="17" t="s">
        <v>361</v>
      </c>
      <c r="B22" s="43">
        <v>0.32</v>
      </c>
      <c r="C22" s="17">
        <v>-0.08</v>
      </c>
      <c r="D22" s="18">
        <v>-0.08</v>
      </c>
      <c r="E22" s="20">
        <v>0.015</v>
      </c>
    </row>
    <row r="24" ht="17.25" spans="1:5">
      <c r="A24" s="13" t="s">
        <v>416</v>
      </c>
    </row>
    <row r="25" ht="14.75" spans="1:5">
      <c r="A25" s="14" t="s">
        <v>417</v>
      </c>
      <c r="B25" s="14" t="s">
        <v>418</v>
      </c>
      <c r="C25" s="14" t="s">
        <v>419</v>
      </c>
      <c r="D25" s="14" t="s">
        <v>420</v>
      </c>
      <c r="E25" s="14" t="s">
        <v>421</v>
      </c>
    </row>
    <row r="26" ht="14.75" spans="1:5">
      <c r="A26" s="15" t="s">
        <v>422</v>
      </c>
      <c r="B26" s="15">
        <v>0.28</v>
      </c>
      <c r="C26" s="15">
        <v>0.05</v>
      </c>
      <c r="D26" s="15">
        <v>0.38</v>
      </c>
      <c r="E26" s="19">
        <v>0.019</v>
      </c>
    </row>
    <row r="27" ht="14.75" spans="1:5">
      <c r="A27" s="17" t="s">
        <v>423</v>
      </c>
      <c r="B27" s="17">
        <v>0.3</v>
      </c>
      <c r="C27" s="17">
        <v>0.06</v>
      </c>
      <c r="D27" s="17">
        <v>0.37</v>
      </c>
      <c r="E27" s="20">
        <v>0.02</v>
      </c>
    </row>
    <row r="28" ht="14.75" spans="1:5">
      <c r="A28" s="15" t="s">
        <v>424</v>
      </c>
      <c r="B28" s="15">
        <v>0.32</v>
      </c>
      <c r="C28" s="15">
        <v>0.07</v>
      </c>
      <c r="D28" s="15">
        <v>0.37</v>
      </c>
      <c r="E28" s="19">
        <v>0.021</v>
      </c>
    </row>
    <row r="29" ht="14.75" spans="1:5">
      <c r="A29" s="17" t="s">
        <v>425</v>
      </c>
      <c r="B29" s="17">
        <v>0.35</v>
      </c>
      <c r="C29" s="17">
        <v>0.08</v>
      </c>
      <c r="D29" s="17">
        <v>0.36</v>
      </c>
      <c r="E29" s="20">
        <v>0.02</v>
      </c>
    </row>
    <row r="30" spans="1:5">
      <c r="A30" t="s">
        <v>426</v>
      </c>
    </row>
    <row r="32" ht="17.25" spans="1:5">
      <c r="A32" s="13" t="s">
        <v>427</v>
      </c>
    </row>
    <row r="33" ht="14.75" spans="1:5">
      <c r="A33" s="14" t="s">
        <v>351</v>
      </c>
      <c r="B33" s="14" t="s">
        <v>353</v>
      </c>
      <c r="C33" s="14" t="s">
        <v>44</v>
      </c>
      <c r="D33" s="14" t="s">
        <v>428</v>
      </c>
      <c r="E33" s="14" t="s">
        <v>429</v>
      </c>
    </row>
    <row r="34" ht="14.75" spans="1:5">
      <c r="A34" s="15" t="s">
        <v>430</v>
      </c>
      <c r="B34" s="15">
        <v>0.15</v>
      </c>
      <c r="C34" s="16">
        <v>0.4</v>
      </c>
      <c r="D34" s="16">
        <v>0.2</v>
      </c>
      <c r="E34" s="15" t="s">
        <v>431</v>
      </c>
    </row>
    <row r="35" ht="14.75" spans="1:5">
      <c r="A35" s="17" t="s">
        <v>432</v>
      </c>
      <c r="B35" s="17">
        <v>0.09</v>
      </c>
      <c r="C35" s="17" t="s">
        <v>356</v>
      </c>
      <c r="D35" s="17" t="s">
        <v>356</v>
      </c>
      <c r="E35" s="17" t="s">
        <v>433</v>
      </c>
    </row>
    <row r="36" ht="14.75" spans="1:5">
      <c r="A36" s="15" t="s">
        <v>434</v>
      </c>
      <c r="B36" s="15">
        <v>0.08</v>
      </c>
      <c r="C36" s="15" t="s">
        <v>356</v>
      </c>
      <c r="D36" s="15" t="s">
        <v>356</v>
      </c>
      <c r="E36" s="15" t="s">
        <v>435</v>
      </c>
    </row>
    <row r="37" ht="14.75" spans="1:5">
      <c r="A37" s="17" t="s">
        <v>436</v>
      </c>
      <c r="B37" s="17">
        <v>0.18</v>
      </c>
      <c r="C37" s="18">
        <v>0.35</v>
      </c>
      <c r="D37" s="18">
        <v>0.25</v>
      </c>
      <c r="E37" s="17" t="s">
        <v>437</v>
      </c>
    </row>
    <row r="38" ht="14.75" spans="1:5">
      <c r="A38" s="15" t="s">
        <v>438</v>
      </c>
      <c r="B38" s="15">
        <v>0.1</v>
      </c>
      <c r="C38" s="15" t="s">
        <v>356</v>
      </c>
      <c r="D38" s="15" t="s">
        <v>356</v>
      </c>
      <c r="E38" s="15" t="s">
        <v>439</v>
      </c>
    </row>
  </sheetData>
  <mergeCells count="2">
    <mergeCell ref="A1:D1"/>
    <mergeCell ref="A2:D2"/>
  </mergeCells>
  <conditionalFormatting sqref="B1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{0e30285e-979e-4f79-8fd2-c40e93bc9c7b}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0285e-979e-4f79-8fd2-c40e93bc9c7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zoomScale="85" zoomScaleNormal="85" workbookViewId="0">
      <pane ySplit="5" topLeftCell="A9" activePane="bottomLeft" state="frozen"/>
      <selection/>
      <selection pane="bottomLeft" activeCell="H19" sqref="H19"/>
    </sheetView>
  </sheetViews>
  <sheetFormatPr defaultColWidth="9" defaultRowHeight="14" outlineLevelCol="4"/>
  <cols>
    <col min="1" max="2" width="20" customWidth="1"/>
    <col min="3" max="4" width="15" customWidth="1"/>
  </cols>
  <sheetData>
    <row r="1" ht="20" spans="1:5">
      <c r="A1" s="1" t="s">
        <v>22</v>
      </c>
    </row>
    <row r="2" spans="1:5">
      <c r="A2" s="2" t="s">
        <v>440</v>
      </c>
    </row>
    <row r="4" ht="14.5" spans="1:5">
      <c r="A4" s="3" t="s">
        <v>24</v>
      </c>
      <c r="B4" s="4" t="s">
        <v>25</v>
      </c>
      <c r="C4" s="4" t="s">
        <v>25</v>
      </c>
      <c r="D4" s="4" t="s">
        <v>25</v>
      </c>
    </row>
    <row r="5" ht="14.5" spans="1:5">
      <c r="A5" s="5" t="s">
        <v>26</v>
      </c>
      <c r="B5" s="5" t="s">
        <v>27</v>
      </c>
      <c r="C5" s="5" t="s">
        <v>28</v>
      </c>
      <c r="D5" s="5" t="s">
        <v>29</v>
      </c>
    </row>
    <row r="6" ht="14.5" spans="1:5">
      <c r="A6" s="6" t="s">
        <v>441</v>
      </c>
      <c r="B6" s="4">
        <v>650</v>
      </c>
      <c r="C6" s="4" t="s">
        <v>31</v>
      </c>
      <c r="D6" s="4" t="s">
        <v>32</v>
      </c>
    </row>
    <row r="7" ht="14.5" spans="1:5">
      <c r="A7" s="6" t="s">
        <v>442</v>
      </c>
      <c r="B7" s="4">
        <v>638</v>
      </c>
      <c r="C7" s="4" t="s">
        <v>31</v>
      </c>
      <c r="D7" s="4" t="s">
        <v>32</v>
      </c>
    </row>
    <row r="8" ht="14.5" spans="1:5">
      <c r="A8" s="7" t="s">
        <v>443</v>
      </c>
      <c r="B8" s="8">
        <f>B7-B6</f>
        <v>-12</v>
      </c>
      <c r="C8" s="9" t="s">
        <v>35</v>
      </c>
      <c r="D8" s="9" t="s">
        <v>36</v>
      </c>
    </row>
    <row r="9" ht="14.5" spans="1:5">
      <c r="A9" s="7" t="s">
        <v>444</v>
      </c>
      <c r="B9" s="8">
        <f>B7-B6</f>
        <v>-12</v>
      </c>
      <c r="C9" s="9" t="s">
        <v>35</v>
      </c>
      <c r="D9" s="9" t="s">
        <v>36</v>
      </c>
    </row>
    <row r="11" ht="14.5" spans="1:5">
      <c r="A11" s="10" t="s">
        <v>37</v>
      </c>
      <c r="B11" s="11" t="s">
        <v>25</v>
      </c>
      <c r="C11" s="11" t="s">
        <v>25</v>
      </c>
      <c r="D11" s="11" t="s">
        <v>25</v>
      </c>
    </row>
    <row r="12" ht="14.5" spans="1:5">
      <c r="A12" s="12" t="s">
        <v>38</v>
      </c>
      <c r="B12" s="12" t="s">
        <v>445</v>
      </c>
      <c r="C12" s="12" t="s">
        <v>40</v>
      </c>
      <c r="D12" s="12" t="s">
        <v>41</v>
      </c>
    </row>
    <row r="14" ht="17.25" spans="1:5">
      <c r="A14" s="13" t="s">
        <v>446</v>
      </c>
    </row>
    <row r="15" ht="14.75" spans="1:5">
      <c r="A15" s="14" t="s">
        <v>43</v>
      </c>
      <c r="B15" s="14" t="s">
        <v>429</v>
      </c>
      <c r="C15" s="14" t="s">
        <v>447</v>
      </c>
      <c r="D15" s="14" t="s">
        <v>353</v>
      </c>
      <c r="E15" s="14" t="s">
        <v>34</v>
      </c>
    </row>
    <row r="16" ht="14.75" spans="1:5">
      <c r="A16" s="15" t="s">
        <v>47</v>
      </c>
      <c r="B16" s="15">
        <v>650</v>
      </c>
      <c r="C16" s="15">
        <v>55</v>
      </c>
      <c r="D16" s="15">
        <v>0.06</v>
      </c>
      <c r="E16" s="16">
        <v>0.62</v>
      </c>
    </row>
    <row r="17" ht="14.75" spans="1:5">
      <c r="A17" s="17" t="s">
        <v>51</v>
      </c>
      <c r="B17" s="17">
        <v>648</v>
      </c>
      <c r="C17" s="17">
        <v>54</v>
      </c>
      <c r="D17" s="17">
        <v>0.08</v>
      </c>
      <c r="E17" s="18">
        <v>0.61</v>
      </c>
    </row>
    <row r="18" ht="14.75" spans="1:5">
      <c r="A18" s="15" t="s">
        <v>448</v>
      </c>
      <c r="B18" s="15">
        <v>642</v>
      </c>
      <c r="C18" s="15">
        <v>52</v>
      </c>
      <c r="D18" s="15">
        <v>0.14</v>
      </c>
      <c r="E18" s="16">
        <v>0.58</v>
      </c>
    </row>
    <row r="19" ht="14.75" spans="1:5">
      <c r="A19" s="17" t="s">
        <v>449</v>
      </c>
      <c r="B19" s="17">
        <v>635</v>
      </c>
      <c r="C19" s="17">
        <v>50</v>
      </c>
      <c r="D19" s="17">
        <v>0.2</v>
      </c>
      <c r="E19" s="18">
        <v>0.55</v>
      </c>
    </row>
    <row r="21" ht="17.25" spans="1:5">
      <c r="A21" s="13" t="s">
        <v>450</v>
      </c>
    </row>
    <row r="22" ht="14.75" spans="1:5">
      <c r="A22" s="14" t="s">
        <v>451</v>
      </c>
      <c r="B22" s="14" t="s">
        <v>429</v>
      </c>
      <c r="C22" s="14" t="s">
        <v>452</v>
      </c>
      <c r="D22" s="14" t="s">
        <v>365</v>
      </c>
      <c r="E22" s="14" t="s">
        <v>74</v>
      </c>
    </row>
    <row r="23" ht="14.75" spans="1:5">
      <c r="A23" s="15" t="s">
        <v>453</v>
      </c>
      <c r="B23" s="15">
        <v>650</v>
      </c>
      <c r="C23" s="15">
        <v>-1.5</v>
      </c>
      <c r="D23" s="15">
        <v>0.35</v>
      </c>
      <c r="E23" s="19">
        <v>0.025</v>
      </c>
    </row>
    <row r="24" ht="14.75" spans="1:5">
      <c r="A24" s="17" t="s">
        <v>454</v>
      </c>
      <c r="B24" s="17">
        <v>645</v>
      </c>
      <c r="C24" s="17">
        <v>-1.7</v>
      </c>
      <c r="D24" s="17">
        <v>0.33</v>
      </c>
      <c r="E24" s="20">
        <v>0.027</v>
      </c>
    </row>
    <row r="25" ht="14.75" spans="1:5">
      <c r="A25" s="15" t="s">
        <v>455</v>
      </c>
      <c r="B25" s="15">
        <v>640</v>
      </c>
      <c r="C25" s="15">
        <v>-1.8</v>
      </c>
      <c r="D25" s="15">
        <v>0.31</v>
      </c>
      <c r="E25" s="19">
        <v>0.03</v>
      </c>
    </row>
    <row r="26" ht="14.75" spans="1:5">
      <c r="A26" s="17" t="s">
        <v>456</v>
      </c>
      <c r="B26" s="17">
        <v>635</v>
      </c>
      <c r="C26" s="17">
        <v>-1.7</v>
      </c>
      <c r="D26" s="17">
        <v>0.28</v>
      </c>
      <c r="E26" s="20">
        <v>0.033</v>
      </c>
    </row>
    <row r="28" ht="17.25" spans="1:5">
      <c r="A28" s="13" t="s">
        <v>457</v>
      </c>
    </row>
    <row r="29" ht="14.75" spans="1:5">
      <c r="A29" s="14" t="s">
        <v>458</v>
      </c>
      <c r="B29" s="14" t="s">
        <v>459</v>
      </c>
      <c r="C29" s="14" t="s">
        <v>460</v>
      </c>
      <c r="D29" s="14" t="s">
        <v>157</v>
      </c>
      <c r="E29" s="14" t="s">
        <v>158</v>
      </c>
    </row>
    <row r="30" ht="14.75" spans="1:5">
      <c r="A30" s="15" t="s">
        <v>461</v>
      </c>
      <c r="B30" s="15">
        <v>650</v>
      </c>
      <c r="C30" s="15">
        <v>630</v>
      </c>
      <c r="D30" s="15">
        <v>-20</v>
      </c>
      <c r="E30" s="15" t="s">
        <v>462</v>
      </c>
    </row>
    <row r="31" ht="14.75" spans="1:5">
      <c r="A31" s="17" t="s">
        <v>463</v>
      </c>
      <c r="B31" s="17">
        <v>655</v>
      </c>
      <c r="C31" s="17">
        <v>625</v>
      </c>
      <c r="D31" s="17">
        <v>-30</v>
      </c>
      <c r="E31" s="17" t="s">
        <v>462</v>
      </c>
    </row>
    <row r="32" ht="14.75" spans="1:5">
      <c r="A32" s="15" t="s">
        <v>447</v>
      </c>
      <c r="B32" s="15">
        <v>55</v>
      </c>
      <c r="C32" s="15">
        <v>68</v>
      </c>
      <c r="D32" s="15">
        <v>13</v>
      </c>
      <c r="E32" s="15" t="s">
        <v>464</v>
      </c>
    </row>
    <row r="33" ht="14.75" spans="1:5">
      <c r="A33" s="17" t="s">
        <v>465</v>
      </c>
      <c r="B33" s="17">
        <v>560</v>
      </c>
      <c r="C33" s="17">
        <v>520</v>
      </c>
      <c r="D33" s="17">
        <v>-40</v>
      </c>
      <c r="E33" s="17" t="s">
        <v>466</v>
      </c>
    </row>
    <row r="34" ht="14.75" spans="1:5">
      <c r="A34" s="15" t="s">
        <v>467</v>
      </c>
      <c r="B34" s="15">
        <v>740</v>
      </c>
      <c r="C34" s="15">
        <v>745</v>
      </c>
      <c r="D34" s="15">
        <v>5</v>
      </c>
      <c r="E34" s="15" t="s">
        <v>468</v>
      </c>
    </row>
  </sheetData>
  <mergeCells count="2">
    <mergeCell ref="A1:D1"/>
    <mergeCell ref="A2:D2"/>
  </mergeCells>
  <conditionalFormatting sqref="B9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{8e8df5f5-38d5-4e6f-b186-aeb313a128b8}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8df5f5-38d5-4e6f-b186-aeb313a128b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目录</vt:lpstr>
      <vt:lpstr>1.1 授信通过率</vt:lpstr>
      <vt:lpstr>1.2 申请命中规则&amp;黑名单率</vt:lpstr>
      <vt:lpstr>1.3 人均授信额度</vt:lpstr>
      <vt:lpstr>1.4 人均利率</vt:lpstr>
      <vt:lpstr>1.5 授信额度使用率</vt:lpstr>
      <vt:lpstr>1.6 支用率</vt:lpstr>
      <vt:lpstr>1.7 模型KS值</vt:lpstr>
      <vt:lpstr>1.8 模型PSI</vt:lpstr>
      <vt:lpstr>1.9 评分分布偏移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2026-04-01T03:27:00Z</dcterms:created>
  <dcterms:modified xsi:type="dcterms:W3CDTF">2026-04-24T16:08:05Z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7CF1742A8D004CA5A8E52906C2BE483A_12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