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1" activeTab="5"/>
  </bookViews>
  <sheets>
    <sheet name="目录" sheetId="1" r:id="rId1"/>
    <sheet name="5.1 放款金额" sheetId="2" r:id="rId2"/>
    <sheet name="5.2 在贷余额(AUM)" sheetId="3" r:id="rId3"/>
    <sheet name="5.3 笔均放款金额" sheetId="4" r:id="rId4"/>
    <sheet name="5.4 提前还款率" sheetId="5" r:id="rId5"/>
    <sheet name="5.5 客户活跃度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<sst xmlns="http://schemas.openxmlformats.org/spreadsheetml/2006/main" count="383" uniqueCount="106">
  <si>
    <t>第5章 业务规模指标 - 测算Sheet目录</t>
  </si>
  <si>
    <t>序号</t>
  </si>
  <si>
    <t>指标编号</t>
  </si>
  <si>
    <t>指标名称</t>
  </si>
  <si>
    <t>Sheet名称</t>
  </si>
  <si>
    <t>5.1</t>
  </si>
  <si>
    <t>放款金额</t>
  </si>
  <si>
    <t>5.1 放款金额</t>
  </si>
  <si>
    <t>5.2</t>
  </si>
  <si>
    <t>在贷余额(AUM)</t>
  </si>
  <si>
    <t>5.2 在贷余额(AUM)</t>
  </si>
  <si>
    <t>5.3</t>
  </si>
  <si>
    <t>笔均放款金额</t>
  </si>
  <si>
    <t>5.3 笔均放款金额</t>
  </si>
  <si>
    <t>5.4</t>
  </si>
  <si>
    <t>提前还款率</t>
  </si>
  <si>
    <t>5.4 提前还款率</t>
  </si>
  <si>
    <t>5.5</t>
  </si>
  <si>
    <t>客户活跃度</t>
  </si>
  <si>
    <t>5.5 客户活跃度</t>
  </si>
  <si>
    <t>放款金额 = 本期实际放款总额</t>
  </si>
  <si>
    <t>输入参数</t>
  </si>
  <si>
    <t/>
  </si>
  <si>
    <t>参数名称</t>
  </si>
  <si>
    <t>参数值</t>
  </si>
  <si>
    <t>说明</t>
  </si>
  <si>
    <t>数据来源</t>
  </si>
  <si>
    <t>本月目标(元)</t>
  </si>
  <si>
    <t>手工输入</t>
  </si>
  <si>
    <t>业务系统</t>
  </si>
  <si>
    <t>本月实际放款(元)</t>
  </si>
  <si>
    <t>完成率</t>
  </si>
  <si>
    <t>计算结果</t>
  </si>
  <si>
    <t>-</t>
  </si>
  <si>
    <t>参考阈值</t>
  </si>
  <si>
    <t>参考范围</t>
  </si>
  <si>
    <t>按计划达成</t>
  </si>
  <si>
    <t>来源</t>
  </si>
  <si>
    <t>行业基准</t>
  </si>
  <si>
    <t>【实例0】5.1 放款金额日常监控体系搭建</t>
  </si>
  <si>
    <t>指标</t>
  </si>
  <si>
    <t>当前值</t>
  </si>
  <si>
    <t>基准值</t>
  </si>
  <si>
    <t>预警线</t>
  </si>
  <si>
    <t>状态</t>
  </si>
  <si>
    <t>正常范围</t>
  </si>
  <si>
    <t>设定基准</t>
  </si>
  <si>
    <t>上下限</t>
  </si>
  <si>
    <t>监控中</t>
  </si>
  <si>
    <t>【实例1】5.1 放款金额异常波动排查</t>
  </si>
  <si>
    <t>日期/维度</t>
  </si>
  <si>
    <t>环比变化</t>
  </si>
  <si>
    <t>绝对变化</t>
  </si>
  <si>
    <t>基准</t>
  </si>
  <si>
    <t>正常</t>
  </si>
  <si>
    <t>Day 1</t>
  </si>
  <si>
    <t>偏离+</t>
  </si>
  <si>
    <t>上升</t>
  </si>
  <si>
    <t>关注</t>
  </si>
  <si>
    <t>Day 2</t>
  </si>
  <si>
    <t>偏离++</t>
  </si>
  <si>
    <t>大幅上升</t>
  </si>
  <si>
    <t>预警</t>
  </si>
  <si>
    <t>Day 3</t>
  </si>
  <si>
    <t>恢复</t>
  </si>
  <si>
    <t>回落</t>
  </si>
  <si>
    <t>【实例2】5.1 放款金额策略优化效果验证</t>
  </si>
  <si>
    <t>策略前</t>
  </si>
  <si>
    <t>策略后(1周)</t>
  </si>
  <si>
    <t>策略后(2周)</t>
  </si>
  <si>
    <t>目标</t>
  </si>
  <si>
    <t>基线值</t>
  </si>
  <si>
    <t>观察值1</t>
  </si>
  <si>
    <t>观察值2</t>
  </si>
  <si>
    <t>目标值</t>
  </si>
  <si>
    <t>5.2 在贷余额(OS)</t>
  </si>
  <si>
    <t>期末OS = 期初OS + 本月新增放款 - 本月还款</t>
  </si>
  <si>
    <t>期初OS(元)</t>
  </si>
  <si>
    <t>本期新增放款(元)</t>
  </si>
  <si>
    <t>本期还款(元)</t>
  </si>
  <si>
    <t>期末OS(元)</t>
  </si>
  <si>
    <t>持续增长</t>
  </si>
  <si>
    <t>【实例0】5.2 在贷余额(OS)日常监控体系搭建</t>
  </si>
  <si>
    <t>【实例1】5.2 在贷余额(OS)异常波动排查</t>
  </si>
  <si>
    <t>【实例2】5.2 在贷余额(OS)策略优化效果验证</t>
  </si>
  <si>
    <t>笔均 = 放款总额 / 放款笔数</t>
  </si>
  <si>
    <t>放款总额(元)</t>
  </si>
  <si>
    <t>放款笔数</t>
  </si>
  <si>
    <t>笔均放款(元)</t>
  </si>
  <si>
    <t>【实例0】5.3 笔均放款金额日常监控体系搭建</t>
  </si>
  <si>
    <t>【实例1】5.3 笔均放款金额异常波动排查</t>
  </si>
  <si>
    <t>【实例2】5.3 笔均放款金额策略优化效果验证</t>
  </si>
  <si>
    <t>提前还款率 = 提前还款金额 / 应还总额 x 100%</t>
  </si>
  <si>
    <t>应还总额(元)</t>
  </si>
  <si>
    <t>提前还款金额(元)</t>
  </si>
  <si>
    <t>5%~15%</t>
  </si>
  <si>
    <t>【实例0】5.4 提前还款率日常监控体系搭建</t>
  </si>
  <si>
    <t>【实例1】5.4 提前还款率异常波动排查</t>
  </si>
  <si>
    <t>【实例2】5.4 提前还款率策略优化效果验证</t>
  </si>
  <si>
    <t>活跃度 = 有交易客户数 / 总授信客户数 x 100%</t>
  </si>
  <si>
    <t>总授信客户数</t>
  </si>
  <si>
    <t>当月有交易客户数</t>
  </si>
  <si>
    <t>&gt; 30%</t>
  </si>
  <si>
    <t>【实例0】5.5 客户活跃度日常监控体系搭建</t>
  </si>
  <si>
    <t>【实例1】5.5 客户活跃度异常波动排查</t>
  </si>
  <si>
    <t>【实例2】5.5 客户活跃度策略优化效果验证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</si>
</sst>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9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i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1F4E79"/>
      <name val="微软雅黑"/>
      <charset val="134"/>
    </font>
    <font>
      <b/>
      <sz val="9.5"/>
      <color rgb="FFFFFFFF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6" borderId="2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9" fontId="8" fillId="7" borderId="3" xfId="0" applyNumberFormat="1" applyFont="1" applyFill="1" applyBorder="1" applyAlignment="1">
      <alignment horizontal="center" vertical="top" wrapText="1"/>
    </xf>
    <xf numFmtId="9" fontId="8" fillId="0" borderId="3" xfId="0" applyNumberFormat="1" applyFont="1" applyBorder="1" applyAlignment="1">
      <alignment horizontal="center" vertical="top" wrapText="1"/>
    </xf>
    <xf numFmtId="3" fontId="3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:D1"/>
    </sheetView>
  </sheetViews>
  <sheetFormatPr defaultColWidth="9" defaultRowHeight="14" outlineLevelRow="7" outlineLevelCol="3"/>
  <cols>
    <col min="1" max="1" width="8" customWidth="1"/>
    <col min="2" max="2" width="12" customWidth="1"/>
    <col min="3" max="3" width="25" customWidth="1"/>
    <col min="4" max="4" width="30" customWidth="1"/>
  </cols>
  <sheetData>
    <row r="1" ht="20" spans="1:4">
      <c r="A1" s="1" t="s">
        <v>0</v>
      </c>
    </row>
    <row r="3" ht="14.5" spans="1:4">
      <c r="A3" s="5" t="s">
        <v>1</v>
      </c>
      <c r="B3" s="5" t="s">
        <v>2</v>
      </c>
      <c r="C3" s="5" t="s">
        <v>3</v>
      </c>
      <c r="D3" s="5" t="s">
        <v>4</v>
      </c>
    </row>
    <row r="4" ht="14.5" spans="1:4">
      <c r="A4" s="12">
        <v>1</v>
      </c>
      <c r="B4" s="12" t="s">
        <v>5</v>
      </c>
      <c r="C4" s="12" t="s">
        <v>6</v>
      </c>
      <c r="D4" s="12" t="s">
        <v>7</v>
      </c>
    </row>
    <row r="5" ht="14.5" spans="1:4">
      <c r="A5" s="12">
        <v>2</v>
      </c>
      <c r="B5" s="12" t="s">
        <v>8</v>
      </c>
      <c r="C5" s="12" t="s">
        <v>9</v>
      </c>
      <c r="D5" s="12" t="s">
        <v>10</v>
      </c>
    </row>
    <row r="6" ht="14.5" spans="1:4">
      <c r="A6" s="12">
        <v>3</v>
      </c>
      <c r="B6" s="12" t="s">
        <v>11</v>
      </c>
      <c r="C6" s="12" t="s">
        <v>12</v>
      </c>
      <c r="D6" s="12" t="s">
        <v>13</v>
      </c>
    </row>
    <row r="7" ht="14.5" spans="1:4">
      <c r="A7" s="12">
        <v>4</v>
      </c>
      <c r="B7" s="12" t="s">
        <v>14</v>
      </c>
      <c r="C7" s="12" t="s">
        <v>15</v>
      </c>
      <c r="D7" s="12" t="s">
        <v>16</v>
      </c>
    </row>
    <row r="8" ht="14.5" spans="1:4">
      <c r="A8" s="12">
        <v>5</v>
      </c>
      <c r="B8" s="12" t="s">
        <v>17</v>
      </c>
      <c r="C8" s="12" t="s">
        <v>18</v>
      </c>
      <c r="D8" s="12" t="s">
        <v>19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18" activePane="bottomLeft" state="frozen"/>
      <selection/>
      <selection pane="bottomLeft" activeCell="A25" sqref="A25:E26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7</v>
      </c>
    </row>
    <row r="2" spans="1:5">
      <c r="A2" s="2" t="s">
        <v>20</v>
      </c>
    </row>
    <row r="4" ht="14.5" spans="1:5">
      <c r="A4" s="3" t="s">
        <v>21</v>
      </c>
      <c r="B4" s="4" t="s">
        <v>22</v>
      </c>
      <c r="C4" s="4" t="s">
        <v>22</v>
      </c>
      <c r="D4" s="4" t="s">
        <v>22</v>
      </c>
    </row>
    <row r="5" ht="14.5" spans="1:5">
      <c r="A5" s="5" t="s">
        <v>23</v>
      </c>
      <c r="B5" s="5" t="s">
        <v>24</v>
      </c>
      <c r="C5" s="5" t="s">
        <v>25</v>
      </c>
      <c r="D5" s="5" t="s">
        <v>26</v>
      </c>
    </row>
    <row r="6" ht="14.5" spans="1:5">
      <c r="A6" s="6" t="s">
        <v>27</v>
      </c>
      <c r="B6" s="4">
        <v>15000000</v>
      </c>
      <c r="C6" s="4" t="s">
        <v>28</v>
      </c>
      <c r="D6" s="4" t="s">
        <v>29</v>
      </c>
    </row>
    <row r="7" ht="14.5" spans="1:5">
      <c r="A7" s="6" t="s">
        <v>30</v>
      </c>
      <c r="B7" s="4">
        <v>16200000</v>
      </c>
      <c r="C7" s="4" t="s">
        <v>28</v>
      </c>
      <c r="D7" s="4" t="s">
        <v>29</v>
      </c>
    </row>
    <row r="8" ht="14.5" spans="1:5">
      <c r="A8" s="7" t="s">
        <v>31</v>
      </c>
      <c r="B8" s="8">
        <f>B7/B6</f>
        <v>1.08</v>
      </c>
      <c r="C8" s="9" t="s">
        <v>32</v>
      </c>
      <c r="D8" s="9" t="s">
        <v>33</v>
      </c>
    </row>
    <row r="10" ht="14.5" spans="1:5">
      <c r="A10" s="10" t="s">
        <v>34</v>
      </c>
      <c r="B10" s="11" t="s">
        <v>22</v>
      </c>
      <c r="C10" s="11" t="s">
        <v>22</v>
      </c>
      <c r="D10" s="11" t="s">
        <v>22</v>
      </c>
    </row>
    <row r="11" ht="14.5" spans="1:5">
      <c r="A11" s="12" t="s">
        <v>35</v>
      </c>
      <c r="B11" s="12" t="s">
        <v>36</v>
      </c>
      <c r="C11" s="12" t="s">
        <v>37</v>
      </c>
      <c r="D11" s="12" t="s">
        <v>38</v>
      </c>
    </row>
    <row r="13" ht="17.25" spans="1:5">
      <c r="A13" s="13" t="s">
        <v>39</v>
      </c>
    </row>
    <row r="14" ht="14.75" spans="1:5">
      <c r="A14" s="14" t="s">
        <v>40</v>
      </c>
      <c r="B14" s="14" t="s">
        <v>41</v>
      </c>
      <c r="C14" s="14" t="s">
        <v>42</v>
      </c>
      <c r="D14" s="14" t="s">
        <v>43</v>
      </c>
      <c r="E14" s="14" t="s">
        <v>44</v>
      </c>
    </row>
    <row r="15" ht="14.75" spans="1:5">
      <c r="A15" s="15" t="s">
        <v>7</v>
      </c>
      <c r="B15" s="15" t="s">
        <v>45</v>
      </c>
      <c r="C15" s="15" t="s">
        <v>46</v>
      </c>
      <c r="D15" s="15" t="s">
        <v>47</v>
      </c>
      <c r="E15" s="15" t="s">
        <v>48</v>
      </c>
    </row>
    <row r="17" ht="17.25" spans="1:5">
      <c r="A17" s="13" t="s">
        <v>49</v>
      </c>
    </row>
    <row r="18" ht="14.75" spans="1:5">
      <c r="A18" s="14" t="s">
        <v>50</v>
      </c>
      <c r="B18" s="14" t="s">
        <v>7</v>
      </c>
      <c r="C18" s="14" t="s">
        <v>51</v>
      </c>
      <c r="D18" s="14" t="s">
        <v>52</v>
      </c>
      <c r="E18" s="14" t="s">
        <v>44</v>
      </c>
    </row>
    <row r="19" ht="14.75" spans="1:5">
      <c r="A19" s="15" t="s">
        <v>53</v>
      </c>
      <c r="B19" s="15" t="s">
        <v>42</v>
      </c>
      <c r="C19" s="15" t="s">
        <v>33</v>
      </c>
      <c r="D19" s="15" t="s">
        <v>33</v>
      </c>
      <c r="E19" s="15" t="s">
        <v>54</v>
      </c>
    </row>
    <row r="20" ht="14.75" spans="1:5">
      <c r="A20" s="16" t="s">
        <v>55</v>
      </c>
      <c r="B20" s="16" t="s">
        <v>56</v>
      </c>
      <c r="C20" s="17">
        <v>0.05</v>
      </c>
      <c r="D20" s="16" t="s">
        <v>57</v>
      </c>
      <c r="E20" s="16" t="s">
        <v>58</v>
      </c>
    </row>
    <row r="21" ht="14.75" spans="1:5">
      <c r="A21" s="15" t="s">
        <v>59</v>
      </c>
      <c r="B21" s="15" t="s">
        <v>60</v>
      </c>
      <c r="C21" s="18">
        <v>0.12</v>
      </c>
      <c r="D21" s="15" t="s">
        <v>61</v>
      </c>
      <c r="E21" s="15" t="s">
        <v>62</v>
      </c>
    </row>
    <row r="22" ht="14.75" spans="1:5">
      <c r="A22" s="16" t="s">
        <v>63</v>
      </c>
      <c r="B22" s="16" t="s">
        <v>64</v>
      </c>
      <c r="C22" s="17">
        <v>-0.03</v>
      </c>
      <c r="D22" s="16" t="s">
        <v>65</v>
      </c>
      <c r="E22" s="16" t="s">
        <v>54</v>
      </c>
    </row>
    <row r="24" ht="17.25" spans="1:5">
      <c r="A24" s="13" t="s">
        <v>66</v>
      </c>
    </row>
    <row r="25" ht="14.75" spans="1:5">
      <c r="A25" s="14" t="s">
        <v>40</v>
      </c>
      <c r="B25" s="14" t="s">
        <v>67</v>
      </c>
      <c r="C25" s="14" t="s">
        <v>68</v>
      </c>
      <c r="D25" s="14" t="s">
        <v>69</v>
      </c>
      <c r="E25" s="14" t="s">
        <v>70</v>
      </c>
    </row>
    <row r="26" ht="14.75" spans="1:5">
      <c r="A26" s="15" t="s">
        <v>7</v>
      </c>
      <c r="B26" s="15" t="s">
        <v>71</v>
      </c>
      <c r="C26" s="15" t="s">
        <v>72</v>
      </c>
      <c r="D26" s="15" t="s">
        <v>73</v>
      </c>
      <c r="E26" s="15" t="s">
        <v>74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{4e554950-106d-4034-8399-f20e81c2aa8c}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54950-106d-4034-8399-f20e81c2aa8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5" topLeftCell="A15" activePane="bottomLeft" state="frozen"/>
      <selection/>
      <selection pane="bottomLeft" activeCell="A26" sqref="A26:E27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75</v>
      </c>
    </row>
    <row r="2" spans="1:5">
      <c r="A2" s="2" t="s">
        <v>76</v>
      </c>
    </row>
    <row r="4" ht="14.5" spans="1:5">
      <c r="A4" s="3" t="s">
        <v>21</v>
      </c>
      <c r="B4" s="4" t="s">
        <v>22</v>
      </c>
      <c r="C4" s="4" t="s">
        <v>22</v>
      </c>
      <c r="D4" s="4" t="s">
        <v>22</v>
      </c>
    </row>
    <row r="5" ht="14.5" spans="1:5">
      <c r="A5" s="5" t="s">
        <v>23</v>
      </c>
      <c r="B5" s="5" t="s">
        <v>24</v>
      </c>
      <c r="C5" s="5" t="s">
        <v>25</v>
      </c>
      <c r="D5" s="5" t="s">
        <v>26</v>
      </c>
    </row>
    <row r="6" ht="14.5" spans="1:5">
      <c r="A6" s="6" t="s">
        <v>77</v>
      </c>
      <c r="B6" s="4">
        <v>190000000</v>
      </c>
      <c r="C6" s="4" t="s">
        <v>28</v>
      </c>
      <c r="D6" s="4" t="s">
        <v>29</v>
      </c>
    </row>
    <row r="7" ht="14.5" spans="1:5">
      <c r="A7" s="6" t="s">
        <v>78</v>
      </c>
      <c r="B7" s="4">
        <v>16200000</v>
      </c>
      <c r="C7" s="4" t="s">
        <v>28</v>
      </c>
      <c r="D7" s="4" t="s">
        <v>29</v>
      </c>
    </row>
    <row r="8" ht="14.5" spans="1:5">
      <c r="A8" s="6" t="s">
        <v>79</v>
      </c>
      <c r="B8" s="4">
        <v>12000000</v>
      </c>
      <c r="C8" s="4" t="s">
        <v>28</v>
      </c>
      <c r="D8" s="4" t="s">
        <v>29</v>
      </c>
    </row>
    <row r="9" ht="14.5" spans="1:5">
      <c r="A9" s="7" t="s">
        <v>80</v>
      </c>
      <c r="B9" s="19">
        <f>B6+B7-B8</f>
        <v>194200000</v>
      </c>
      <c r="C9" s="9" t="s">
        <v>32</v>
      </c>
      <c r="D9" s="9" t="s">
        <v>33</v>
      </c>
    </row>
    <row r="11" ht="14.5" spans="1:5">
      <c r="A11" s="10" t="s">
        <v>34</v>
      </c>
      <c r="B11" s="11" t="s">
        <v>22</v>
      </c>
      <c r="C11" s="11" t="s">
        <v>22</v>
      </c>
      <c r="D11" s="11" t="s">
        <v>22</v>
      </c>
    </row>
    <row r="12" ht="14.5" spans="1:5">
      <c r="A12" s="12" t="s">
        <v>35</v>
      </c>
      <c r="B12" s="12" t="s">
        <v>81</v>
      </c>
      <c r="C12" s="12" t="s">
        <v>37</v>
      </c>
      <c r="D12" s="12" t="s">
        <v>38</v>
      </c>
    </row>
    <row r="14" ht="17.25" spans="1:5">
      <c r="A14" s="13" t="s">
        <v>82</v>
      </c>
    </row>
    <row r="15" ht="14.75" spans="1:5">
      <c r="A15" s="14" t="s">
        <v>40</v>
      </c>
      <c r="B15" s="14" t="s">
        <v>41</v>
      </c>
      <c r="C15" s="14" t="s">
        <v>42</v>
      </c>
      <c r="D15" s="14" t="s">
        <v>43</v>
      </c>
      <c r="E15" s="14" t="s">
        <v>44</v>
      </c>
    </row>
    <row r="16" spans="1:5">
      <c r="A16" s="15" t="s">
        <v>75</v>
      </c>
      <c r="B16" s="15" t="s">
        <v>45</v>
      </c>
      <c r="C16" s="15" t="s">
        <v>46</v>
      </c>
      <c r="D16" s="15" t="s">
        <v>47</v>
      </c>
      <c r="E16" s="15" t="s">
        <v>48</v>
      </c>
    </row>
    <row r="18" ht="17.25" spans="1:5">
      <c r="A18" s="13" t="s">
        <v>83</v>
      </c>
    </row>
    <row r="19" ht="14.75" spans="1:5">
      <c r="A19" s="14" t="s">
        <v>50</v>
      </c>
      <c r="B19" s="14" t="s">
        <v>75</v>
      </c>
      <c r="C19" s="14" t="s">
        <v>51</v>
      </c>
      <c r="D19" s="14" t="s">
        <v>52</v>
      </c>
      <c r="E19" s="14" t="s">
        <v>44</v>
      </c>
    </row>
    <row r="20" ht="14.75" spans="1:5">
      <c r="A20" s="15" t="s">
        <v>53</v>
      </c>
      <c r="B20" s="15" t="s">
        <v>42</v>
      </c>
      <c r="C20" s="15" t="s">
        <v>33</v>
      </c>
      <c r="D20" s="15" t="s">
        <v>33</v>
      </c>
      <c r="E20" s="15" t="s">
        <v>54</v>
      </c>
    </row>
    <row r="21" ht="14.75" spans="1:5">
      <c r="A21" s="16" t="s">
        <v>55</v>
      </c>
      <c r="B21" s="16" t="s">
        <v>56</v>
      </c>
      <c r="C21" s="17">
        <v>0.05</v>
      </c>
      <c r="D21" s="16" t="s">
        <v>57</v>
      </c>
      <c r="E21" s="16" t="s">
        <v>58</v>
      </c>
    </row>
    <row r="22" ht="14.75" spans="1:5">
      <c r="A22" s="15" t="s">
        <v>59</v>
      </c>
      <c r="B22" s="15" t="s">
        <v>60</v>
      </c>
      <c r="C22" s="18">
        <v>0.12</v>
      </c>
      <c r="D22" s="15" t="s">
        <v>61</v>
      </c>
      <c r="E22" s="15" t="s">
        <v>62</v>
      </c>
    </row>
    <row r="23" ht="14.75" spans="1:5">
      <c r="A23" s="16" t="s">
        <v>63</v>
      </c>
      <c r="B23" s="16" t="s">
        <v>64</v>
      </c>
      <c r="C23" s="17">
        <v>-0.03</v>
      </c>
      <c r="D23" s="16" t="s">
        <v>65</v>
      </c>
      <c r="E23" s="16" t="s">
        <v>54</v>
      </c>
    </row>
    <row r="25" ht="17.25" spans="1:5">
      <c r="A25" s="13" t="s">
        <v>84</v>
      </c>
    </row>
    <row r="26" ht="14.75" spans="1:5">
      <c r="A26" s="14" t="s">
        <v>40</v>
      </c>
      <c r="B26" s="14" t="s">
        <v>67</v>
      </c>
      <c r="C26" s="14" t="s">
        <v>68</v>
      </c>
      <c r="D26" s="14" t="s">
        <v>69</v>
      </c>
      <c r="E26" s="14" t="s">
        <v>70</v>
      </c>
    </row>
    <row r="27" ht="14.75" spans="1:5">
      <c r="A27" s="15" t="s">
        <v>75</v>
      </c>
      <c r="B27" s="15" t="s">
        <v>71</v>
      </c>
      <c r="C27" s="15" t="s">
        <v>72</v>
      </c>
      <c r="D27" s="15" t="s">
        <v>73</v>
      </c>
      <c r="E27" s="15" t="s">
        <v>74</v>
      </c>
    </row>
  </sheetData>
  <mergeCells count="2">
    <mergeCell ref="A1:D1"/>
    <mergeCell ref="A2:D2"/>
  </mergeCells>
  <conditionalFormatting sqref="B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{0f9383e8-7fd4-4028-ac8e-cf9108184060}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9383e8-7fd4-4028-ac8e-cf910818406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27" activePane="bottomLeft" state="frozen"/>
      <selection/>
      <selection pane="bottomLeft" activeCell="A25" sqref="A25:E26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13</v>
      </c>
    </row>
    <row r="2" spans="1:5">
      <c r="A2" s="2" t="s">
        <v>85</v>
      </c>
    </row>
    <row r="4" ht="14.5" spans="1:5">
      <c r="A4" s="3" t="s">
        <v>21</v>
      </c>
      <c r="B4" s="4" t="s">
        <v>22</v>
      </c>
      <c r="C4" s="4" t="s">
        <v>22</v>
      </c>
      <c r="D4" s="4" t="s">
        <v>22</v>
      </c>
    </row>
    <row r="5" ht="14.5" spans="1:5">
      <c r="A5" s="5" t="s">
        <v>23</v>
      </c>
      <c r="B5" s="5" t="s">
        <v>24</v>
      </c>
      <c r="C5" s="5" t="s">
        <v>25</v>
      </c>
      <c r="D5" s="5" t="s">
        <v>26</v>
      </c>
    </row>
    <row r="6" ht="14.5" spans="1:5">
      <c r="A6" s="6" t="s">
        <v>86</v>
      </c>
      <c r="B6" s="4">
        <v>16200000</v>
      </c>
      <c r="C6" s="4" t="s">
        <v>28</v>
      </c>
      <c r="D6" s="4" t="s">
        <v>29</v>
      </c>
    </row>
    <row r="7" ht="14.5" spans="1:5">
      <c r="A7" s="6" t="s">
        <v>87</v>
      </c>
      <c r="B7" s="4">
        <v>2700</v>
      </c>
      <c r="C7" s="4" t="s">
        <v>28</v>
      </c>
      <c r="D7" s="4" t="s">
        <v>29</v>
      </c>
    </row>
    <row r="8" ht="14.5" spans="1:5">
      <c r="A8" s="7" t="s">
        <v>88</v>
      </c>
      <c r="B8" s="19">
        <f>B6/B7</f>
        <v>6000</v>
      </c>
      <c r="C8" s="9" t="s">
        <v>32</v>
      </c>
      <c r="D8" s="9" t="s">
        <v>33</v>
      </c>
    </row>
    <row r="10" ht="14.5" spans="1:5">
      <c r="A10" s="10" t="s">
        <v>34</v>
      </c>
      <c r="B10" s="11" t="s">
        <v>22</v>
      </c>
      <c r="C10" s="11" t="s">
        <v>22</v>
      </c>
      <c r="D10" s="11" t="s">
        <v>22</v>
      </c>
    </row>
    <row r="11" ht="14.5" spans="1:5">
      <c r="A11" s="12" t="s">
        <v>35</v>
      </c>
      <c r="B11" s="12" t="s">
        <v>36</v>
      </c>
      <c r="C11" s="12" t="s">
        <v>37</v>
      </c>
      <c r="D11" s="12" t="s">
        <v>38</v>
      </c>
    </row>
    <row r="13" ht="17.25" spans="1:5">
      <c r="A13" s="13" t="s">
        <v>89</v>
      </c>
    </row>
    <row r="14" ht="14.75" spans="1:5">
      <c r="A14" s="14" t="s">
        <v>40</v>
      </c>
      <c r="B14" s="14" t="s">
        <v>41</v>
      </c>
      <c r="C14" s="14" t="s">
        <v>42</v>
      </c>
      <c r="D14" s="14" t="s">
        <v>43</v>
      </c>
      <c r="E14" s="14" t="s">
        <v>44</v>
      </c>
    </row>
    <row r="15" ht="14.75" spans="1:5">
      <c r="A15" s="15" t="s">
        <v>13</v>
      </c>
      <c r="B15" s="15" t="s">
        <v>45</v>
      </c>
      <c r="C15" s="15" t="s">
        <v>46</v>
      </c>
      <c r="D15" s="15" t="s">
        <v>47</v>
      </c>
      <c r="E15" s="15" t="s">
        <v>48</v>
      </c>
    </row>
    <row r="17" ht="17.25" spans="1:5">
      <c r="A17" s="13" t="s">
        <v>90</v>
      </c>
    </row>
    <row r="18" ht="14.75" spans="1:5">
      <c r="A18" s="14" t="s">
        <v>50</v>
      </c>
      <c r="B18" s="14" t="s">
        <v>13</v>
      </c>
      <c r="C18" s="14" t="s">
        <v>51</v>
      </c>
      <c r="D18" s="14" t="s">
        <v>52</v>
      </c>
      <c r="E18" s="14" t="s">
        <v>44</v>
      </c>
    </row>
    <row r="19" ht="14.75" spans="1:5">
      <c r="A19" s="15" t="s">
        <v>53</v>
      </c>
      <c r="B19" s="15" t="s">
        <v>42</v>
      </c>
      <c r="C19" s="15" t="s">
        <v>33</v>
      </c>
      <c r="D19" s="15" t="s">
        <v>33</v>
      </c>
      <c r="E19" s="15" t="s">
        <v>54</v>
      </c>
    </row>
    <row r="20" ht="14.75" spans="1:5">
      <c r="A20" s="16" t="s">
        <v>55</v>
      </c>
      <c r="B20" s="16" t="s">
        <v>56</v>
      </c>
      <c r="C20" s="17">
        <v>0.05</v>
      </c>
      <c r="D20" s="16" t="s">
        <v>57</v>
      </c>
      <c r="E20" s="16" t="s">
        <v>58</v>
      </c>
    </row>
    <row r="21" ht="14.75" spans="1:5">
      <c r="A21" s="15" t="s">
        <v>59</v>
      </c>
      <c r="B21" s="15" t="s">
        <v>60</v>
      </c>
      <c r="C21" s="18">
        <v>0.12</v>
      </c>
      <c r="D21" s="15" t="s">
        <v>61</v>
      </c>
      <c r="E21" s="15" t="s">
        <v>62</v>
      </c>
    </row>
    <row r="22" ht="14.75" spans="1:5">
      <c r="A22" s="16" t="s">
        <v>63</v>
      </c>
      <c r="B22" s="16" t="s">
        <v>64</v>
      </c>
      <c r="C22" s="17">
        <v>-0.03</v>
      </c>
      <c r="D22" s="16" t="s">
        <v>65</v>
      </c>
      <c r="E22" s="16" t="s">
        <v>54</v>
      </c>
    </row>
    <row r="24" ht="17.25" spans="1:5">
      <c r="A24" s="13" t="s">
        <v>91</v>
      </c>
    </row>
    <row r="25" ht="14.75" spans="1:5">
      <c r="A25" s="14" t="s">
        <v>40</v>
      </c>
      <c r="B25" s="14" t="s">
        <v>67</v>
      </c>
      <c r="C25" s="14" t="s">
        <v>68</v>
      </c>
      <c r="D25" s="14" t="s">
        <v>69</v>
      </c>
      <c r="E25" s="14" t="s">
        <v>70</v>
      </c>
    </row>
    <row r="26" ht="14.75" spans="1:5">
      <c r="A26" s="15" t="s">
        <v>13</v>
      </c>
      <c r="B26" s="15" t="s">
        <v>71</v>
      </c>
      <c r="C26" s="15" t="s">
        <v>72</v>
      </c>
      <c r="D26" s="15" t="s">
        <v>73</v>
      </c>
      <c r="E26" s="15" t="s">
        <v>74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{192f5072-4c83-4a80-80df-cdfb079561ad}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2f5072-4c83-4a80-80df-cdfb079561a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18" activePane="bottomLeft" state="frozen"/>
      <selection/>
      <selection pane="bottomLeft" activeCell="A25" sqref="A25:E26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16</v>
      </c>
    </row>
    <row r="2" spans="1:5">
      <c r="A2" s="2" t="s">
        <v>92</v>
      </c>
    </row>
    <row r="4" ht="14.5" spans="1:5">
      <c r="A4" s="3" t="s">
        <v>21</v>
      </c>
      <c r="B4" s="4" t="s">
        <v>22</v>
      </c>
      <c r="C4" s="4" t="s">
        <v>22</v>
      </c>
      <c r="D4" s="4" t="s">
        <v>22</v>
      </c>
    </row>
    <row r="5" ht="14.5" spans="1:5">
      <c r="A5" s="5" t="s">
        <v>23</v>
      </c>
      <c r="B5" s="5" t="s">
        <v>24</v>
      </c>
      <c r="C5" s="5" t="s">
        <v>25</v>
      </c>
      <c r="D5" s="5" t="s">
        <v>26</v>
      </c>
    </row>
    <row r="6" ht="14.5" spans="1:5">
      <c r="A6" s="6" t="s">
        <v>93</v>
      </c>
      <c r="B6" s="4">
        <v>12000000</v>
      </c>
      <c r="C6" s="4" t="s">
        <v>28</v>
      </c>
      <c r="D6" s="4" t="s">
        <v>29</v>
      </c>
    </row>
    <row r="7" ht="14.5" spans="1:5">
      <c r="A7" s="6" t="s">
        <v>94</v>
      </c>
      <c r="B7" s="4">
        <v>1440000</v>
      </c>
      <c r="C7" s="4" t="s">
        <v>28</v>
      </c>
      <c r="D7" s="4" t="s">
        <v>29</v>
      </c>
    </row>
    <row r="8" ht="14.5" spans="1:5">
      <c r="A8" s="7" t="s">
        <v>15</v>
      </c>
      <c r="B8" s="8">
        <f>B7/B6</f>
        <v>0.12</v>
      </c>
      <c r="C8" s="9" t="s">
        <v>32</v>
      </c>
      <c r="D8" s="9" t="s">
        <v>33</v>
      </c>
    </row>
    <row r="10" ht="14.5" spans="1:5">
      <c r="A10" s="10" t="s">
        <v>34</v>
      </c>
      <c r="B10" s="11" t="s">
        <v>22</v>
      </c>
      <c r="C10" s="11" t="s">
        <v>22</v>
      </c>
      <c r="D10" s="11" t="s">
        <v>22</v>
      </c>
    </row>
    <row r="11" ht="14.5" spans="1:5">
      <c r="A11" s="12" t="s">
        <v>35</v>
      </c>
      <c r="B11" s="12" t="s">
        <v>95</v>
      </c>
      <c r="C11" s="12" t="s">
        <v>37</v>
      </c>
      <c r="D11" s="12" t="s">
        <v>38</v>
      </c>
    </row>
    <row r="13" ht="17.25" spans="1:5">
      <c r="A13" s="13" t="s">
        <v>96</v>
      </c>
    </row>
    <row r="14" ht="14.75" spans="1:5">
      <c r="A14" s="14" t="s">
        <v>40</v>
      </c>
      <c r="B14" s="14" t="s">
        <v>41</v>
      </c>
      <c r="C14" s="14" t="s">
        <v>42</v>
      </c>
      <c r="D14" s="14" t="s">
        <v>43</v>
      </c>
      <c r="E14" s="14" t="s">
        <v>44</v>
      </c>
    </row>
    <row r="15" ht="14.75" spans="1:5">
      <c r="A15" s="15" t="s">
        <v>16</v>
      </c>
      <c r="B15" s="15" t="s">
        <v>45</v>
      </c>
      <c r="C15" s="15" t="s">
        <v>46</v>
      </c>
      <c r="D15" s="15" t="s">
        <v>47</v>
      </c>
      <c r="E15" s="15" t="s">
        <v>48</v>
      </c>
    </row>
    <row r="17" ht="17.25" spans="1:5">
      <c r="A17" s="13" t="s">
        <v>97</v>
      </c>
    </row>
    <row r="18" ht="14.75" spans="1:5">
      <c r="A18" s="14" t="s">
        <v>50</v>
      </c>
      <c r="B18" s="14" t="s">
        <v>16</v>
      </c>
      <c r="C18" s="14" t="s">
        <v>51</v>
      </c>
      <c r="D18" s="14" t="s">
        <v>52</v>
      </c>
      <c r="E18" s="14" t="s">
        <v>44</v>
      </c>
    </row>
    <row r="19" ht="14.75" spans="1:5">
      <c r="A19" s="15" t="s">
        <v>53</v>
      </c>
      <c r="B19" s="15" t="s">
        <v>42</v>
      </c>
      <c r="C19" s="15" t="s">
        <v>33</v>
      </c>
      <c r="D19" s="15" t="s">
        <v>33</v>
      </c>
      <c r="E19" s="15" t="s">
        <v>54</v>
      </c>
    </row>
    <row r="20" ht="14.75" spans="1:5">
      <c r="A20" s="16" t="s">
        <v>55</v>
      </c>
      <c r="B20" s="16" t="s">
        <v>56</v>
      </c>
      <c r="C20" s="17">
        <v>0.05</v>
      </c>
      <c r="D20" s="16" t="s">
        <v>57</v>
      </c>
      <c r="E20" s="16" t="s">
        <v>58</v>
      </c>
    </row>
    <row r="21" ht="14.75" spans="1:5">
      <c r="A21" s="15" t="s">
        <v>59</v>
      </c>
      <c r="B21" s="15" t="s">
        <v>60</v>
      </c>
      <c r="C21" s="18">
        <v>0.12</v>
      </c>
      <c r="D21" s="15" t="s">
        <v>61</v>
      </c>
      <c r="E21" s="15" t="s">
        <v>62</v>
      </c>
    </row>
    <row r="22" ht="14.75" spans="1:5">
      <c r="A22" s="16" t="s">
        <v>63</v>
      </c>
      <c r="B22" s="16" t="s">
        <v>64</v>
      </c>
      <c r="C22" s="17">
        <v>-0.03</v>
      </c>
      <c r="D22" s="16" t="s">
        <v>65</v>
      </c>
      <c r="E22" s="16" t="s">
        <v>54</v>
      </c>
    </row>
    <row r="24" ht="17.25" spans="1:5">
      <c r="A24" s="13" t="s">
        <v>98</v>
      </c>
    </row>
    <row r="25" ht="14.75" spans="1:5">
      <c r="A25" s="14" t="s">
        <v>40</v>
      </c>
      <c r="B25" s="14" t="s">
        <v>67</v>
      </c>
      <c r="C25" s="14" t="s">
        <v>68</v>
      </c>
      <c r="D25" s="14" t="s">
        <v>69</v>
      </c>
      <c r="E25" s="14" t="s">
        <v>70</v>
      </c>
    </row>
    <row r="26" ht="14.75" spans="1:5">
      <c r="A26" s="15" t="s">
        <v>16</v>
      </c>
      <c r="B26" s="15" t="s">
        <v>71</v>
      </c>
      <c r="C26" s="15" t="s">
        <v>72</v>
      </c>
      <c r="D26" s="15" t="s">
        <v>73</v>
      </c>
      <c r="E26" s="15" t="s">
        <v>74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{1bf7fe54-2b0f-424c-94e3-5a6eecb4bcff}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f7fe54-2b0f-424c-94e3-5a6eecb4bcf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pane ySplit="5" topLeftCell="A15" activePane="bottomLeft" state="frozen"/>
      <selection/>
      <selection pane="bottomLeft" activeCell="A25" sqref="A25:E26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19</v>
      </c>
    </row>
    <row r="2" spans="1:5">
      <c r="A2" s="2" t="s">
        <v>99</v>
      </c>
    </row>
    <row r="4" ht="14.5" spans="1:5">
      <c r="A4" s="3" t="s">
        <v>21</v>
      </c>
      <c r="B4" s="4" t="s">
        <v>22</v>
      </c>
      <c r="C4" s="4" t="s">
        <v>22</v>
      </c>
      <c r="D4" s="4" t="s">
        <v>22</v>
      </c>
    </row>
    <row r="5" ht="14.5" spans="1:5">
      <c r="A5" s="5" t="s">
        <v>23</v>
      </c>
      <c r="B5" s="5" t="s">
        <v>24</v>
      </c>
      <c r="C5" s="5" t="s">
        <v>25</v>
      </c>
      <c r="D5" s="5" t="s">
        <v>26</v>
      </c>
    </row>
    <row r="6" ht="14.5" spans="1:5">
      <c r="A6" s="6" t="s">
        <v>100</v>
      </c>
      <c r="B6" s="4">
        <v>80000</v>
      </c>
      <c r="C6" s="4" t="s">
        <v>28</v>
      </c>
      <c r="D6" s="4" t="s">
        <v>29</v>
      </c>
    </row>
    <row r="7" ht="14.5" spans="1:5">
      <c r="A7" s="6" t="s">
        <v>101</v>
      </c>
      <c r="B7" s="4">
        <v>28000</v>
      </c>
      <c r="C7" s="4" t="s">
        <v>28</v>
      </c>
      <c r="D7" s="4" t="s">
        <v>29</v>
      </c>
    </row>
    <row r="8" ht="14.5" spans="1:5">
      <c r="A8" s="7" t="s">
        <v>18</v>
      </c>
      <c r="B8" s="8">
        <f>B7/B6</f>
        <v>0.35</v>
      </c>
      <c r="C8" s="9" t="s">
        <v>32</v>
      </c>
      <c r="D8" s="9" t="s">
        <v>33</v>
      </c>
    </row>
    <row r="10" ht="14.5" spans="1:5">
      <c r="A10" s="10" t="s">
        <v>34</v>
      </c>
      <c r="B10" s="11" t="s">
        <v>22</v>
      </c>
      <c r="C10" s="11" t="s">
        <v>22</v>
      </c>
      <c r="D10" s="11" t="s">
        <v>22</v>
      </c>
    </row>
    <row r="11" ht="14.5" spans="1:5">
      <c r="A11" s="12" t="s">
        <v>35</v>
      </c>
      <c r="B11" s="12" t="s">
        <v>102</v>
      </c>
      <c r="C11" s="12" t="s">
        <v>37</v>
      </c>
      <c r="D11" s="12" t="s">
        <v>38</v>
      </c>
    </row>
    <row r="13" ht="17.25" spans="1:5">
      <c r="A13" s="13" t="s">
        <v>103</v>
      </c>
    </row>
    <row r="14" ht="14.75" spans="1:5">
      <c r="A14" s="14" t="s">
        <v>40</v>
      </c>
      <c r="B14" s="14" t="s">
        <v>41</v>
      </c>
      <c r="C14" s="14" t="s">
        <v>42</v>
      </c>
      <c r="D14" s="14" t="s">
        <v>43</v>
      </c>
      <c r="E14" s="14" t="s">
        <v>44</v>
      </c>
    </row>
    <row r="15" ht="14.75" spans="1:5">
      <c r="A15" s="15" t="s">
        <v>19</v>
      </c>
      <c r="B15" s="15" t="s">
        <v>45</v>
      </c>
      <c r="C15" s="15" t="s">
        <v>46</v>
      </c>
      <c r="D15" s="15" t="s">
        <v>47</v>
      </c>
      <c r="E15" s="15" t="s">
        <v>48</v>
      </c>
    </row>
    <row r="17" ht="17.25" spans="1:5">
      <c r="A17" s="13" t="s">
        <v>104</v>
      </c>
    </row>
    <row r="18" ht="14.75" spans="1:5">
      <c r="A18" s="14" t="s">
        <v>50</v>
      </c>
      <c r="B18" s="14" t="s">
        <v>19</v>
      </c>
      <c r="C18" s="14" t="s">
        <v>51</v>
      </c>
      <c r="D18" s="14" t="s">
        <v>52</v>
      </c>
      <c r="E18" s="14" t="s">
        <v>44</v>
      </c>
    </row>
    <row r="19" ht="14.75" spans="1:5">
      <c r="A19" s="15" t="s">
        <v>53</v>
      </c>
      <c r="B19" s="15" t="s">
        <v>42</v>
      </c>
      <c r="C19" s="15" t="s">
        <v>33</v>
      </c>
      <c r="D19" s="15" t="s">
        <v>33</v>
      </c>
      <c r="E19" s="15" t="s">
        <v>54</v>
      </c>
    </row>
    <row r="20" ht="14.75" spans="1:5">
      <c r="A20" s="16" t="s">
        <v>55</v>
      </c>
      <c r="B20" s="16" t="s">
        <v>56</v>
      </c>
      <c r="C20" s="17">
        <v>0.05</v>
      </c>
      <c r="D20" s="16" t="s">
        <v>57</v>
      </c>
      <c r="E20" s="16" t="s">
        <v>58</v>
      </c>
    </row>
    <row r="21" ht="14.75" spans="1:5">
      <c r="A21" s="15" t="s">
        <v>59</v>
      </c>
      <c r="B21" s="15" t="s">
        <v>60</v>
      </c>
      <c r="C21" s="18">
        <v>0.12</v>
      </c>
      <c r="D21" s="15" t="s">
        <v>61</v>
      </c>
      <c r="E21" s="15" t="s">
        <v>62</v>
      </c>
    </row>
    <row r="22" ht="14.75" spans="1:5">
      <c r="A22" s="16" t="s">
        <v>63</v>
      </c>
      <c r="B22" s="16" t="s">
        <v>64</v>
      </c>
      <c r="C22" s="17">
        <v>-0.03</v>
      </c>
      <c r="D22" s="16" t="s">
        <v>65</v>
      </c>
      <c r="E22" s="16" t="s">
        <v>54</v>
      </c>
    </row>
    <row r="24" ht="17.25" spans="1:5">
      <c r="A24" s="13" t="s">
        <v>105</v>
      </c>
    </row>
    <row r="25" ht="14.75" spans="1:5">
      <c r="A25" s="14" t="s">
        <v>40</v>
      </c>
      <c r="B25" s="14" t="s">
        <v>67</v>
      </c>
      <c r="C25" s="14" t="s">
        <v>68</v>
      </c>
      <c r="D25" s="14" t="s">
        <v>69</v>
      </c>
      <c r="E25" s="14" t="s">
        <v>70</v>
      </c>
    </row>
    <row r="26" ht="14.75" spans="1:5">
      <c r="A26" s="15" t="s">
        <v>19</v>
      </c>
      <c r="B26" s="15" t="s">
        <v>71</v>
      </c>
      <c r="C26" s="15" t="s">
        <v>72</v>
      </c>
      <c r="D26" s="15" t="s">
        <v>73</v>
      </c>
      <c r="E26" s="15" t="s">
        <v>74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{955504f5-ed20-44b6-ab40-22b5dfeab2b0}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5504f5-ed20-44b6-ab40-22b5dfeab2b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5.1 放款金额</vt:lpstr>
      <vt:lpstr>5.2 在贷余额(AUM)</vt:lpstr>
      <vt:lpstr>5.3 笔均放款金额</vt:lpstr>
      <vt:lpstr>5.4 提前还款率</vt:lpstr>
      <vt:lpstr>5.5 客户活跃度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2026-04-01T03:27:00Z</dcterms:created>
  <dcterms:modified xsi:type="dcterms:W3CDTF">2026-04-01T09:33:27Z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71D9AA996E6545BA9FD3FAF40AB5011B_12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