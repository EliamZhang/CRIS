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 firstSheet="3" activeTab="7"/>
  </bookViews>
  <sheets>
    <sheet name="目录" sheetId="1" r:id="rId1"/>
    <sheet name="6.1 获客成本(CAC)" sheetId="2" r:id="rId2"/>
    <sheet name="6.2 运营成本率" sheetId="3" r:id="rId3"/>
    <sheet name="6.3 净息差(NIM)" sheetId="4" r:id="rId4"/>
    <sheet name="6.4 RAROC" sheetId="5" r:id="rId5"/>
    <sheet name="6.5 资产收益率(ROA)" sheetId="6" r:id="rId6"/>
    <sheet name="6.6 UE%(单位经济模型)" sheetId="7" r:id="rId7"/>
    <sheet name="6.7 CLTV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<sst xmlns="http://schemas.openxmlformats.org/spreadsheetml/2006/main" count="680" uniqueCount="190">
  <si>
    <t>第6章 盈利与效率指标 - 测算Sheet目录</t>
  </si>
  <si>
    <t>序号</t>
  </si>
  <si>
    <t>指标编号</t>
  </si>
  <si>
    <t>指标名称</t>
  </si>
  <si>
    <t>Sheet名称</t>
  </si>
  <si>
    <t>6.1</t>
  </si>
  <si>
    <t>获客成本(CAC)</t>
  </si>
  <si>
    <t>6.1 获客成本(CAC)</t>
  </si>
  <si>
    <t>6.2</t>
  </si>
  <si>
    <t>运营成本率</t>
  </si>
  <si>
    <t>6.2 运营成本率</t>
  </si>
  <si>
    <t>6.3</t>
  </si>
  <si>
    <t>净息差(NIM)</t>
  </si>
  <si>
    <t>6.3 净息差(NIM)</t>
  </si>
  <si>
    <t>6.4</t>
  </si>
  <si>
    <t>RAROC</t>
  </si>
  <si>
    <t>6.4 RAROC</t>
  </si>
  <si>
    <t>6.5</t>
  </si>
  <si>
    <t>资产收益率(ROA)</t>
  </si>
  <si>
    <t>6.5 资产收益率(ROA)</t>
  </si>
  <si>
    <t>6.6</t>
  </si>
  <si>
    <t>UE%(单位经济模型)</t>
  </si>
  <si>
    <t>6.6 UE%(单位经济模型)</t>
  </si>
  <si>
    <t>6.7</t>
  </si>
  <si>
    <t>CLTV</t>
  </si>
  <si>
    <t>6.7 CLTV</t>
  </si>
  <si>
    <t>CAC = 营销总费用 / 新获客数量</t>
  </si>
  <si>
    <t>输入参数</t>
  </si>
  <si>
    <t/>
  </si>
  <si>
    <t>参数名称</t>
  </si>
  <si>
    <t>参数值</t>
  </si>
  <si>
    <t>说明</t>
  </si>
  <si>
    <t>数据来源</t>
  </si>
  <si>
    <t>营销总费用(元)</t>
  </si>
  <si>
    <t>手工输入</t>
  </si>
  <si>
    <t>业务系统</t>
  </si>
  <si>
    <t>新获客数量</t>
  </si>
  <si>
    <t>CAC(元/人)</t>
  </si>
  <si>
    <t>计算结果</t>
  </si>
  <si>
    <t>-</t>
  </si>
  <si>
    <t>*有的按授信通过人生作为分母，有的按交易人数做分母，按需调整</t>
  </si>
  <si>
    <t>参考阈值</t>
  </si>
  <si>
    <t>参考范围</t>
  </si>
  <si>
    <t>LTV/CAC&gt;3</t>
  </si>
  <si>
    <t>来源</t>
  </si>
  <si>
    <t>行业基准</t>
  </si>
  <si>
    <t>【实例0】6.1 获客成本(CAC)日常监控体系搭建</t>
  </si>
  <si>
    <t>指标</t>
  </si>
  <si>
    <t>当前值</t>
  </si>
  <si>
    <t>基准值</t>
  </si>
  <si>
    <t>预警线</t>
  </si>
  <si>
    <t>状态</t>
  </si>
  <si>
    <t>正常范围</t>
  </si>
  <si>
    <t>设定基准</t>
  </si>
  <si>
    <t>上下限</t>
  </si>
  <si>
    <t>监控中</t>
  </si>
  <si>
    <t>* 需要拆渠道</t>
  </si>
  <si>
    <t>【实例1】6.1 获客成本(CAC)异常波动排查</t>
  </si>
  <si>
    <t>日期/维度</t>
  </si>
  <si>
    <t>环比变化</t>
  </si>
  <si>
    <t>绝对变化</t>
  </si>
  <si>
    <t>基准</t>
  </si>
  <si>
    <t>正常</t>
  </si>
  <si>
    <t>Day 1</t>
  </si>
  <si>
    <t>偏离+</t>
  </si>
  <si>
    <t>上升</t>
  </si>
  <si>
    <t>关注</t>
  </si>
  <si>
    <t>Day 2</t>
  </si>
  <si>
    <t>偏离++</t>
  </si>
  <si>
    <t>大幅上升</t>
  </si>
  <si>
    <t>预警</t>
  </si>
  <si>
    <t>Day 3</t>
  </si>
  <si>
    <t>恢复</t>
  </si>
  <si>
    <t>回落</t>
  </si>
  <si>
    <t>【实例2】6.1 获客成本(CAC)策略优化效果验证</t>
  </si>
  <si>
    <t>策略前</t>
  </si>
  <si>
    <t>策略后(1周)</t>
  </si>
  <si>
    <t>策略后(2周)</t>
  </si>
  <si>
    <t>目标</t>
  </si>
  <si>
    <t>基线值</t>
  </si>
  <si>
    <t>观察值1</t>
  </si>
  <si>
    <t>观察值2</t>
  </si>
  <si>
    <t>目标值</t>
  </si>
  <si>
    <t>运营成本率 = 运营总成本 / 放款总额 x 100%</t>
  </si>
  <si>
    <t>运营总成本(元)</t>
  </si>
  <si>
    <t>放款总额(元)</t>
  </si>
  <si>
    <t>&lt; 15%</t>
  </si>
  <si>
    <t>【实例0】6.2 运营成本率日常监控体系搭建</t>
  </si>
  <si>
    <t>【实例1】6.2 运营成本率异常波动排查</t>
  </si>
  <si>
    <t>【实例2】6.2 运营成本率策略优化效果验证</t>
  </si>
  <si>
    <t>NIM = (利息收入 - 资金成本) / 平均生息资产 x 100%</t>
  </si>
  <si>
    <t>利息收入(元)</t>
  </si>
  <si>
    <t>资金成本(元)</t>
  </si>
  <si>
    <t>平均生息资产(元)</t>
  </si>
  <si>
    <t>净息差</t>
  </si>
  <si>
    <t>&gt; 8%</t>
  </si>
  <si>
    <t>【实例0】6.3 净息差(NIM)日常监控体系搭建</t>
  </si>
  <si>
    <t>【实例1】6.3 净息差(NIM)异常波动排查</t>
  </si>
  <si>
    <t>【实例2】6.3 净息差(NIM)策略优化效果验证</t>
  </si>
  <si>
    <t>RAROC = (收入 - 成本 - 预期损失) / 经济资本 x 100%</t>
  </si>
  <si>
    <t>收入(元)</t>
  </si>
  <si>
    <t>成本(元)</t>
  </si>
  <si>
    <t>预期损失(元)</t>
  </si>
  <si>
    <t>经济资本(元)</t>
  </si>
  <si>
    <t>&gt; 15%</t>
  </si>
  <si>
    <t>【实例0】6.4 RAROC日常监控体系搭建</t>
  </si>
  <si>
    <t>【实例1】6.4 RAROC异常波动排查</t>
  </si>
  <si>
    <t>【实例2】6.4 RAROC策略优化效果验证</t>
  </si>
  <si>
    <t>ROA = 净利润 / 平均总资产 x 100%</t>
  </si>
  <si>
    <t>净利润(元)</t>
  </si>
  <si>
    <t>平均总资产(元)</t>
  </si>
  <si>
    <t>ROA</t>
  </si>
  <si>
    <t>&gt; 2%</t>
  </si>
  <si>
    <t>【实例0】6.5 资产收益率(ROA)日常监控体系搭建</t>
  </si>
  <si>
    <t>【实例1】6.5 资产收益率(ROA)异常波动排查</t>
  </si>
  <si>
    <t>【实例2】6.5 资产收益率(ROA)策略优化效果验证</t>
  </si>
  <si>
    <t>UE% = (单笔收入 - 单笔成本 - 单笔预期损失) / 单笔放款金额 x 100%</t>
  </si>
  <si>
    <t>单笔平均收入(元)</t>
  </si>
  <si>
    <r>
      <rPr>
        <sz val="11"/>
        <color theme="1"/>
        <rFont val="宋体"/>
        <charset val="134"/>
      </rPr>
      <t>放款月</t>
    </r>
  </si>
  <si>
    <t>单笔平均成本(元)</t>
  </si>
  <si>
    <r>
      <rPr>
        <sz val="11"/>
        <color theme="1"/>
        <rFont val="宋体"/>
        <charset val="134"/>
      </rPr>
      <t>放款金额</t>
    </r>
  </si>
  <si>
    <t>单笔预期损失(元)</t>
  </si>
  <si>
    <r>
      <rPr>
        <sz val="11"/>
        <color theme="1"/>
        <rFont val="宋体"/>
        <charset val="134"/>
      </rPr>
      <t>平均期限</t>
    </r>
  </si>
  <si>
    <t>单笔放款金额(元)</t>
  </si>
  <si>
    <t>UE%</t>
  </si>
  <si>
    <r>
      <rPr>
        <sz val="11"/>
        <color theme="1"/>
        <rFont val="宋体"/>
        <charset val="134"/>
      </rPr>
      <t>收入</t>
    </r>
  </si>
  <si>
    <r>
      <rPr>
        <sz val="11"/>
        <color theme="1"/>
        <rFont val="宋体"/>
        <charset val="134"/>
      </rPr>
      <t>利息</t>
    </r>
  </si>
  <si>
    <r>
      <rPr>
        <sz val="11"/>
        <color theme="1"/>
        <rFont val="宋体"/>
        <charset val="134"/>
      </rPr>
      <t>罚息</t>
    </r>
  </si>
  <si>
    <r>
      <rPr>
        <sz val="11"/>
        <color theme="1"/>
        <rFont val="宋体"/>
        <charset val="134"/>
      </rPr>
      <t>其他</t>
    </r>
    <r>
      <rPr>
        <sz val="11"/>
        <color theme="1"/>
        <rFont val="Arial"/>
        <charset val="134"/>
      </rPr>
      <t>(</t>
    </r>
    <r>
      <rPr>
        <sz val="11"/>
        <color theme="1"/>
        <rFont val="宋体"/>
        <charset val="134"/>
      </rPr>
      <t>不同业务有差异</t>
    </r>
    <r>
      <rPr>
        <sz val="11"/>
        <color theme="1"/>
        <rFont val="Arial"/>
        <charset val="134"/>
      </rPr>
      <t>)</t>
    </r>
  </si>
  <si>
    <t>转正</t>
  </si>
  <si>
    <r>
      <rPr>
        <sz val="11"/>
        <color theme="1"/>
        <rFont val="宋体"/>
        <charset val="134"/>
      </rPr>
      <t>支出</t>
    </r>
  </si>
  <si>
    <r>
      <rPr>
        <sz val="11"/>
        <color theme="1"/>
        <rFont val="宋体"/>
        <charset val="134"/>
      </rPr>
      <t>资金成本</t>
    </r>
  </si>
  <si>
    <t>【实例0】6.6 UE%(单位经济模型)日常监控体系搭建</t>
  </si>
  <si>
    <r>
      <rPr>
        <sz val="11"/>
        <color theme="1"/>
        <rFont val="宋体"/>
        <charset val="134"/>
      </rPr>
      <t>坏账</t>
    </r>
  </si>
  <si>
    <r>
      <rPr>
        <sz val="11"/>
        <color theme="1"/>
        <rFont val="宋体"/>
        <charset val="134"/>
      </rPr>
      <t>利息损失</t>
    </r>
  </si>
  <si>
    <r>
      <rPr>
        <sz val="11"/>
        <color theme="1"/>
        <rFont val="宋体"/>
        <charset val="134"/>
      </rPr>
      <t>数据成本</t>
    </r>
  </si>
  <si>
    <r>
      <rPr>
        <sz val="11"/>
        <color theme="1"/>
        <rFont val="宋体"/>
        <charset val="134"/>
      </rPr>
      <t>催收成本</t>
    </r>
  </si>
  <si>
    <t>【实例1】6.6 UE%(单位经济模型)异常波动排查</t>
  </si>
  <si>
    <r>
      <rPr>
        <sz val="11"/>
        <color theme="1"/>
        <rFont val="宋体"/>
        <charset val="134"/>
      </rPr>
      <t>运营成本</t>
    </r>
  </si>
  <si>
    <r>
      <rPr>
        <sz val="11"/>
        <color theme="1"/>
        <rFont val="宋体"/>
        <charset val="134"/>
      </rPr>
      <t>市场成本</t>
    </r>
  </si>
  <si>
    <t>【实例2】6.6 UE%(单位经济模型)策略优化效果验证</t>
  </si>
  <si>
    <t>CLTV = ARPU x 客户生命周期 x (1 - 流失率) - 获客成本</t>
  </si>
  <si>
    <t>ARPU(元/月)</t>
  </si>
  <si>
    <t>平均生命周期(月)</t>
  </si>
  <si>
    <t>月流失率</t>
  </si>
  <si>
    <t>UE%如何转化为LTV的UE%?</t>
  </si>
  <si>
    <t>CAC(元)</t>
  </si>
  <si>
    <t>1. 如果是分摊的费用就按分摊来算，如催收成本</t>
  </si>
  <si>
    <t>CLTV(元)</t>
  </si>
  <si>
    <t>2. 按用户来算，如数据成本/市场成本</t>
  </si>
  <si>
    <t>3. 分新老用户和期限来算，如EL/资金成本</t>
  </si>
  <si>
    <t>4. 按照放款月 = 首次交易月 + MobN,拉齐后的UE是否和放宽月一致</t>
  </si>
  <si>
    <t>A</t>
  </si>
  <si>
    <t>交易UE%</t>
  </si>
  <si>
    <t>【实例0】6.7 CLTV日常监控体系搭建</t>
  </si>
  <si>
    <t>首次交易月</t>
  </si>
  <si>
    <t>首次交易用户数</t>
  </si>
  <si>
    <t>Mob0</t>
  </si>
  <si>
    <t>Mob1</t>
  </si>
  <si>
    <t>Mob2</t>
  </si>
  <si>
    <t>Mob3</t>
  </si>
  <si>
    <t>Mob4</t>
  </si>
  <si>
    <t>Mob5</t>
  </si>
  <si>
    <t>Mob6</t>
  </si>
  <si>
    <t>Mob7</t>
  </si>
  <si>
    <t>Mob8</t>
  </si>
  <si>
    <t>Mob9</t>
  </si>
  <si>
    <t>Mob10</t>
  </si>
  <si>
    <t>Mob11</t>
  </si>
  <si>
    <t>【实例0】6.7 CLTV异常波动排查</t>
  </si>
  <si>
    <t>-12%</t>
  </si>
  <si>
    <t>+3%</t>
  </si>
  <si>
    <t>【实例2】6.7 CLTV策略优化效果验证</t>
  </si>
  <si>
    <t>B</t>
  </si>
  <si>
    <t>交易GMV</t>
  </si>
  <si>
    <t>B1:ARPU=月度GMV/月度交易用户数</t>
  </si>
  <si>
    <t>B2:Retention rate%=月度交易用户数/首次交易用户数</t>
  </si>
  <si>
    <t>C</t>
  </si>
  <si>
    <t>UE$ = UE% * GMV = A * B</t>
  </si>
  <si>
    <t>D</t>
  </si>
  <si>
    <t>CLTV=SUM(UE$)/用户数</t>
  </si>
  <si>
    <t>1. 这是没包含获客成本的CAC,如果需要含CAC的哈，每个单元格减掉人均cac</t>
  </si>
  <si>
    <t>2. UE%为放一笔款出去的预计收益</t>
  </si>
  <si>
    <t>3. 此CLTV是按首次放款逻辑，如果要转化为授信的话，则按首次支用率率值转化</t>
  </si>
  <si>
    <t>4. CLTV的概念，如何有转化为其他白名单的话，则即要算获客产品，也要算转化白名单产品</t>
  </si>
  <si>
    <t>如何提高LTV</t>
  </si>
  <si>
    <t>GMV = ARPU*Retention rate</t>
  </si>
  <si>
    <t>1.提高人均借款金额:ARPU是指某个mobN的用户人均交易金额</t>
  </si>
  <si>
    <t>2.提额复借率：Retention rate为MobN的交易用户数/首次交易用户数</t>
  </si>
  <si>
    <t>3.提高UE%:增加收入/减少成本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</si>
</sst>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  <numFmt numFmtId="177" formatCode="_ * #,##0.0_ ;_ * \-#,##0.0_ ;_ * &quot;-&quot;??_ ;_ @_ "/>
    <numFmt numFmtId="178" formatCode="0.0%"/>
  </numFmts>
  <fonts count="35">
    <font>
      <sz val="11"/>
      <color theme="1"/>
      <name val="宋体"/>
      <charset val="134"/>
      <scheme val="minor"/>
    </font>
    <font>
      <b/>
      <sz val="14"/>
      <color rgb="FF1F4E79"/>
      <name val="微软雅黑"/>
      <charset val="134"/>
    </font>
    <font>
      <i/>
      <sz val="9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b/>
      <sz val="10"/>
      <color rgb="FFFFFFFF"/>
      <name val="微软雅黑"/>
      <charset val="134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1F4E79"/>
      <name val="微软雅黑"/>
      <charset val="134"/>
    </font>
    <font>
      <b/>
      <sz val="9.5"/>
      <color rgb="FFFFFFFF"/>
      <name val="微软雅黑"/>
      <charset val="134"/>
    </font>
    <font>
      <sz val="9"/>
      <color theme="1"/>
      <name val="微软雅黑"/>
      <charset val="134"/>
    </font>
    <font>
      <b/>
      <sz val="11"/>
      <color rgb="FFFF0000"/>
      <name val="宋体"/>
      <charset val="134"/>
      <scheme val="minor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sz val="9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2" borderId="7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3" borderId="10" applyNumberFormat="0" applyAlignment="0" applyProtection="0">
      <alignment vertical="center"/>
    </xf>
    <xf numFmtId="0" fontId="24" fillId="14" borderId="11" applyNumberFormat="0" applyAlignment="0" applyProtection="0">
      <alignment vertical="center"/>
    </xf>
    <xf numFmtId="0" fontId="25" fillId="14" borderId="10" applyNumberFormat="0" applyAlignment="0" applyProtection="0">
      <alignment vertical="center"/>
    </xf>
    <xf numFmtId="0" fontId="26" fillId="15" borderId="12" applyNumberFormat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</cellStyleXfs>
  <cellXfs count="5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6" fillId="0" borderId="0" xfId="0" applyFont="1"/>
    <xf numFmtId="0" fontId="3" fillId="4" borderId="1" xfId="0" applyFont="1" applyFill="1" applyBorder="1" applyAlignment="1">
      <alignment horizontal="left" vertical="center" wrapText="1"/>
    </xf>
    <xf numFmtId="3" fontId="3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/>
    <xf numFmtId="0" fontId="9" fillId="6" borderId="2" xfId="0" applyFont="1" applyFill="1" applyBorder="1" applyAlignment="1">
      <alignment horizontal="center" vertical="top" wrapText="1"/>
    </xf>
    <xf numFmtId="14" fontId="0" fillId="0" borderId="0" xfId="0" applyNumberFormat="1"/>
    <xf numFmtId="176" fontId="0" fillId="0" borderId="0" xfId="0" applyNumberFormat="1"/>
    <xf numFmtId="9" fontId="0" fillId="0" borderId="0" xfId="0" applyNumberFormat="1"/>
    <xf numFmtId="10" fontId="0" fillId="0" borderId="0" xfId="0" applyNumberFormat="1"/>
    <xf numFmtId="0" fontId="10" fillId="0" borderId="3" xfId="0" applyFont="1" applyBorder="1" applyAlignment="1">
      <alignment horizontal="center" vertical="top" wrapText="1"/>
    </xf>
    <xf numFmtId="0" fontId="10" fillId="7" borderId="3" xfId="0" applyFont="1" applyFill="1" applyBorder="1" applyAlignment="1">
      <alignment horizontal="center" vertical="top" wrapText="1"/>
    </xf>
    <xf numFmtId="9" fontId="10" fillId="7" borderId="3" xfId="0" applyNumberFormat="1" applyFont="1" applyFill="1" applyBorder="1" applyAlignment="1">
      <alignment horizontal="center" vertical="top" wrapText="1"/>
    </xf>
    <xf numFmtId="9" fontId="10" fillId="0" borderId="3" xfId="0" applyNumberFormat="1" applyFont="1" applyBorder="1" applyAlignment="1">
      <alignment horizontal="center" vertical="top" wrapText="1"/>
    </xf>
    <xf numFmtId="0" fontId="7" fillId="0" borderId="0" xfId="0" applyFont="1"/>
    <xf numFmtId="10" fontId="0" fillId="0" borderId="0" xfId="3" applyNumberFormat="1"/>
    <xf numFmtId="177" fontId="0" fillId="0" borderId="0" xfId="0" applyNumberFormat="1"/>
    <xf numFmtId="0" fontId="11" fillId="8" borderId="0" xfId="0" applyFont="1" applyFill="1"/>
    <xf numFmtId="0" fontId="12" fillId="0" borderId="0" xfId="0" applyFont="1"/>
    <xf numFmtId="0" fontId="12" fillId="0" borderId="0" xfId="0" applyFont="1"/>
    <xf numFmtId="14" fontId="13" fillId="0" borderId="0" xfId="0" applyNumberFormat="1" applyFont="1"/>
    <xf numFmtId="0" fontId="12" fillId="0" borderId="1" xfId="0" applyFont="1" applyBorder="1"/>
    <xf numFmtId="0" fontId="12" fillId="0" borderId="1" xfId="0" applyFont="1" applyBorder="1"/>
    <xf numFmtId="10" fontId="3" fillId="4" borderId="1" xfId="0" applyNumberFormat="1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/>
    </xf>
    <xf numFmtId="0" fontId="12" fillId="9" borderId="1" xfId="0" applyFont="1" applyFill="1" applyBorder="1"/>
    <xf numFmtId="178" fontId="12" fillId="9" borderId="1" xfId="3" applyNumberFormat="1" applyFont="1" applyFill="1" applyBorder="1"/>
    <xf numFmtId="0" fontId="12" fillId="9" borderId="1" xfId="0" applyFont="1" applyFill="1" applyBorder="1" applyAlignment="1">
      <alignment horizontal="center" vertical="center"/>
    </xf>
    <xf numFmtId="0" fontId="12" fillId="0" borderId="4" xfId="0" applyFont="1" applyBorder="1" applyAlignment="1"/>
    <xf numFmtId="0" fontId="12" fillId="0" borderId="5" xfId="0" applyFont="1" applyBorder="1" applyAlignment="1"/>
    <xf numFmtId="0" fontId="12" fillId="0" borderId="6" xfId="0" applyFont="1" applyBorder="1" applyAlignment="1"/>
    <xf numFmtId="0" fontId="12" fillId="10" borderId="1" xfId="0" applyFont="1" applyFill="1" applyBorder="1" applyAlignment="1">
      <alignment horizontal="center" vertical="center"/>
    </xf>
    <xf numFmtId="0" fontId="12" fillId="10" borderId="1" xfId="0" applyFont="1" applyFill="1" applyBorder="1"/>
    <xf numFmtId="178" fontId="12" fillId="10" borderId="1" xfId="3" applyNumberFormat="1" applyFont="1" applyFill="1" applyBorder="1"/>
    <xf numFmtId="0" fontId="12" fillId="10" borderId="1" xfId="0" applyFont="1" applyFill="1" applyBorder="1" applyAlignment="1">
      <alignment horizontal="center" vertical="center"/>
    </xf>
    <xf numFmtId="0" fontId="12" fillId="11" borderId="4" xfId="0" applyFont="1" applyFill="1" applyBorder="1" applyAlignment="1">
      <alignment horizontal="center" vertical="center"/>
    </xf>
    <xf numFmtId="0" fontId="12" fillId="11" borderId="6" xfId="0" applyFont="1" applyFill="1" applyBorder="1" applyAlignment="1">
      <alignment horizontal="center" vertical="center"/>
    </xf>
    <xf numFmtId="178" fontId="12" fillId="11" borderId="1" xfId="3" applyNumberFormat="1" applyFont="1" applyFill="1" applyBorder="1"/>
    <xf numFmtId="178" fontId="3" fillId="4" borderId="1" xfId="0" applyNumberFormat="1" applyFont="1" applyFill="1" applyBorder="1" applyAlignment="1">
      <alignment horizontal="center" vertical="center" wrapText="1"/>
    </xf>
    <xf numFmtId="0" fontId="14" fillId="0" borderId="0" xfId="0" applyFont="1"/>
    <xf numFmtId="9" fontId="10" fillId="0" borderId="3" xfId="0" applyNumberFormat="1" applyFont="1" applyBorder="1" applyAlignment="1" quotePrefix="1">
      <alignment horizontal="center" vertical="top" wrapText="1"/>
    </xf>
    <xf numFmtId="9" fontId="10" fillId="7" borderId="3" xfId="0" applyNumberFormat="1" applyFont="1" applyFill="1" applyBorder="1" applyAlignment="1" quotePrefix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158750</xdr:colOff>
      <xdr:row>5</xdr:row>
      <xdr:rowOff>107950</xdr:rowOff>
    </xdr:from>
    <xdr:to>
      <xdr:col>10</xdr:col>
      <xdr:colOff>177800</xdr:colOff>
      <xdr:row>12</xdr:row>
      <xdr:rowOff>107950</xdr:rowOff>
    </xdr:to>
    <xdr:sp>
      <xdr:nvSpPr>
        <xdr:cNvPr id="2" name="下箭头 1"/>
        <xdr:cNvSpPr/>
      </xdr:nvSpPr>
      <xdr:spPr>
        <a:xfrm>
          <a:off x="7759700" y="1085850"/>
          <a:ext cx="2133600" cy="1282700"/>
        </a:xfrm>
        <a:prstGeom prst="downArrow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323850</xdr:colOff>
      <xdr:row>78</xdr:row>
      <xdr:rowOff>69215</xdr:rowOff>
    </xdr:from>
    <xdr:to>
      <xdr:col>6</xdr:col>
      <xdr:colOff>559435</xdr:colOff>
      <xdr:row>83</xdr:row>
      <xdr:rowOff>69215</xdr:rowOff>
    </xdr:to>
    <xdr:sp>
      <xdr:nvSpPr>
        <xdr:cNvPr id="3" name="下箭头 2"/>
        <xdr:cNvSpPr/>
      </xdr:nvSpPr>
      <xdr:spPr>
        <a:xfrm>
          <a:off x="6470650" y="14280515"/>
          <a:ext cx="235585" cy="889000"/>
        </a:xfrm>
        <a:prstGeom prst="downArrow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21</xdr:col>
      <xdr:colOff>66040</xdr:colOff>
      <xdr:row>34</xdr:row>
      <xdr:rowOff>147955</xdr:rowOff>
    </xdr:from>
    <xdr:to>
      <xdr:col>24</xdr:col>
      <xdr:colOff>73025</xdr:colOff>
      <xdr:row>36</xdr:row>
      <xdr:rowOff>36195</xdr:rowOff>
    </xdr:to>
    <xdr:sp>
      <xdr:nvSpPr>
        <xdr:cNvPr id="4" name="右箭头 3"/>
        <xdr:cNvSpPr/>
      </xdr:nvSpPr>
      <xdr:spPr>
        <a:xfrm>
          <a:off x="19465290" y="6536055"/>
          <a:ext cx="1892935" cy="243840"/>
        </a:xfrm>
        <a:prstGeom prst="rightArrow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L8" sqref="L8"/>
    </sheetView>
  </sheetViews>
  <sheetFormatPr defaultColWidth="9" defaultRowHeight="14" outlineLevelCol="3"/>
  <cols>
    <col min="1" max="1" width="8" customWidth="1"/>
    <col min="2" max="2" width="12" customWidth="1"/>
    <col min="3" max="3" width="25" customWidth="1"/>
    <col min="4" max="4" width="30" customWidth="1"/>
  </cols>
  <sheetData>
    <row r="1" ht="20" spans="1:4">
      <c r="A1" s="1" t="s">
        <v>0</v>
      </c>
    </row>
    <row r="3" ht="14.5" spans="1:4">
      <c r="A3" s="5" t="s">
        <v>1</v>
      </c>
      <c r="B3" s="5" t="s">
        <v>2</v>
      </c>
      <c r="C3" s="5" t="s">
        <v>3</v>
      </c>
      <c r="D3" s="5" t="s">
        <v>4</v>
      </c>
    </row>
    <row r="4" ht="14.5" spans="1:4">
      <c r="A4" s="13">
        <v>1</v>
      </c>
      <c r="B4" s="13" t="s">
        <v>5</v>
      </c>
      <c r="C4" s="13" t="s">
        <v>6</v>
      </c>
      <c r="D4" s="13" t="s">
        <v>7</v>
      </c>
    </row>
    <row r="5" ht="14.5" spans="1:4">
      <c r="A5" s="13">
        <v>2</v>
      </c>
      <c r="B5" s="13" t="s">
        <v>8</v>
      </c>
      <c r="C5" s="13" t="s">
        <v>9</v>
      </c>
      <c r="D5" s="13" t="s">
        <v>10</v>
      </c>
    </row>
    <row r="6" ht="14.5" spans="1:4">
      <c r="A6" s="13">
        <v>3</v>
      </c>
      <c r="B6" s="13" t="s">
        <v>11</v>
      </c>
      <c r="C6" s="13" t="s">
        <v>12</v>
      </c>
      <c r="D6" s="13" t="s">
        <v>13</v>
      </c>
    </row>
    <row r="7" ht="14.5" spans="1:4">
      <c r="A7" s="13">
        <v>4</v>
      </c>
      <c r="B7" s="13" t="s">
        <v>14</v>
      </c>
      <c r="C7" s="13" t="s">
        <v>15</v>
      </c>
      <c r="D7" s="13" t="s">
        <v>16</v>
      </c>
    </row>
    <row r="8" ht="14.5" spans="1:4">
      <c r="A8" s="13">
        <v>5</v>
      </c>
      <c r="B8" s="13" t="s">
        <v>17</v>
      </c>
      <c r="C8" s="13" t="s">
        <v>18</v>
      </c>
      <c r="D8" s="13" t="s">
        <v>19</v>
      </c>
    </row>
    <row r="9" ht="14.5" spans="1:4">
      <c r="A9" s="13">
        <v>6</v>
      </c>
      <c r="B9" s="13" t="s">
        <v>20</v>
      </c>
      <c r="C9" s="13" t="s">
        <v>21</v>
      </c>
      <c r="D9" s="13" t="s">
        <v>22</v>
      </c>
    </row>
    <row r="10" ht="14.5" spans="1:4">
      <c r="A10" s="13">
        <v>7</v>
      </c>
      <c r="B10" s="13" t="s">
        <v>23</v>
      </c>
      <c r="C10" s="13" t="s">
        <v>24</v>
      </c>
      <c r="D10" s="13" t="s">
        <v>25</v>
      </c>
    </row>
  </sheetData>
  <mergeCells count="1">
    <mergeCell ref="A1:D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workbookViewId="0">
      <pane ySplit="5" topLeftCell="A21" activePane="bottomLeft" state="frozen"/>
      <selection/>
      <selection pane="bottomLeft" activeCell="A26" sqref="A26:E27"/>
    </sheetView>
  </sheetViews>
  <sheetFormatPr defaultColWidth="9" defaultRowHeight="14" outlineLevelCol="4"/>
  <cols>
    <col min="1" max="2" width="20" customWidth="1"/>
    <col min="3" max="4" width="15" customWidth="1"/>
  </cols>
  <sheetData>
    <row r="1" ht="20" spans="1:5">
      <c r="A1" s="1" t="s">
        <v>7</v>
      </c>
    </row>
    <row r="2" spans="1:5">
      <c r="A2" s="2" t="s">
        <v>26</v>
      </c>
    </row>
    <row r="4" ht="14.5" spans="1:5">
      <c r="A4" s="3" t="s">
        <v>27</v>
      </c>
      <c r="B4" s="4" t="s">
        <v>28</v>
      </c>
      <c r="C4" s="4" t="s">
        <v>28</v>
      </c>
      <c r="D4" s="4" t="s">
        <v>28</v>
      </c>
    </row>
    <row r="5" ht="14.5" spans="1:5">
      <c r="A5" s="5" t="s">
        <v>29</v>
      </c>
      <c r="B5" s="5" t="s">
        <v>30</v>
      </c>
      <c r="C5" s="5" t="s">
        <v>31</v>
      </c>
      <c r="D5" s="5" t="s">
        <v>32</v>
      </c>
    </row>
    <row r="6" ht="14.5" spans="1:5">
      <c r="A6" s="6" t="s">
        <v>33</v>
      </c>
      <c r="B6" s="4">
        <v>2250000</v>
      </c>
      <c r="C6" s="4" t="s">
        <v>34</v>
      </c>
      <c r="D6" s="4" t="s">
        <v>35</v>
      </c>
    </row>
    <row r="7" ht="14.5" spans="1:5">
      <c r="A7" s="6" t="s">
        <v>36</v>
      </c>
      <c r="B7" s="4">
        <v>4500</v>
      </c>
      <c r="C7" s="4" t="s">
        <v>34</v>
      </c>
      <c r="D7" s="4" t="s">
        <v>35</v>
      </c>
    </row>
    <row r="8" ht="14.5" spans="1:5">
      <c r="A8" s="8" t="s">
        <v>37</v>
      </c>
      <c r="B8" s="9">
        <f>B6/B7</f>
        <v>500</v>
      </c>
      <c r="C8" s="10" t="s">
        <v>38</v>
      </c>
      <c r="D8" s="10" t="s">
        <v>39</v>
      </c>
    </row>
    <row r="9" spans="1:5">
      <c r="A9" s="50" t="s">
        <v>40</v>
      </c>
    </row>
    <row r="10" ht="14.5" spans="1:5">
      <c r="A10" s="11" t="s">
        <v>41</v>
      </c>
      <c r="B10" s="12" t="s">
        <v>28</v>
      </c>
      <c r="C10" s="12" t="s">
        <v>28</v>
      </c>
      <c r="D10" s="12" t="s">
        <v>28</v>
      </c>
    </row>
    <row r="11" ht="14.5" spans="1:5">
      <c r="A11" s="13" t="s">
        <v>42</v>
      </c>
      <c r="B11" s="13" t="s">
        <v>43</v>
      </c>
      <c r="C11" s="13" t="s">
        <v>44</v>
      </c>
      <c r="D11" s="13" t="s">
        <v>45</v>
      </c>
    </row>
    <row r="13" ht="17.25" spans="1:5">
      <c r="A13" s="15" t="s">
        <v>46</v>
      </c>
    </row>
    <row r="14" ht="14.75" spans="1:5">
      <c r="A14" s="16" t="s">
        <v>47</v>
      </c>
      <c r="B14" s="16" t="s">
        <v>48</v>
      </c>
      <c r="C14" s="16" t="s">
        <v>49</v>
      </c>
      <c r="D14" s="16" t="s">
        <v>50</v>
      </c>
      <c r="E14" s="16" t="s">
        <v>51</v>
      </c>
    </row>
    <row r="15" ht="14.75" spans="1:5">
      <c r="A15" s="21" t="s">
        <v>7</v>
      </c>
      <c r="B15" s="21" t="s">
        <v>52</v>
      </c>
      <c r="C15" s="21" t="s">
        <v>53</v>
      </c>
      <c r="D15" s="21" t="s">
        <v>54</v>
      </c>
      <c r="E15" s="21" t="s">
        <v>55</v>
      </c>
    </row>
    <row r="16" spans="1:5">
      <c r="A16" s="7" t="s">
        <v>56</v>
      </c>
    </row>
    <row r="18" ht="17.25" spans="1:5">
      <c r="A18" s="15" t="s">
        <v>57</v>
      </c>
    </row>
    <row r="19" ht="14.75" spans="1:5">
      <c r="A19" s="16" t="s">
        <v>58</v>
      </c>
      <c r="B19" s="16" t="s">
        <v>7</v>
      </c>
      <c r="C19" s="16" t="s">
        <v>59</v>
      </c>
      <c r="D19" s="16" t="s">
        <v>60</v>
      </c>
      <c r="E19" s="16" t="s">
        <v>51</v>
      </c>
    </row>
    <row r="20" ht="14.75" spans="1:5">
      <c r="A20" s="21" t="s">
        <v>61</v>
      </c>
      <c r="B20" s="21" t="s">
        <v>49</v>
      </c>
      <c r="C20" s="21" t="s">
        <v>39</v>
      </c>
      <c r="D20" s="21" t="s">
        <v>39</v>
      </c>
      <c r="E20" s="21" t="s">
        <v>62</v>
      </c>
    </row>
    <row r="21" ht="14.75" spans="1:5">
      <c r="A21" s="22" t="s">
        <v>63</v>
      </c>
      <c r="B21" s="22" t="s">
        <v>64</v>
      </c>
      <c r="C21" s="23">
        <v>0.05</v>
      </c>
      <c r="D21" s="22" t="s">
        <v>65</v>
      </c>
      <c r="E21" s="22" t="s">
        <v>66</v>
      </c>
    </row>
    <row r="22" ht="14.75" spans="1:5">
      <c r="A22" s="21" t="s">
        <v>67</v>
      </c>
      <c r="B22" s="21" t="s">
        <v>68</v>
      </c>
      <c r="C22" s="24">
        <v>0.12</v>
      </c>
      <c r="D22" s="21" t="s">
        <v>69</v>
      </c>
      <c r="E22" s="21" t="s">
        <v>70</v>
      </c>
    </row>
    <row r="23" ht="14.75" spans="1:5">
      <c r="A23" s="22" t="s">
        <v>71</v>
      </c>
      <c r="B23" s="22" t="s">
        <v>72</v>
      </c>
      <c r="C23" s="23">
        <v>-0.03</v>
      </c>
      <c r="D23" s="22" t="s">
        <v>73</v>
      </c>
      <c r="E23" s="22" t="s">
        <v>62</v>
      </c>
    </row>
    <row r="25" ht="17.25" spans="1:5">
      <c r="A25" s="15" t="s">
        <v>74</v>
      </c>
    </row>
    <row r="26" ht="14.75" spans="1:5">
      <c r="A26" s="16" t="s">
        <v>47</v>
      </c>
      <c r="B26" s="16" t="s">
        <v>75</v>
      </c>
      <c r="C26" s="16" t="s">
        <v>76</v>
      </c>
      <c r="D26" s="16" t="s">
        <v>77</v>
      </c>
      <c r="E26" s="16" t="s">
        <v>78</v>
      </c>
    </row>
    <row r="27" ht="14.75" spans="1:5">
      <c r="A27" s="21" t="s">
        <v>7</v>
      </c>
      <c r="B27" s="21" t="s">
        <v>79</v>
      </c>
      <c r="C27" s="21" t="s">
        <v>80</v>
      </c>
      <c r="D27" s="21" t="s">
        <v>81</v>
      </c>
      <c r="E27" s="21" t="s">
        <v>82</v>
      </c>
    </row>
  </sheetData>
  <mergeCells count="2">
    <mergeCell ref="A1:D1"/>
    <mergeCell ref="A2:D2"/>
  </mergeCells>
  <conditionalFormatting sqref="B8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{f10f4a95-1a2d-4935-bd71-8ced35a84e26}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0f4a95-1a2d-4935-bd71-8ced35a84e26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B8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workbookViewId="0">
      <pane ySplit="5" topLeftCell="A21" activePane="bottomLeft" state="frozen"/>
      <selection/>
      <selection pane="bottomLeft" activeCell="A25" sqref="A25:E26"/>
    </sheetView>
  </sheetViews>
  <sheetFormatPr defaultColWidth="9" defaultRowHeight="14" outlineLevelCol="4"/>
  <cols>
    <col min="1" max="2" width="20" customWidth="1"/>
    <col min="3" max="4" width="15" customWidth="1"/>
  </cols>
  <sheetData>
    <row r="1" ht="20" spans="1:5">
      <c r="A1" s="1" t="s">
        <v>10</v>
      </c>
    </row>
    <row r="2" spans="1:5">
      <c r="A2" s="2" t="s">
        <v>83</v>
      </c>
    </row>
    <row r="4" ht="14.5" spans="1:5">
      <c r="A4" s="3" t="s">
        <v>27</v>
      </c>
      <c r="B4" s="4" t="s">
        <v>28</v>
      </c>
      <c r="C4" s="4" t="s">
        <v>28</v>
      </c>
      <c r="D4" s="4" t="s">
        <v>28</v>
      </c>
    </row>
    <row r="5" ht="14.5" spans="1:5">
      <c r="A5" s="5" t="s">
        <v>29</v>
      </c>
      <c r="B5" s="5" t="s">
        <v>30</v>
      </c>
      <c r="C5" s="5" t="s">
        <v>31</v>
      </c>
      <c r="D5" s="5" t="s">
        <v>32</v>
      </c>
    </row>
    <row r="6" ht="14.5" spans="1:5">
      <c r="A6" s="6" t="s">
        <v>84</v>
      </c>
      <c r="B6" s="4">
        <v>2430000</v>
      </c>
      <c r="C6" s="4" t="s">
        <v>34</v>
      </c>
      <c r="D6" s="4" t="s">
        <v>35</v>
      </c>
    </row>
    <row r="7" ht="14.5" spans="1:5">
      <c r="A7" s="6" t="s">
        <v>85</v>
      </c>
      <c r="B7" s="4">
        <v>16200000</v>
      </c>
      <c r="C7" s="4" t="s">
        <v>34</v>
      </c>
      <c r="D7" s="4" t="s">
        <v>35</v>
      </c>
    </row>
    <row r="8" ht="14.5" spans="1:5">
      <c r="A8" s="8" t="s">
        <v>9</v>
      </c>
      <c r="B8" s="49">
        <f>B6/B7</f>
        <v>0.15</v>
      </c>
      <c r="C8" s="10" t="s">
        <v>38</v>
      </c>
      <c r="D8" s="10" t="s">
        <v>39</v>
      </c>
    </row>
    <row r="10" ht="14.5" spans="1:5">
      <c r="A10" s="11" t="s">
        <v>41</v>
      </c>
      <c r="B10" s="12" t="s">
        <v>28</v>
      </c>
      <c r="C10" s="12" t="s">
        <v>28</v>
      </c>
      <c r="D10" s="12" t="s">
        <v>28</v>
      </c>
    </row>
    <row r="11" ht="14.5" spans="1:5">
      <c r="A11" s="13" t="s">
        <v>42</v>
      </c>
      <c r="B11" s="13" t="s">
        <v>86</v>
      </c>
      <c r="C11" s="13" t="s">
        <v>44</v>
      </c>
      <c r="D11" s="13" t="s">
        <v>45</v>
      </c>
    </row>
    <row r="13" ht="17.25" spans="1:5">
      <c r="A13" s="15" t="s">
        <v>87</v>
      </c>
    </row>
    <row r="14" ht="14.75" spans="1:5">
      <c r="A14" s="16" t="s">
        <v>47</v>
      </c>
      <c r="B14" s="16" t="s">
        <v>48</v>
      </c>
      <c r="C14" s="16" t="s">
        <v>49</v>
      </c>
      <c r="D14" s="16" t="s">
        <v>50</v>
      </c>
      <c r="E14" s="16" t="s">
        <v>51</v>
      </c>
    </row>
    <row r="15" ht="14.75" spans="1:5">
      <c r="A15" s="21" t="s">
        <v>10</v>
      </c>
      <c r="B15" s="21" t="s">
        <v>52</v>
      </c>
      <c r="C15" s="21" t="s">
        <v>53</v>
      </c>
      <c r="D15" s="21" t="s">
        <v>54</v>
      </c>
      <c r="E15" s="21" t="s">
        <v>55</v>
      </c>
    </row>
    <row r="17" ht="17.25" spans="1:5">
      <c r="A17" s="15" t="s">
        <v>88</v>
      </c>
    </row>
    <row r="18" ht="14.75" spans="1:5">
      <c r="A18" s="16" t="s">
        <v>58</v>
      </c>
      <c r="B18" s="16" t="s">
        <v>10</v>
      </c>
      <c r="C18" s="16" t="s">
        <v>59</v>
      </c>
      <c r="D18" s="16" t="s">
        <v>60</v>
      </c>
      <c r="E18" s="16" t="s">
        <v>51</v>
      </c>
    </row>
    <row r="19" ht="14.75" spans="1:5">
      <c r="A19" s="21" t="s">
        <v>61</v>
      </c>
      <c r="B19" s="21" t="s">
        <v>49</v>
      </c>
      <c r="C19" s="21" t="s">
        <v>39</v>
      </c>
      <c r="D19" s="21" t="s">
        <v>39</v>
      </c>
      <c r="E19" s="21" t="s">
        <v>62</v>
      </c>
    </row>
    <row r="20" ht="14.75" spans="1:5">
      <c r="A20" s="22" t="s">
        <v>63</v>
      </c>
      <c r="B20" s="22" t="s">
        <v>64</v>
      </c>
      <c r="C20" s="23">
        <v>0.05</v>
      </c>
      <c r="D20" s="22" t="s">
        <v>65</v>
      </c>
      <c r="E20" s="22" t="s">
        <v>66</v>
      </c>
    </row>
    <row r="21" ht="14.75" spans="1:5">
      <c r="A21" s="21" t="s">
        <v>67</v>
      </c>
      <c r="B21" s="21" t="s">
        <v>68</v>
      </c>
      <c r="C21" s="24">
        <v>0.12</v>
      </c>
      <c r="D21" s="21" t="s">
        <v>69</v>
      </c>
      <c r="E21" s="21" t="s">
        <v>70</v>
      </c>
    </row>
    <row r="22" ht="14.75" spans="1:5">
      <c r="A22" s="22" t="s">
        <v>71</v>
      </c>
      <c r="B22" s="22" t="s">
        <v>72</v>
      </c>
      <c r="C22" s="23">
        <v>-0.03</v>
      </c>
      <c r="D22" s="22" t="s">
        <v>73</v>
      </c>
      <c r="E22" s="22" t="s">
        <v>62</v>
      </c>
    </row>
    <row r="24" ht="17.25" spans="1:5">
      <c r="A24" s="15" t="s">
        <v>89</v>
      </c>
    </row>
    <row r="25" ht="14.75" spans="1:5">
      <c r="A25" s="16" t="s">
        <v>47</v>
      </c>
      <c r="B25" s="16" t="s">
        <v>75</v>
      </c>
      <c r="C25" s="16" t="s">
        <v>76</v>
      </c>
      <c r="D25" s="16" t="s">
        <v>77</v>
      </c>
      <c r="E25" s="16" t="s">
        <v>78</v>
      </c>
    </row>
    <row r="26" ht="14.75" spans="1:5">
      <c r="A26" s="21" t="s">
        <v>10</v>
      </c>
      <c r="B26" s="21" t="s">
        <v>79</v>
      </c>
      <c r="C26" s="21" t="s">
        <v>80</v>
      </c>
      <c r="D26" s="21" t="s">
        <v>81</v>
      </c>
      <c r="E26" s="21" t="s">
        <v>82</v>
      </c>
    </row>
  </sheetData>
  <mergeCells count="2">
    <mergeCell ref="A1:D1"/>
    <mergeCell ref="A2:D2"/>
  </mergeCells>
  <conditionalFormatting sqref="B8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{e8689127-606b-4993-b196-01bd66363b17}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8689127-606b-4993-b196-01bd66363b17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B8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workbookViewId="0">
      <pane ySplit="5" topLeftCell="A15" activePane="bottomLeft" state="frozen"/>
      <selection/>
      <selection pane="bottomLeft" activeCell="A26" sqref="A26:E27"/>
    </sheetView>
  </sheetViews>
  <sheetFormatPr defaultColWidth="9" defaultRowHeight="14" outlineLevelCol="4"/>
  <cols>
    <col min="1" max="2" width="20" customWidth="1"/>
    <col min="3" max="4" width="15" customWidth="1"/>
  </cols>
  <sheetData>
    <row r="1" ht="20" spans="1:5">
      <c r="A1" s="1" t="s">
        <v>13</v>
      </c>
    </row>
    <row r="2" spans="1:5">
      <c r="A2" s="2" t="s">
        <v>90</v>
      </c>
    </row>
    <row r="4" ht="14.5" spans="1:5">
      <c r="A4" s="3" t="s">
        <v>27</v>
      </c>
      <c r="B4" s="4" t="s">
        <v>28</v>
      </c>
      <c r="C4" s="4" t="s">
        <v>28</v>
      </c>
      <c r="D4" s="4" t="s">
        <v>28</v>
      </c>
    </row>
    <row r="5" ht="14.5" spans="1:5">
      <c r="A5" s="5" t="s">
        <v>29</v>
      </c>
      <c r="B5" s="5" t="s">
        <v>30</v>
      </c>
      <c r="C5" s="5" t="s">
        <v>31</v>
      </c>
      <c r="D5" s="5" t="s">
        <v>32</v>
      </c>
    </row>
    <row r="6" ht="14.5" spans="1:5">
      <c r="A6" s="6" t="s">
        <v>91</v>
      </c>
      <c r="B6" s="4">
        <v>2916000</v>
      </c>
      <c r="C6" s="4" t="s">
        <v>34</v>
      </c>
      <c r="D6" s="4" t="s">
        <v>35</v>
      </c>
    </row>
    <row r="7" ht="14.5" spans="1:5">
      <c r="A7" s="6" t="s">
        <v>92</v>
      </c>
      <c r="B7" s="4">
        <v>1296000</v>
      </c>
      <c r="C7" s="4" t="s">
        <v>34</v>
      </c>
      <c r="D7" s="4" t="s">
        <v>35</v>
      </c>
    </row>
    <row r="8" ht="14.5" spans="1:5">
      <c r="A8" s="6" t="s">
        <v>93</v>
      </c>
      <c r="B8" s="4">
        <v>190000000</v>
      </c>
      <c r="C8" s="4" t="s">
        <v>34</v>
      </c>
      <c r="D8" s="4" t="s">
        <v>35</v>
      </c>
    </row>
    <row r="9" ht="14.5" spans="1:5">
      <c r="A9" s="8" t="s">
        <v>94</v>
      </c>
      <c r="B9" s="34">
        <f>(B6-B7)/B8</f>
        <v>0.00852631578947368</v>
      </c>
      <c r="C9" s="10" t="s">
        <v>38</v>
      </c>
      <c r="D9" s="10" t="s">
        <v>39</v>
      </c>
    </row>
    <row r="11" ht="14.5" spans="1:5">
      <c r="A11" s="11" t="s">
        <v>41</v>
      </c>
      <c r="B11" s="12" t="s">
        <v>28</v>
      </c>
      <c r="C11" s="12" t="s">
        <v>28</v>
      </c>
      <c r="D11" s="12" t="s">
        <v>28</v>
      </c>
    </row>
    <row r="12" ht="14.5" spans="1:5">
      <c r="A12" s="13" t="s">
        <v>42</v>
      </c>
      <c r="B12" s="13" t="s">
        <v>95</v>
      </c>
      <c r="C12" s="13" t="s">
        <v>44</v>
      </c>
      <c r="D12" s="13" t="s">
        <v>45</v>
      </c>
    </row>
    <row r="14" ht="17.25" spans="1:5">
      <c r="A14" s="15" t="s">
        <v>96</v>
      </c>
    </row>
    <row r="15" ht="14.75" spans="1:5">
      <c r="A15" s="16" t="s">
        <v>47</v>
      </c>
      <c r="B15" s="16" t="s">
        <v>48</v>
      </c>
      <c r="C15" s="16" t="s">
        <v>49</v>
      </c>
      <c r="D15" s="16" t="s">
        <v>50</v>
      </c>
      <c r="E15" s="16" t="s">
        <v>51</v>
      </c>
    </row>
    <row r="16" ht="14.75" spans="1:5">
      <c r="A16" s="21" t="s">
        <v>13</v>
      </c>
      <c r="B16" s="21" t="s">
        <v>52</v>
      </c>
      <c r="C16" s="21" t="s">
        <v>53</v>
      </c>
      <c r="D16" s="21" t="s">
        <v>54</v>
      </c>
      <c r="E16" s="21" t="s">
        <v>55</v>
      </c>
    </row>
    <row r="18" ht="17.25" spans="1:5">
      <c r="A18" s="15" t="s">
        <v>97</v>
      </c>
    </row>
    <row r="19" ht="14.75" spans="1:5">
      <c r="A19" s="16" t="s">
        <v>58</v>
      </c>
      <c r="B19" s="16" t="s">
        <v>13</v>
      </c>
      <c r="C19" s="16" t="s">
        <v>59</v>
      </c>
      <c r="D19" s="16" t="s">
        <v>60</v>
      </c>
      <c r="E19" s="16" t="s">
        <v>51</v>
      </c>
    </row>
    <row r="20" ht="14.75" spans="1:5">
      <c r="A20" s="21" t="s">
        <v>61</v>
      </c>
      <c r="B20" s="21" t="s">
        <v>49</v>
      </c>
      <c r="C20" s="21" t="s">
        <v>39</v>
      </c>
      <c r="D20" s="21" t="s">
        <v>39</v>
      </c>
      <c r="E20" s="21" t="s">
        <v>62</v>
      </c>
    </row>
    <row r="21" ht="14.75" spans="1:5">
      <c r="A21" s="22" t="s">
        <v>63</v>
      </c>
      <c r="B21" s="22" t="s">
        <v>64</v>
      </c>
      <c r="C21" s="23">
        <v>0.05</v>
      </c>
      <c r="D21" s="22" t="s">
        <v>65</v>
      </c>
      <c r="E21" s="22" t="s">
        <v>66</v>
      </c>
    </row>
    <row r="22" ht="14.75" spans="1:5">
      <c r="A22" s="21" t="s">
        <v>67</v>
      </c>
      <c r="B22" s="21" t="s">
        <v>68</v>
      </c>
      <c r="C22" s="24">
        <v>0.12</v>
      </c>
      <c r="D22" s="21" t="s">
        <v>69</v>
      </c>
      <c r="E22" s="21" t="s">
        <v>70</v>
      </c>
    </row>
    <row r="23" ht="14.75" spans="1:5">
      <c r="A23" s="22" t="s">
        <v>71</v>
      </c>
      <c r="B23" s="22" t="s">
        <v>72</v>
      </c>
      <c r="C23" s="23">
        <v>-0.03</v>
      </c>
      <c r="D23" s="22" t="s">
        <v>73</v>
      </c>
      <c r="E23" s="22" t="s">
        <v>62</v>
      </c>
    </row>
    <row r="25" ht="17.25" spans="1:5">
      <c r="A25" s="15" t="s">
        <v>98</v>
      </c>
    </row>
    <row r="26" ht="14.75" spans="1:5">
      <c r="A26" s="16" t="s">
        <v>47</v>
      </c>
      <c r="B26" s="16" t="s">
        <v>75</v>
      </c>
      <c r="C26" s="16" t="s">
        <v>76</v>
      </c>
      <c r="D26" s="16" t="s">
        <v>77</v>
      </c>
      <c r="E26" s="16" t="s">
        <v>78</v>
      </c>
    </row>
    <row r="27" ht="14.75" spans="1:5">
      <c r="A27" s="21" t="s">
        <v>13</v>
      </c>
      <c r="B27" s="21" t="s">
        <v>79</v>
      </c>
      <c r="C27" s="21" t="s">
        <v>80</v>
      </c>
      <c r="D27" s="21" t="s">
        <v>81</v>
      </c>
      <c r="E27" s="21" t="s">
        <v>82</v>
      </c>
    </row>
  </sheetData>
  <mergeCells count="2">
    <mergeCell ref="A1:D1"/>
    <mergeCell ref="A2:D2"/>
  </mergeCells>
  <conditionalFormatting sqref="B9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{69e1f931-7a73-41f1-8175-fa58dd193f0b}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9e1f931-7a73-41f1-8175-fa58dd193f0b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B9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workbookViewId="0">
      <pane ySplit="5" topLeftCell="A18" activePane="bottomLeft" state="frozen"/>
      <selection/>
      <selection pane="bottomLeft" activeCell="A27" sqref="A27:E28"/>
    </sheetView>
  </sheetViews>
  <sheetFormatPr defaultColWidth="9" defaultRowHeight="14" outlineLevelCol="4"/>
  <cols>
    <col min="1" max="2" width="20" customWidth="1"/>
    <col min="3" max="4" width="15" customWidth="1"/>
  </cols>
  <sheetData>
    <row r="1" ht="20" spans="1:5">
      <c r="A1" s="1" t="s">
        <v>16</v>
      </c>
    </row>
    <row r="2" spans="1:5">
      <c r="A2" s="2" t="s">
        <v>99</v>
      </c>
    </row>
    <row r="4" ht="14.5" spans="1:5">
      <c r="A4" s="3" t="s">
        <v>27</v>
      </c>
      <c r="B4" s="4" t="s">
        <v>28</v>
      </c>
      <c r="C4" s="4" t="s">
        <v>28</v>
      </c>
      <c r="D4" s="4" t="s">
        <v>28</v>
      </c>
    </row>
    <row r="5" ht="14.5" spans="1:5">
      <c r="A5" s="5" t="s">
        <v>29</v>
      </c>
      <c r="B5" s="5" t="s">
        <v>30</v>
      </c>
      <c r="C5" s="5" t="s">
        <v>31</v>
      </c>
      <c r="D5" s="5" t="s">
        <v>32</v>
      </c>
    </row>
    <row r="6" ht="14.5" spans="1:5">
      <c r="A6" s="6" t="s">
        <v>100</v>
      </c>
      <c r="B6" s="4">
        <v>2916000</v>
      </c>
      <c r="C6" s="4" t="s">
        <v>34</v>
      </c>
      <c r="D6" s="4" t="s">
        <v>35</v>
      </c>
    </row>
    <row r="7" ht="14.5" spans="1:5">
      <c r="A7" s="6" t="s">
        <v>101</v>
      </c>
      <c r="B7" s="4">
        <v>1726000</v>
      </c>
      <c r="C7" s="4" t="s">
        <v>34</v>
      </c>
      <c r="D7" s="4" t="s">
        <v>35</v>
      </c>
    </row>
    <row r="8" ht="14.5" spans="1:5">
      <c r="A8" s="6" t="s">
        <v>102</v>
      </c>
      <c r="B8" s="4">
        <v>486000</v>
      </c>
      <c r="C8" s="4" t="s">
        <v>34</v>
      </c>
      <c r="D8" s="4" t="s">
        <v>35</v>
      </c>
    </row>
    <row r="9" ht="14.5" spans="1:5">
      <c r="A9" s="6" t="s">
        <v>103</v>
      </c>
      <c r="B9" s="4">
        <v>20000000</v>
      </c>
      <c r="C9" s="4" t="s">
        <v>34</v>
      </c>
      <c r="D9" s="4" t="s">
        <v>35</v>
      </c>
    </row>
    <row r="10" ht="14.5" spans="1:5">
      <c r="A10" s="8" t="s">
        <v>15</v>
      </c>
      <c r="B10" s="49">
        <f>(B6-B7-B8)/B9</f>
        <v>0.0352</v>
      </c>
      <c r="C10" s="10" t="s">
        <v>38</v>
      </c>
      <c r="D10" s="10" t="s">
        <v>39</v>
      </c>
    </row>
    <row r="12" ht="14.5" spans="1:5">
      <c r="A12" s="11" t="s">
        <v>41</v>
      </c>
      <c r="B12" s="12" t="s">
        <v>28</v>
      </c>
      <c r="C12" s="12" t="s">
        <v>28</v>
      </c>
      <c r="D12" s="12" t="s">
        <v>28</v>
      </c>
    </row>
    <row r="13" ht="14.5" spans="1:5">
      <c r="A13" s="13" t="s">
        <v>42</v>
      </c>
      <c r="B13" s="13" t="s">
        <v>104</v>
      </c>
      <c r="C13" s="13" t="s">
        <v>44</v>
      </c>
      <c r="D13" s="13" t="s">
        <v>45</v>
      </c>
    </row>
    <row r="15" ht="17.25" spans="1:5">
      <c r="A15" s="15" t="s">
        <v>105</v>
      </c>
    </row>
    <row r="16" ht="14.75" spans="1:5">
      <c r="A16" s="16" t="s">
        <v>47</v>
      </c>
      <c r="B16" s="16" t="s">
        <v>48</v>
      </c>
      <c r="C16" s="16" t="s">
        <v>49</v>
      </c>
      <c r="D16" s="16" t="s">
        <v>50</v>
      </c>
      <c r="E16" s="16" t="s">
        <v>51</v>
      </c>
    </row>
    <row r="17" ht="14.75" spans="1:5">
      <c r="A17" s="21" t="s">
        <v>16</v>
      </c>
      <c r="B17" s="21" t="s">
        <v>52</v>
      </c>
      <c r="C17" s="21" t="s">
        <v>53</v>
      </c>
      <c r="D17" s="21" t="s">
        <v>54</v>
      </c>
      <c r="E17" s="21" t="s">
        <v>55</v>
      </c>
    </row>
    <row r="19" ht="17.25" spans="1:5">
      <c r="A19" s="15" t="s">
        <v>106</v>
      </c>
    </row>
    <row r="20" ht="14.75" spans="1:5">
      <c r="A20" s="16" t="s">
        <v>58</v>
      </c>
      <c r="B20" s="16" t="s">
        <v>16</v>
      </c>
      <c r="C20" s="16" t="s">
        <v>59</v>
      </c>
      <c r="D20" s="16" t="s">
        <v>60</v>
      </c>
      <c r="E20" s="16" t="s">
        <v>51</v>
      </c>
    </row>
    <row r="21" ht="14.75" spans="1:5">
      <c r="A21" s="21" t="s">
        <v>61</v>
      </c>
      <c r="B21" s="21" t="s">
        <v>49</v>
      </c>
      <c r="C21" s="21" t="s">
        <v>39</v>
      </c>
      <c r="D21" s="21" t="s">
        <v>39</v>
      </c>
      <c r="E21" s="21" t="s">
        <v>62</v>
      </c>
    </row>
    <row r="22" ht="14.75" spans="1:5">
      <c r="A22" s="22" t="s">
        <v>63</v>
      </c>
      <c r="B22" s="22" t="s">
        <v>64</v>
      </c>
      <c r="C22" s="23">
        <v>0.05</v>
      </c>
      <c r="D22" s="22" t="s">
        <v>65</v>
      </c>
      <c r="E22" s="22" t="s">
        <v>66</v>
      </c>
    </row>
    <row r="23" ht="14.75" spans="1:5">
      <c r="A23" s="21" t="s">
        <v>67</v>
      </c>
      <c r="B23" s="21" t="s">
        <v>68</v>
      </c>
      <c r="C23" s="24">
        <v>0.12</v>
      </c>
      <c r="D23" s="21" t="s">
        <v>69</v>
      </c>
      <c r="E23" s="21" t="s">
        <v>70</v>
      </c>
    </row>
    <row r="24" ht="14.75" spans="1:5">
      <c r="A24" s="22" t="s">
        <v>71</v>
      </c>
      <c r="B24" s="22" t="s">
        <v>72</v>
      </c>
      <c r="C24" s="23">
        <v>-0.03</v>
      </c>
      <c r="D24" s="22" t="s">
        <v>73</v>
      </c>
      <c r="E24" s="22" t="s">
        <v>62</v>
      </c>
    </row>
    <row r="26" ht="17.25" spans="1:5">
      <c r="A26" s="15" t="s">
        <v>107</v>
      </c>
    </row>
    <row r="27" ht="14.75" spans="1:5">
      <c r="A27" s="16" t="s">
        <v>47</v>
      </c>
      <c r="B27" s="16" t="s">
        <v>75</v>
      </c>
      <c r="C27" s="16" t="s">
        <v>76</v>
      </c>
      <c r="D27" s="16" t="s">
        <v>77</v>
      </c>
      <c r="E27" s="16" t="s">
        <v>78</v>
      </c>
    </row>
    <row r="28" ht="14.75" spans="1:5">
      <c r="A28" s="21" t="s">
        <v>16</v>
      </c>
      <c r="B28" s="21" t="s">
        <v>79</v>
      </c>
      <c r="C28" s="21" t="s">
        <v>80</v>
      </c>
      <c r="D28" s="21" t="s">
        <v>81</v>
      </c>
      <c r="E28" s="21" t="s">
        <v>82</v>
      </c>
    </row>
  </sheetData>
  <mergeCells count="2">
    <mergeCell ref="A1:D1"/>
    <mergeCell ref="A2:D2"/>
  </mergeCells>
  <conditionalFormatting sqref="B10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{390975fe-93af-41f1-b631-621ced11d18c}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90975fe-93af-41f1-b631-621ced11d18c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B10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workbookViewId="0">
      <pane ySplit="5" topLeftCell="A6" activePane="bottomLeft" state="frozen"/>
      <selection/>
      <selection pane="bottomLeft" activeCell="A9" sqref="A9"/>
    </sheetView>
  </sheetViews>
  <sheetFormatPr defaultColWidth="9" defaultRowHeight="14" outlineLevelCol="4"/>
  <cols>
    <col min="1" max="2" width="20" customWidth="1"/>
    <col min="3" max="4" width="15" customWidth="1"/>
  </cols>
  <sheetData>
    <row r="1" ht="20" spans="1:5">
      <c r="A1" s="1" t="s">
        <v>19</v>
      </c>
    </row>
    <row r="2" spans="1:5">
      <c r="A2" s="2" t="s">
        <v>108</v>
      </c>
    </row>
    <row r="4" ht="14.5" spans="1:5">
      <c r="A4" s="3" t="s">
        <v>27</v>
      </c>
      <c r="B4" s="4" t="s">
        <v>28</v>
      </c>
      <c r="C4" s="4" t="s">
        <v>28</v>
      </c>
      <c r="D4" s="4" t="s">
        <v>28</v>
      </c>
    </row>
    <row r="5" ht="14.5" spans="1:5">
      <c r="A5" s="5" t="s">
        <v>29</v>
      </c>
      <c r="B5" s="5" t="s">
        <v>30</v>
      </c>
      <c r="C5" s="5" t="s">
        <v>31</v>
      </c>
      <c r="D5" s="5" t="s">
        <v>32</v>
      </c>
    </row>
    <row r="6" ht="14.5" spans="1:5">
      <c r="A6" s="6" t="s">
        <v>109</v>
      </c>
      <c r="B6" s="4">
        <v>3200000</v>
      </c>
      <c r="C6" s="4" t="s">
        <v>34</v>
      </c>
      <c r="D6" s="4" t="s">
        <v>35</v>
      </c>
    </row>
    <row r="7" ht="14.5" spans="1:5">
      <c r="A7" s="6" t="s">
        <v>110</v>
      </c>
      <c r="B7" s="4">
        <v>200000000</v>
      </c>
      <c r="C7" s="4" t="s">
        <v>34</v>
      </c>
      <c r="D7" s="4" t="s">
        <v>35</v>
      </c>
    </row>
    <row r="8" ht="14.5" spans="1:5">
      <c r="A8" s="8" t="s">
        <v>111</v>
      </c>
      <c r="B8" s="34">
        <f>B6/B7</f>
        <v>0.016</v>
      </c>
      <c r="C8" s="10" t="s">
        <v>38</v>
      </c>
      <c r="D8" s="10" t="s">
        <v>39</v>
      </c>
    </row>
    <row r="10" ht="14.5" spans="1:5">
      <c r="A10" s="11" t="s">
        <v>41</v>
      </c>
      <c r="B10" s="12" t="s">
        <v>28</v>
      </c>
      <c r="C10" s="12" t="s">
        <v>28</v>
      </c>
      <c r="D10" s="12" t="s">
        <v>28</v>
      </c>
    </row>
    <row r="11" ht="14.5" spans="1:5">
      <c r="A11" s="13" t="s">
        <v>42</v>
      </c>
      <c r="B11" s="13" t="s">
        <v>112</v>
      </c>
      <c r="C11" s="13" t="s">
        <v>44</v>
      </c>
      <c r="D11" s="13" t="s">
        <v>45</v>
      </c>
    </row>
    <row r="13" ht="17.25" spans="1:5">
      <c r="A13" s="15" t="s">
        <v>113</v>
      </c>
    </row>
    <row r="14" ht="14.75" spans="1:5">
      <c r="A14" s="16" t="s">
        <v>47</v>
      </c>
      <c r="B14" s="16" t="s">
        <v>48</v>
      </c>
      <c r="C14" s="16" t="s">
        <v>49</v>
      </c>
      <c r="D14" s="16" t="s">
        <v>50</v>
      </c>
      <c r="E14" s="16" t="s">
        <v>51</v>
      </c>
    </row>
    <row r="15" ht="14.75" spans="1:5">
      <c r="A15" s="21" t="s">
        <v>19</v>
      </c>
      <c r="B15" s="21" t="s">
        <v>52</v>
      </c>
      <c r="C15" s="21" t="s">
        <v>53</v>
      </c>
      <c r="D15" s="21" t="s">
        <v>54</v>
      </c>
      <c r="E15" s="21" t="s">
        <v>55</v>
      </c>
    </row>
    <row r="17" ht="17.25" spans="1:5">
      <c r="A17" s="15" t="s">
        <v>114</v>
      </c>
    </row>
    <row r="18" ht="14.75" spans="1:5">
      <c r="A18" s="16" t="s">
        <v>58</v>
      </c>
      <c r="B18" s="16" t="s">
        <v>19</v>
      </c>
      <c r="C18" s="16" t="s">
        <v>59</v>
      </c>
      <c r="D18" s="16" t="s">
        <v>60</v>
      </c>
      <c r="E18" s="16" t="s">
        <v>51</v>
      </c>
    </row>
    <row r="19" ht="14.75" spans="1:5">
      <c r="A19" s="21" t="s">
        <v>61</v>
      </c>
      <c r="B19" s="21" t="s">
        <v>49</v>
      </c>
      <c r="C19" s="21" t="s">
        <v>39</v>
      </c>
      <c r="D19" s="21" t="s">
        <v>39</v>
      </c>
      <c r="E19" s="21" t="s">
        <v>62</v>
      </c>
    </row>
    <row r="20" ht="14.75" spans="1:5">
      <c r="A20" s="22" t="s">
        <v>63</v>
      </c>
      <c r="B20" s="22" t="s">
        <v>64</v>
      </c>
      <c r="C20" s="23">
        <v>0.05</v>
      </c>
      <c r="D20" s="22" t="s">
        <v>65</v>
      </c>
      <c r="E20" s="22" t="s">
        <v>66</v>
      </c>
    </row>
    <row r="21" ht="14.75" spans="1:5">
      <c r="A21" s="21" t="s">
        <v>67</v>
      </c>
      <c r="B21" s="21" t="s">
        <v>68</v>
      </c>
      <c r="C21" s="24">
        <v>0.12</v>
      </c>
      <c r="D21" s="21" t="s">
        <v>69</v>
      </c>
      <c r="E21" s="21" t="s">
        <v>70</v>
      </c>
    </row>
    <row r="22" ht="14.75" spans="1:5">
      <c r="A22" s="22" t="s">
        <v>71</v>
      </c>
      <c r="B22" s="22" t="s">
        <v>72</v>
      </c>
      <c r="C22" s="23">
        <v>-0.03</v>
      </c>
      <c r="D22" s="22" t="s">
        <v>73</v>
      </c>
      <c r="E22" s="22" t="s">
        <v>62</v>
      </c>
    </row>
    <row r="24" ht="17.25" spans="1:5">
      <c r="A24" s="15" t="s">
        <v>115</v>
      </c>
    </row>
    <row r="25" ht="14.75" spans="1:5">
      <c r="A25" s="16" t="s">
        <v>47</v>
      </c>
      <c r="B25" s="16" t="s">
        <v>75</v>
      </c>
      <c r="C25" s="16" t="s">
        <v>76</v>
      </c>
      <c r="D25" s="16" t="s">
        <v>77</v>
      </c>
      <c r="E25" s="16" t="s">
        <v>78</v>
      </c>
    </row>
    <row r="26" ht="14.75" spans="1:5">
      <c r="A26" s="21" t="s">
        <v>19</v>
      </c>
      <c r="B26" s="21" t="s">
        <v>79</v>
      </c>
      <c r="C26" s="21" t="s">
        <v>80</v>
      </c>
      <c r="D26" s="21" t="s">
        <v>81</v>
      </c>
      <c r="E26" s="21" t="s">
        <v>82</v>
      </c>
    </row>
  </sheetData>
  <mergeCells count="2">
    <mergeCell ref="A1:D1"/>
    <mergeCell ref="A2:D2"/>
  </mergeCells>
  <conditionalFormatting sqref="B8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{dd9552f6-8fa6-4f41-abcc-211dd70a0c78}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d9552f6-8fa6-4f41-abcc-211dd70a0c78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B8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"/>
  <sheetViews>
    <sheetView zoomScale="70" zoomScaleNormal="70" workbookViewId="0">
      <pane ySplit="5" topLeftCell="A6" activePane="bottomLeft" state="frozen"/>
      <selection/>
      <selection pane="bottomLeft" activeCell="G24" sqref="G24"/>
    </sheetView>
  </sheetViews>
  <sheetFormatPr defaultColWidth="9" defaultRowHeight="14"/>
  <cols>
    <col min="1" max="2" width="20" customWidth="1"/>
    <col min="3" max="4" width="15" customWidth="1"/>
    <col min="8" max="8" width="23" customWidth="1"/>
    <col min="9" max="9" width="10.3636363636364"/>
  </cols>
  <sheetData>
    <row r="1" ht="20" spans="1:9">
      <c r="A1" s="1" t="s">
        <v>22</v>
      </c>
    </row>
    <row r="2" spans="1:9">
      <c r="A2" s="2" t="s">
        <v>116</v>
      </c>
    </row>
    <row r="4" ht="14.5" spans="1:9">
      <c r="A4" s="3" t="s">
        <v>27</v>
      </c>
      <c r="B4" s="4" t="s">
        <v>28</v>
      </c>
      <c r="C4" s="4" t="s">
        <v>28</v>
      </c>
      <c r="D4" s="4" t="s">
        <v>28</v>
      </c>
    </row>
    <row r="5" ht="14.5" spans="1:9">
      <c r="A5" s="5" t="s">
        <v>29</v>
      </c>
      <c r="B5" s="5" t="s">
        <v>30</v>
      </c>
      <c r="C5" s="5" t="s">
        <v>31</v>
      </c>
      <c r="D5" s="5" t="s">
        <v>32</v>
      </c>
    </row>
    <row r="6" ht="14.5" spans="1:9">
      <c r="A6" s="6" t="s">
        <v>117</v>
      </c>
      <c r="B6" s="4">
        <v>1080</v>
      </c>
      <c r="C6" s="4" t="s">
        <v>34</v>
      </c>
      <c r="D6" s="4" t="s">
        <v>35</v>
      </c>
      <c r="G6" s="29"/>
      <c r="H6" s="30" t="s">
        <v>118</v>
      </c>
      <c r="I6" s="31">
        <v>46023</v>
      </c>
    </row>
    <row r="7" ht="14.5" spans="1:9">
      <c r="A7" s="6" t="s">
        <v>119</v>
      </c>
      <c r="B7" s="4">
        <v>810</v>
      </c>
      <c r="C7" s="4" t="s">
        <v>34</v>
      </c>
      <c r="D7" s="4" t="s">
        <v>35</v>
      </c>
      <c r="G7" s="29"/>
      <c r="H7" s="32" t="s">
        <v>120</v>
      </c>
      <c r="I7" s="33">
        <v>100</v>
      </c>
    </row>
    <row r="8" ht="14.5" spans="1:9">
      <c r="A8" s="6" t="s">
        <v>121</v>
      </c>
      <c r="B8" s="4">
        <v>180</v>
      </c>
      <c r="C8" s="4" t="s">
        <v>34</v>
      </c>
      <c r="D8" s="4" t="s">
        <v>35</v>
      </c>
      <c r="G8" s="29"/>
      <c r="H8" s="32" t="s">
        <v>122</v>
      </c>
      <c r="I8" s="33">
        <v>4</v>
      </c>
    </row>
    <row r="9" ht="14.5" spans="1:9">
      <c r="A9" s="6" t="s">
        <v>123</v>
      </c>
      <c r="B9" s="4">
        <v>6000</v>
      </c>
      <c r="C9" s="4" t="s">
        <v>34</v>
      </c>
      <c r="D9" s="4" t="s">
        <v>35</v>
      </c>
      <c r="G9" s="29"/>
      <c r="H9" s="29"/>
      <c r="I9" s="29"/>
    </row>
    <row r="10" ht="14.5" spans="1:9">
      <c r="A10" s="8" t="s">
        <v>124</v>
      </c>
      <c r="B10" s="34">
        <f>(B6-B7-B8)/B9</f>
        <v>0.015</v>
      </c>
      <c r="C10" s="10" t="s">
        <v>38</v>
      </c>
      <c r="D10" s="10" t="s">
        <v>39</v>
      </c>
      <c r="G10" s="35" t="s">
        <v>125</v>
      </c>
      <c r="H10" s="36" t="s">
        <v>126</v>
      </c>
      <c r="I10" s="37">
        <v>0.2</v>
      </c>
    </row>
    <row r="11" spans="1:9">
      <c r="G11" s="38"/>
      <c r="H11" s="36" t="s">
        <v>127</v>
      </c>
      <c r="I11" s="37">
        <v>0.01</v>
      </c>
    </row>
    <row r="12" ht="14.5" spans="1:9">
      <c r="A12" s="11" t="s">
        <v>41</v>
      </c>
      <c r="B12" s="12" t="s">
        <v>28</v>
      </c>
      <c r="C12" s="12" t="s">
        <v>28</v>
      </c>
      <c r="D12" s="12" t="s">
        <v>28</v>
      </c>
      <c r="G12" s="38"/>
      <c r="H12" s="36" t="s">
        <v>128</v>
      </c>
      <c r="I12" s="37">
        <v>0.005</v>
      </c>
    </row>
    <row r="13" ht="14.5" spans="1:9">
      <c r="A13" s="13" t="s">
        <v>42</v>
      </c>
      <c r="B13" s="13" t="s">
        <v>129</v>
      </c>
      <c r="C13" s="13" t="s">
        <v>44</v>
      </c>
      <c r="D13" s="13" t="s">
        <v>45</v>
      </c>
      <c r="G13" s="39"/>
      <c r="H13" s="40"/>
      <c r="I13" s="41"/>
    </row>
    <row r="14" spans="1:9">
      <c r="G14" s="42" t="s">
        <v>130</v>
      </c>
      <c r="H14" s="43" t="s">
        <v>131</v>
      </c>
      <c r="I14" s="44">
        <v>-0.05</v>
      </c>
    </row>
    <row r="15" ht="16.5" spans="1:9">
      <c r="A15" s="15" t="s">
        <v>132</v>
      </c>
      <c r="G15" s="45"/>
      <c r="H15" s="43" t="s">
        <v>133</v>
      </c>
      <c r="I15" s="44">
        <v>-0.08</v>
      </c>
    </row>
    <row r="16" ht="14.75" spans="1:9">
      <c r="A16" s="16" t="s">
        <v>47</v>
      </c>
      <c r="B16" s="16" t="s">
        <v>48</v>
      </c>
      <c r="C16" s="16" t="s">
        <v>49</v>
      </c>
      <c r="D16" s="16" t="s">
        <v>50</v>
      </c>
      <c r="E16" s="16" t="s">
        <v>51</v>
      </c>
      <c r="G16" s="45"/>
      <c r="H16" s="43" t="s">
        <v>134</v>
      </c>
      <c r="I16" s="44">
        <f>I10*I14*1.5</f>
        <v>-0.015</v>
      </c>
    </row>
    <row r="17" ht="14.75" spans="1:9">
      <c r="A17" s="21" t="s">
        <v>22</v>
      </c>
      <c r="B17" s="21" t="s">
        <v>52</v>
      </c>
      <c r="C17" s="21" t="s">
        <v>53</v>
      </c>
      <c r="D17" s="21" t="s">
        <v>54</v>
      </c>
      <c r="E17" s="21" t="s">
        <v>55</v>
      </c>
      <c r="G17" s="45"/>
      <c r="H17" s="43" t="s">
        <v>135</v>
      </c>
      <c r="I17" s="44">
        <v>-0.01</v>
      </c>
    </row>
    <row r="18" spans="1:9">
      <c r="G18" s="45"/>
      <c r="H18" s="43" t="s">
        <v>136</v>
      </c>
      <c r="I18" s="44">
        <v>-0.01</v>
      </c>
    </row>
    <row r="19" ht="16.5" spans="1:9">
      <c r="A19" s="15" t="s">
        <v>137</v>
      </c>
      <c r="G19" s="45"/>
      <c r="H19" s="43" t="s">
        <v>138</v>
      </c>
      <c r="I19" s="44">
        <v>-0.01</v>
      </c>
    </row>
    <row r="20" ht="14.75" spans="1:9">
      <c r="A20" s="16" t="s">
        <v>58</v>
      </c>
      <c r="B20" s="16" t="s">
        <v>22</v>
      </c>
      <c r="C20" s="16" t="s">
        <v>59</v>
      </c>
      <c r="D20" s="16" t="s">
        <v>60</v>
      </c>
      <c r="E20" s="16" t="s">
        <v>51</v>
      </c>
      <c r="G20" s="45"/>
      <c r="H20" s="43" t="s">
        <v>128</v>
      </c>
      <c r="I20" s="44">
        <v>-0.005</v>
      </c>
    </row>
    <row r="21" ht="14.75" spans="1:9">
      <c r="A21" s="21" t="s">
        <v>61</v>
      </c>
      <c r="B21" s="21" t="s">
        <v>49</v>
      </c>
      <c r="C21" s="21" t="s">
        <v>39</v>
      </c>
      <c r="D21" s="21" t="s">
        <v>39</v>
      </c>
      <c r="E21" s="21" t="s">
        <v>62</v>
      </c>
      <c r="G21" s="45"/>
      <c r="H21" s="43" t="s">
        <v>139</v>
      </c>
      <c r="I21" s="44">
        <v>-0.02</v>
      </c>
    </row>
    <row r="22" ht="14.75" spans="1:9">
      <c r="A22" s="22" t="s">
        <v>63</v>
      </c>
      <c r="B22" s="22" t="s">
        <v>64</v>
      </c>
      <c r="C22" s="23">
        <v>-0.05</v>
      </c>
      <c r="D22" s="22" t="s">
        <v>65</v>
      </c>
      <c r="E22" s="22" t="s">
        <v>66</v>
      </c>
      <c r="G22" s="39"/>
      <c r="H22" s="40"/>
      <c r="I22" s="41"/>
    </row>
    <row r="23" ht="14.75" spans="1:9">
      <c r="A23" s="21" t="s">
        <v>67</v>
      </c>
      <c r="B23" s="21" t="s">
        <v>68</v>
      </c>
      <c r="C23" s="24">
        <v>-0.12</v>
      </c>
      <c r="D23" s="21" t="s">
        <v>69</v>
      </c>
      <c r="E23" s="21" t="s">
        <v>70</v>
      </c>
      <c r="G23" s="46" t="s">
        <v>124</v>
      </c>
      <c r="H23" s="47"/>
      <c r="I23" s="48">
        <f>SUM(I10:I21)</f>
        <v>0.015</v>
      </c>
    </row>
    <row r="24" spans="1:9">
      <c r="A24" s="22" t="s">
        <v>71</v>
      </c>
      <c r="B24" s="22" t="s">
        <v>72</v>
      </c>
      <c r="C24" s="23">
        <v>0.03</v>
      </c>
      <c r="D24" s="22" t="s">
        <v>73</v>
      </c>
      <c r="E24" s="22" t="s">
        <v>62</v>
      </c>
    </row>
    <row r="26" ht="17.25" spans="1:9">
      <c r="A26" s="15" t="s">
        <v>140</v>
      </c>
    </row>
    <row r="27" ht="14.75" spans="1:9">
      <c r="A27" s="16" t="s">
        <v>47</v>
      </c>
      <c r="B27" s="16" t="s">
        <v>75</v>
      </c>
      <c r="C27" s="16" t="s">
        <v>76</v>
      </c>
      <c r="D27" s="16" t="s">
        <v>77</v>
      </c>
      <c r="E27" s="16" t="s">
        <v>78</v>
      </c>
    </row>
    <row r="28" ht="14.75" spans="1:9">
      <c r="A28" s="21" t="s">
        <v>22</v>
      </c>
      <c r="B28" s="21" t="s">
        <v>79</v>
      </c>
      <c r="C28" s="21" t="s">
        <v>80</v>
      </c>
      <c r="D28" s="21" t="s">
        <v>81</v>
      </c>
      <c r="E28" s="21" t="s">
        <v>82</v>
      </c>
    </row>
  </sheetData>
  <mergeCells count="5">
    <mergeCell ref="A1:D1"/>
    <mergeCell ref="A2:D2"/>
    <mergeCell ref="G23:H23"/>
    <mergeCell ref="G10:G12"/>
    <mergeCell ref="G14:G21"/>
  </mergeCells>
  <conditionalFormatting sqref="B10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{23ecf042-2e6d-4b81-9121-2737b7b60c0a}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3ecf042-2e6d-4b81-9121-2737b7b60c0a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B10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89"/>
  <sheetViews>
    <sheetView tabSelected="1" zoomScale="85" zoomScaleNormal="85" topLeftCell="F1" workbookViewId="0">
      <pane ySplit="5" topLeftCell="A6" activePane="bottomLeft" state="frozen"/>
      <selection/>
      <selection pane="bottomLeft" activeCell="L13" sqref="L13"/>
    </sheetView>
  </sheetViews>
  <sheetFormatPr defaultColWidth="9" defaultRowHeight="14"/>
  <cols>
    <col min="1" max="2" width="20" customWidth="1"/>
    <col min="3" max="4" width="15" customWidth="1"/>
    <col min="8" max="8" width="11.8181818181818" customWidth="1"/>
    <col min="9" max="9" width="16.2727272727273" customWidth="1"/>
    <col min="10" max="10" width="14"/>
    <col min="11" max="20" width="12.9090909090909"/>
    <col min="21" max="21" width="9.54545454545454"/>
    <col min="25" max="25" width="11.5545454545455" customWidth="1"/>
    <col min="27" max="38" width="9.54545454545454"/>
    <col min="40" max="40" width="10.9090909090909" customWidth="1"/>
    <col min="42" max="52" width="9.54545454545454"/>
  </cols>
  <sheetData>
    <row r="1" ht="20" spans="1:22">
      <c r="A1" s="1" t="s">
        <v>25</v>
      </c>
    </row>
    <row r="2" spans="1:22">
      <c r="A2" s="2" t="s">
        <v>141</v>
      </c>
    </row>
    <row r="4" ht="14.5" spans="1:22">
      <c r="A4" s="3" t="s">
        <v>27</v>
      </c>
      <c r="B4" s="4" t="s">
        <v>28</v>
      </c>
      <c r="C4" s="4" t="s">
        <v>28</v>
      </c>
      <c r="D4" s="4" t="s">
        <v>28</v>
      </c>
    </row>
    <row r="5" ht="14.5" spans="1:22">
      <c r="A5" s="5" t="s">
        <v>29</v>
      </c>
      <c r="B5" s="5" t="s">
        <v>30</v>
      </c>
      <c r="C5" s="5" t="s">
        <v>31</v>
      </c>
      <c r="D5" s="5" t="s">
        <v>32</v>
      </c>
    </row>
    <row r="6" ht="14.5" spans="1:22">
      <c r="A6" s="6" t="s">
        <v>142</v>
      </c>
      <c r="B6" s="4">
        <v>150</v>
      </c>
      <c r="C6" s="4" t="s">
        <v>34</v>
      </c>
      <c r="D6" s="4" t="s">
        <v>35</v>
      </c>
    </row>
    <row r="7" ht="14.5" spans="1:22">
      <c r="A7" s="6" t="s">
        <v>143</v>
      </c>
      <c r="B7" s="4">
        <v>24</v>
      </c>
      <c r="C7" s="4" t="s">
        <v>34</v>
      </c>
      <c r="D7" s="4" t="s">
        <v>35</v>
      </c>
    </row>
    <row r="8" ht="14.5" spans="1:22">
      <c r="A8" s="6" t="s">
        <v>144</v>
      </c>
      <c r="B8" s="4">
        <v>0.04</v>
      </c>
      <c r="C8" s="4" t="s">
        <v>34</v>
      </c>
      <c r="D8" s="4" t="s">
        <v>35</v>
      </c>
      <c r="L8" s="7" t="s">
        <v>145</v>
      </c>
    </row>
    <row r="9" ht="14.5" spans="1:22">
      <c r="A9" s="6" t="s">
        <v>146</v>
      </c>
      <c r="B9" s="4">
        <v>500</v>
      </c>
      <c r="C9" s="4" t="s">
        <v>34</v>
      </c>
      <c r="D9" s="4" t="s">
        <v>35</v>
      </c>
      <c r="L9" t="s">
        <v>147</v>
      </c>
    </row>
    <row r="10" ht="14.5" spans="1:22">
      <c r="A10" s="8" t="s">
        <v>148</v>
      </c>
      <c r="B10" s="9">
        <f>B6*B7*(1-B8)-B9</f>
        <v>2956</v>
      </c>
      <c r="C10" s="10" t="s">
        <v>38</v>
      </c>
      <c r="D10" s="10" t="s">
        <v>39</v>
      </c>
      <c r="L10" t="s">
        <v>149</v>
      </c>
    </row>
    <row r="11" spans="1:22">
      <c r="L11" t="s">
        <v>150</v>
      </c>
    </row>
    <row r="12" ht="14.5" spans="1:22">
      <c r="A12" s="11" t="s">
        <v>41</v>
      </c>
      <c r="B12" s="12" t="s">
        <v>28</v>
      </c>
      <c r="C12" s="12" t="s">
        <v>28</v>
      </c>
      <c r="D12" s="12" t="s">
        <v>28</v>
      </c>
      <c r="L12" t="s">
        <v>151</v>
      </c>
    </row>
    <row r="13" ht="14.5" spans="1:22">
      <c r="A13" s="13" t="s">
        <v>42</v>
      </c>
      <c r="B13" s="13" t="s">
        <v>43</v>
      </c>
      <c r="C13" s="13" t="s">
        <v>44</v>
      </c>
      <c r="D13" s="13" t="s">
        <v>45</v>
      </c>
    </row>
    <row r="14" spans="1:22">
      <c r="G14" s="14" t="s">
        <v>152</v>
      </c>
      <c r="J14" t="s">
        <v>153</v>
      </c>
    </row>
    <row r="15" ht="17.25" spans="1:22">
      <c r="A15" s="15" t="s">
        <v>154</v>
      </c>
      <c r="H15" t="s">
        <v>155</v>
      </c>
      <c r="I15" t="s">
        <v>156</v>
      </c>
      <c r="J15" t="s">
        <v>157</v>
      </c>
      <c r="K15" t="s">
        <v>158</v>
      </c>
      <c r="L15" t="s">
        <v>159</v>
      </c>
      <c r="M15" t="s">
        <v>160</v>
      </c>
      <c r="N15" t="s">
        <v>161</v>
      </c>
      <c r="O15" t="s">
        <v>162</v>
      </c>
      <c r="P15" t="s">
        <v>163</v>
      </c>
      <c r="Q15" t="s">
        <v>164</v>
      </c>
      <c r="R15" t="s">
        <v>165</v>
      </c>
      <c r="S15" t="s">
        <v>166</v>
      </c>
      <c r="T15" t="s">
        <v>167</v>
      </c>
      <c r="U15" t="s">
        <v>168</v>
      </c>
    </row>
    <row r="16" ht="14.75" spans="1:22">
      <c r="A16" s="16" t="s">
        <v>47</v>
      </c>
      <c r="B16" s="16" t="s">
        <v>48</v>
      </c>
      <c r="C16" s="16" t="s">
        <v>49</v>
      </c>
      <c r="D16" s="16" t="s">
        <v>50</v>
      </c>
      <c r="E16" s="16" t="s">
        <v>51</v>
      </c>
      <c r="H16" s="17">
        <v>45658</v>
      </c>
      <c r="I16" s="18">
        <v>900</v>
      </c>
      <c r="J16" s="19">
        <v>-0.02</v>
      </c>
      <c r="K16" s="20">
        <v>0.03</v>
      </c>
      <c r="L16" s="20">
        <v>0.03</v>
      </c>
      <c r="M16" s="20">
        <v>0.03</v>
      </c>
      <c r="N16" s="20">
        <v>0.03</v>
      </c>
      <c r="O16" s="20">
        <v>0.03</v>
      </c>
      <c r="P16" s="20">
        <v>0.03</v>
      </c>
      <c r="Q16" s="20">
        <v>0.03</v>
      </c>
      <c r="R16" s="20">
        <v>0.03</v>
      </c>
      <c r="S16" s="20">
        <v>0.03</v>
      </c>
      <c r="T16" s="20">
        <v>0.03</v>
      </c>
      <c r="U16" s="20">
        <v>0.03</v>
      </c>
      <c r="V16" s="20"/>
    </row>
    <row r="17" ht="14.75" spans="1:53">
      <c r="A17" s="21" t="s">
        <v>25</v>
      </c>
      <c r="B17" s="21" t="s">
        <v>52</v>
      </c>
      <c r="C17" s="21" t="s">
        <v>53</v>
      </c>
      <c r="D17" s="21" t="s">
        <v>54</v>
      </c>
      <c r="E17" s="21" t="s">
        <v>55</v>
      </c>
      <c r="H17" s="17">
        <v>45689</v>
      </c>
      <c r="I17" s="18">
        <f>I16+300</f>
        <v>1200</v>
      </c>
      <c r="J17" s="19">
        <v>-0.02</v>
      </c>
      <c r="K17" s="20">
        <v>0.03</v>
      </c>
      <c r="L17" s="20">
        <v>0.03</v>
      </c>
      <c r="M17" s="20">
        <v>0.03</v>
      </c>
      <c r="N17" s="20">
        <v>0.03</v>
      </c>
      <c r="O17" s="20">
        <v>0.03</v>
      </c>
      <c r="P17" s="20">
        <v>0.03</v>
      </c>
      <c r="Q17" s="20">
        <v>0.03</v>
      </c>
      <c r="R17" s="20">
        <v>0.03</v>
      </c>
      <c r="S17" s="20">
        <v>0.03</v>
      </c>
      <c r="T17" s="20">
        <v>0.03</v>
      </c>
      <c r="U17" s="20"/>
      <c r="V17" s="20"/>
    </row>
    <row r="18" spans="1:53">
      <c r="H18" s="17">
        <v>45717</v>
      </c>
      <c r="I18" s="18">
        <f t="shared" ref="I18:I27" si="0">I17+300</f>
        <v>1500</v>
      </c>
      <c r="J18" s="19">
        <v>-0.02</v>
      </c>
      <c r="K18" s="20">
        <v>0.03</v>
      </c>
      <c r="L18" s="20">
        <v>0.03</v>
      </c>
      <c r="M18" s="20">
        <v>0.03</v>
      </c>
      <c r="N18" s="20">
        <v>0.03</v>
      </c>
      <c r="O18" s="20">
        <v>0.03</v>
      </c>
      <c r="P18" s="20">
        <v>0.03</v>
      </c>
      <c r="Q18" s="20">
        <v>0.03</v>
      </c>
      <c r="R18" s="20">
        <v>0.03</v>
      </c>
      <c r="S18" s="20">
        <v>0.03</v>
      </c>
      <c r="T18" s="20"/>
      <c r="U18" s="20"/>
      <c r="V18" s="20"/>
    </row>
    <row r="19" ht="17.25" spans="1:53">
      <c r="A19" s="15" t="s">
        <v>169</v>
      </c>
      <c r="H19" s="17">
        <v>45748</v>
      </c>
      <c r="I19" s="18">
        <f t="shared" si="0"/>
        <v>1800</v>
      </c>
      <c r="J19" s="19">
        <v>-0.02</v>
      </c>
      <c r="K19" s="20">
        <v>0.03</v>
      </c>
      <c r="L19" s="20">
        <v>0.03</v>
      </c>
      <c r="M19" s="20">
        <v>0.03</v>
      </c>
      <c r="N19" s="20">
        <v>0.03</v>
      </c>
      <c r="O19" s="20">
        <v>0.03</v>
      </c>
      <c r="P19" s="20">
        <v>0.03</v>
      </c>
      <c r="Q19" s="20">
        <v>0.03</v>
      </c>
      <c r="R19" s="20">
        <v>0.03</v>
      </c>
      <c r="S19" s="20"/>
      <c r="T19" s="20"/>
      <c r="U19" s="20"/>
      <c r="V19" s="20"/>
    </row>
    <row r="20" ht="14.75" spans="1:53">
      <c r="A20" s="16" t="s">
        <v>58</v>
      </c>
      <c r="B20" s="16" t="s">
        <v>25</v>
      </c>
      <c r="C20" s="16" t="s">
        <v>59</v>
      </c>
      <c r="D20" s="16" t="s">
        <v>60</v>
      </c>
      <c r="E20" s="16" t="s">
        <v>51</v>
      </c>
      <c r="H20" s="17">
        <v>45778</v>
      </c>
      <c r="I20" s="18">
        <f t="shared" si="0"/>
        <v>2100</v>
      </c>
      <c r="J20" s="19">
        <v>-0.02</v>
      </c>
      <c r="K20" s="20">
        <v>0.03</v>
      </c>
      <c r="L20" s="20">
        <v>0.03</v>
      </c>
      <c r="M20" s="20">
        <v>0.03</v>
      </c>
      <c r="N20" s="20">
        <v>0.03</v>
      </c>
      <c r="O20" s="20">
        <v>0.03</v>
      </c>
      <c r="P20" s="20">
        <v>0.03</v>
      </c>
      <c r="Q20" s="20">
        <v>0.03</v>
      </c>
      <c r="R20" s="20"/>
      <c r="S20" s="20"/>
      <c r="T20" s="20"/>
      <c r="U20" s="20"/>
      <c r="V20" s="20"/>
    </row>
    <row r="21" ht="14.75" spans="1:53">
      <c r="A21" s="21" t="s">
        <v>61</v>
      </c>
      <c r="B21" s="21" t="s">
        <v>49</v>
      </c>
      <c r="C21" s="21" t="s">
        <v>39</v>
      </c>
      <c r="D21" s="21" t="s">
        <v>39</v>
      </c>
      <c r="E21" s="21" t="s">
        <v>62</v>
      </c>
      <c r="H21" s="17">
        <v>45809</v>
      </c>
      <c r="I21" s="18">
        <f t="shared" si="0"/>
        <v>2400</v>
      </c>
      <c r="J21" s="19">
        <v>-0.02</v>
      </c>
      <c r="K21" s="20">
        <v>0.03</v>
      </c>
      <c r="L21" s="20">
        <v>0.03</v>
      </c>
      <c r="M21" s="20">
        <v>0.03</v>
      </c>
      <c r="N21" s="20">
        <v>0.03</v>
      </c>
      <c r="O21" s="20">
        <v>0.03</v>
      </c>
      <c r="P21" s="20">
        <v>0.03</v>
      </c>
      <c r="Q21" s="20"/>
      <c r="R21" s="20"/>
      <c r="S21" s="20"/>
      <c r="T21" s="20"/>
      <c r="U21" s="20"/>
      <c r="V21" s="20"/>
    </row>
    <row r="22" ht="14.75" spans="1:53">
      <c r="A22" s="22" t="s">
        <v>63</v>
      </c>
      <c r="B22" s="22" t="s">
        <v>64</v>
      </c>
      <c r="C22" s="23">
        <v>-0.05</v>
      </c>
      <c r="D22" s="22" t="s">
        <v>65</v>
      </c>
      <c r="E22" s="22" t="s">
        <v>66</v>
      </c>
      <c r="H22" s="17">
        <v>45839</v>
      </c>
      <c r="I22" s="18">
        <f t="shared" si="0"/>
        <v>2700</v>
      </c>
      <c r="J22" s="19">
        <v>-0.02</v>
      </c>
      <c r="K22" s="20">
        <v>0.03</v>
      </c>
      <c r="L22" s="20">
        <v>0.03</v>
      </c>
      <c r="M22" s="20">
        <v>0.03</v>
      </c>
      <c r="N22" s="20">
        <v>0.03</v>
      </c>
      <c r="O22" s="20">
        <v>0.03</v>
      </c>
      <c r="P22" s="20"/>
      <c r="Q22" s="20"/>
      <c r="R22" s="20"/>
      <c r="S22" s="20"/>
      <c r="T22" s="20"/>
      <c r="U22" s="20"/>
      <c r="V22" s="20"/>
    </row>
    <row r="23" ht="14.75" spans="1:53">
      <c r="A23" s="21" t="s">
        <v>67</v>
      </c>
      <c r="B23" s="21" t="s">
        <v>68</v>
      </c>
      <c r="C23" s="51" t="s">
        <v>170</v>
      </c>
      <c r="D23" s="21" t="s">
        <v>69</v>
      </c>
      <c r="E23" s="21" t="s">
        <v>70</v>
      </c>
      <c r="H23" s="17">
        <v>45870</v>
      </c>
      <c r="I23" s="18">
        <f t="shared" si="0"/>
        <v>3000</v>
      </c>
      <c r="J23" s="19">
        <v>-0.02</v>
      </c>
      <c r="K23" s="20">
        <v>0.03</v>
      </c>
      <c r="L23" s="20">
        <v>0.03</v>
      </c>
      <c r="M23" s="20">
        <v>0.03</v>
      </c>
      <c r="N23" s="20">
        <v>0.03</v>
      </c>
      <c r="O23" s="20"/>
      <c r="P23" s="20"/>
      <c r="Q23" s="20"/>
      <c r="R23" s="20"/>
      <c r="S23" s="20"/>
      <c r="T23" s="20"/>
      <c r="U23" s="20"/>
      <c r="V23" s="20"/>
    </row>
    <row r="24" ht="14.75" spans="1:53">
      <c r="A24" s="22" t="s">
        <v>71</v>
      </c>
      <c r="B24" s="22" t="s">
        <v>72</v>
      </c>
      <c r="C24" s="52" t="s">
        <v>171</v>
      </c>
      <c r="D24" s="22" t="s">
        <v>73</v>
      </c>
      <c r="E24" s="22" t="s">
        <v>62</v>
      </c>
      <c r="H24" s="17">
        <v>45901</v>
      </c>
      <c r="I24" s="18">
        <f t="shared" si="0"/>
        <v>3300</v>
      </c>
      <c r="J24" s="19">
        <v>-0.02</v>
      </c>
      <c r="K24" s="20">
        <v>0.03</v>
      </c>
      <c r="L24" s="20">
        <v>0.03</v>
      </c>
      <c r="M24" s="20">
        <v>0.03</v>
      </c>
      <c r="N24" s="20"/>
      <c r="O24" s="20"/>
      <c r="P24" s="20"/>
      <c r="Q24" s="20"/>
      <c r="R24" s="20"/>
      <c r="S24" s="20"/>
      <c r="T24" s="20"/>
      <c r="U24" s="20"/>
      <c r="V24" s="20"/>
    </row>
    <row r="25" spans="1:53">
      <c r="H25" s="17">
        <v>45931</v>
      </c>
      <c r="I25" s="18">
        <f t="shared" si="0"/>
        <v>3600</v>
      </c>
      <c r="J25" s="19">
        <v>-0.02</v>
      </c>
      <c r="K25" s="20">
        <v>0.03</v>
      </c>
      <c r="L25" s="20">
        <v>0.03</v>
      </c>
      <c r="M25" s="20"/>
      <c r="N25" s="20"/>
      <c r="O25" s="20"/>
      <c r="P25" s="20"/>
      <c r="Q25" s="20"/>
      <c r="R25" s="20"/>
      <c r="S25" s="20"/>
      <c r="T25" s="20"/>
      <c r="U25" s="20"/>
      <c r="V25" s="20"/>
    </row>
    <row r="26" ht="17.25" spans="1:53">
      <c r="A26" s="15" t="s">
        <v>172</v>
      </c>
      <c r="H26" s="17">
        <v>45962</v>
      </c>
      <c r="I26" s="18">
        <f t="shared" si="0"/>
        <v>3900</v>
      </c>
      <c r="J26" s="19">
        <v>-0.02</v>
      </c>
      <c r="K26" s="20">
        <v>0.03</v>
      </c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</row>
    <row r="27" ht="14.75" spans="1:53">
      <c r="A27" s="16" t="s">
        <v>47</v>
      </c>
      <c r="B27" s="16" t="s">
        <v>75</v>
      </c>
      <c r="C27" s="16" t="s">
        <v>76</v>
      </c>
      <c r="D27" s="16" t="s">
        <v>77</v>
      </c>
      <c r="E27" s="16" t="s">
        <v>78</v>
      </c>
      <c r="H27" s="17">
        <v>45992</v>
      </c>
      <c r="I27" s="18">
        <f t="shared" si="0"/>
        <v>4200</v>
      </c>
      <c r="J27" s="19">
        <v>-0.02</v>
      </c>
      <c r="K27" s="20"/>
    </row>
    <row r="28" ht="14.75" spans="1:53">
      <c r="A28" s="21" t="s">
        <v>25</v>
      </c>
      <c r="B28" s="21" t="s">
        <v>79</v>
      </c>
      <c r="C28" s="21" t="s">
        <v>80</v>
      </c>
      <c r="D28" s="21" t="s">
        <v>81</v>
      </c>
      <c r="E28" s="21" t="s">
        <v>82</v>
      </c>
    </row>
    <row r="29" spans="1:53">
      <c r="G29" s="14" t="s">
        <v>173</v>
      </c>
      <c r="J29" t="s">
        <v>174</v>
      </c>
      <c r="Y29" s="25" t="s">
        <v>175</v>
      </c>
      <c r="AN29" s="25" t="s">
        <v>176</v>
      </c>
    </row>
    <row r="30" spans="1:53">
      <c r="H30" t="s">
        <v>155</v>
      </c>
      <c r="I30" t="s">
        <v>156</v>
      </c>
      <c r="J30" t="s">
        <v>157</v>
      </c>
      <c r="K30" t="s">
        <v>158</v>
      </c>
      <c r="L30" t="s">
        <v>159</v>
      </c>
      <c r="M30" t="s">
        <v>160</v>
      </c>
      <c r="N30" t="s">
        <v>161</v>
      </c>
      <c r="O30" t="s">
        <v>162</v>
      </c>
      <c r="P30" t="s">
        <v>163</v>
      </c>
      <c r="Q30" t="s">
        <v>164</v>
      </c>
      <c r="R30" t="s">
        <v>165</v>
      </c>
      <c r="S30" t="s">
        <v>166</v>
      </c>
      <c r="T30" t="s">
        <v>167</v>
      </c>
      <c r="U30" t="s">
        <v>168</v>
      </c>
      <c r="Y30" t="s">
        <v>155</v>
      </c>
      <c r="Z30" t="s">
        <v>156</v>
      </c>
      <c r="AA30" t="s">
        <v>157</v>
      </c>
      <c r="AB30" t="s">
        <v>158</v>
      </c>
      <c r="AC30" t="s">
        <v>159</v>
      </c>
      <c r="AD30" t="s">
        <v>160</v>
      </c>
      <c r="AE30" t="s">
        <v>161</v>
      </c>
      <c r="AF30" t="s">
        <v>162</v>
      </c>
      <c r="AG30" t="s">
        <v>163</v>
      </c>
      <c r="AH30" t="s">
        <v>164</v>
      </c>
      <c r="AI30" t="s">
        <v>165</v>
      </c>
      <c r="AJ30" t="s">
        <v>166</v>
      </c>
      <c r="AK30" t="s">
        <v>167</v>
      </c>
      <c r="AL30" t="s">
        <v>168</v>
      </c>
      <c r="AN30" t="s">
        <v>155</v>
      </c>
      <c r="AO30" t="s">
        <v>156</v>
      </c>
      <c r="AP30" t="s">
        <v>157</v>
      </c>
      <c r="AQ30" t="s">
        <v>158</v>
      </c>
      <c r="AR30" t="s">
        <v>159</v>
      </c>
      <c r="AS30" t="s">
        <v>160</v>
      </c>
      <c r="AT30" t="s">
        <v>161</v>
      </c>
      <c r="AU30" t="s">
        <v>162</v>
      </c>
      <c r="AV30" t="s">
        <v>163</v>
      </c>
      <c r="AW30" t="s">
        <v>164</v>
      </c>
      <c r="AX30" t="s">
        <v>165</v>
      </c>
      <c r="AY30" t="s">
        <v>166</v>
      </c>
      <c r="AZ30" t="s">
        <v>167</v>
      </c>
      <c r="BA30" t="s">
        <v>168</v>
      </c>
    </row>
    <row r="31" spans="1:53">
      <c r="H31" s="17">
        <v>45658</v>
      </c>
      <c r="I31" s="18">
        <v>900</v>
      </c>
      <c r="J31" s="18">
        <f>AA31*AP31</f>
        <v>10000</v>
      </c>
      <c r="K31" s="18">
        <f t="shared" ref="K31:U31" si="1">AB31*AQ31</f>
        <v>10000</v>
      </c>
      <c r="L31" s="18">
        <f t="shared" si="1"/>
        <v>10000</v>
      </c>
      <c r="M31" s="18">
        <f t="shared" si="1"/>
        <v>10000</v>
      </c>
      <c r="N31" s="18">
        <f t="shared" si="1"/>
        <v>10000</v>
      </c>
      <c r="O31" s="18">
        <f t="shared" si="1"/>
        <v>10000</v>
      </c>
      <c r="P31" s="18">
        <f t="shared" si="1"/>
        <v>10000</v>
      </c>
      <c r="Q31" s="18">
        <f t="shared" si="1"/>
        <v>10000</v>
      </c>
      <c r="R31" s="18">
        <f t="shared" si="1"/>
        <v>10000</v>
      </c>
      <c r="S31" s="18">
        <f t="shared" si="1"/>
        <v>10000</v>
      </c>
      <c r="T31" s="18">
        <f t="shared" si="1"/>
        <v>10000</v>
      </c>
      <c r="U31" s="18">
        <f t="shared" si="1"/>
        <v>10000</v>
      </c>
      <c r="Y31" s="17">
        <v>45658</v>
      </c>
      <c r="Z31" s="18"/>
      <c r="AA31" s="18">
        <v>20000</v>
      </c>
      <c r="AB31" s="18">
        <v>20500</v>
      </c>
      <c r="AC31" s="18">
        <v>21000</v>
      </c>
      <c r="AD31" s="18">
        <v>21500</v>
      </c>
      <c r="AE31" s="18">
        <v>22000</v>
      </c>
      <c r="AF31" s="18">
        <v>22500</v>
      </c>
      <c r="AG31" s="18">
        <v>23000</v>
      </c>
      <c r="AH31" s="18">
        <v>23500</v>
      </c>
      <c r="AI31" s="18">
        <v>24000</v>
      </c>
      <c r="AJ31" s="18">
        <v>24500</v>
      </c>
      <c r="AK31" s="18">
        <v>25000</v>
      </c>
      <c r="AL31" s="18">
        <v>25500</v>
      </c>
      <c r="AN31" s="17">
        <v>45658</v>
      </c>
      <c r="AO31" s="18"/>
      <c r="AP31" s="26">
        <v>0.5</v>
      </c>
      <c r="AQ31" s="26">
        <v>0.48780487804878</v>
      </c>
      <c r="AR31" s="26">
        <v>0.476190476190476</v>
      </c>
      <c r="AS31" s="26">
        <v>0.465116279069767</v>
      </c>
      <c r="AT31" s="26">
        <v>0.454545454545455</v>
      </c>
      <c r="AU31" s="26">
        <v>0.444444444444444</v>
      </c>
      <c r="AV31" s="26">
        <v>0.434782608695652</v>
      </c>
      <c r="AW31" s="26">
        <v>0.425531914893617</v>
      </c>
      <c r="AX31" s="26">
        <v>0.416666666666667</v>
      </c>
      <c r="AY31" s="26">
        <v>0.408163265306122</v>
      </c>
      <c r="AZ31" s="26">
        <v>0.4</v>
      </c>
      <c r="BA31" s="26">
        <v>0.392156862745098</v>
      </c>
    </row>
    <row r="32" spans="1:53">
      <c r="H32" s="17">
        <v>45689</v>
      </c>
      <c r="I32" s="18">
        <f t="shared" ref="I32:I42" si="2">I31+300</f>
        <v>1200</v>
      </c>
      <c r="J32" s="18">
        <f t="shared" ref="J32:J42" si="3">AA32*AP32</f>
        <v>10000</v>
      </c>
      <c r="K32" s="18">
        <f t="shared" ref="K32:U32" si="4">AB32*AQ32</f>
        <v>10000</v>
      </c>
      <c r="L32" s="18">
        <f t="shared" si="4"/>
        <v>10000</v>
      </c>
      <c r="M32" s="18">
        <f t="shared" si="4"/>
        <v>10000</v>
      </c>
      <c r="N32" s="18">
        <f t="shared" si="4"/>
        <v>10000</v>
      </c>
      <c r="O32" s="18">
        <f t="shared" si="4"/>
        <v>10000</v>
      </c>
      <c r="P32" s="18">
        <f t="shared" si="4"/>
        <v>10000</v>
      </c>
      <c r="Q32" s="18">
        <f t="shared" si="4"/>
        <v>10000</v>
      </c>
      <c r="R32" s="18">
        <f t="shared" si="4"/>
        <v>10000</v>
      </c>
      <c r="S32" s="18">
        <f t="shared" si="4"/>
        <v>10000</v>
      </c>
      <c r="T32" s="18">
        <f t="shared" si="4"/>
        <v>10000</v>
      </c>
      <c r="U32" s="18"/>
      <c r="Y32" s="17">
        <v>45689</v>
      </c>
      <c r="Z32" s="18"/>
      <c r="AA32" s="18">
        <v>20000</v>
      </c>
      <c r="AB32" s="18">
        <v>20500</v>
      </c>
      <c r="AC32" s="18">
        <v>21000</v>
      </c>
      <c r="AD32" s="18">
        <v>21500</v>
      </c>
      <c r="AE32" s="18">
        <v>22000</v>
      </c>
      <c r="AF32" s="18">
        <v>22500</v>
      </c>
      <c r="AG32" s="18">
        <v>23000</v>
      </c>
      <c r="AH32" s="18">
        <v>23500</v>
      </c>
      <c r="AI32" s="18">
        <v>24000</v>
      </c>
      <c r="AJ32" s="18">
        <v>24500</v>
      </c>
      <c r="AK32" s="18">
        <v>25000</v>
      </c>
      <c r="AL32" s="18"/>
      <c r="AN32" s="17">
        <v>45689</v>
      </c>
      <c r="AO32" s="18"/>
      <c r="AP32" s="26">
        <v>0.5</v>
      </c>
      <c r="AQ32" s="26">
        <v>0.48780487804878</v>
      </c>
      <c r="AR32" s="26">
        <v>0.476190476190476</v>
      </c>
      <c r="AS32" s="26">
        <v>0.465116279069767</v>
      </c>
      <c r="AT32" s="26">
        <v>0.454545454545455</v>
      </c>
      <c r="AU32" s="26">
        <v>0.444444444444444</v>
      </c>
      <c r="AV32" s="26">
        <v>0.434782608695652</v>
      </c>
      <c r="AW32" s="26">
        <v>0.425531914893617</v>
      </c>
      <c r="AX32" s="26">
        <v>0.416666666666667</v>
      </c>
      <c r="AY32" s="26">
        <v>0.408163265306122</v>
      </c>
      <c r="AZ32" s="26">
        <v>0.4</v>
      </c>
      <c r="BA32" s="26"/>
    </row>
    <row r="33" spans="7:53">
      <c r="H33" s="17">
        <v>45717</v>
      </c>
      <c r="I33" s="18">
        <f t="shared" si="2"/>
        <v>1500</v>
      </c>
      <c r="J33" s="18">
        <f t="shared" si="3"/>
        <v>10000</v>
      </c>
      <c r="K33" s="18">
        <f t="shared" ref="K33:U33" si="5">AB33*AQ33</f>
        <v>10000</v>
      </c>
      <c r="L33" s="18">
        <f t="shared" si="5"/>
        <v>10000</v>
      </c>
      <c r="M33" s="18">
        <f t="shared" si="5"/>
        <v>10000</v>
      </c>
      <c r="N33" s="18">
        <f t="shared" si="5"/>
        <v>10000</v>
      </c>
      <c r="O33" s="18">
        <f t="shared" si="5"/>
        <v>10000</v>
      </c>
      <c r="P33" s="18">
        <f t="shared" si="5"/>
        <v>10000</v>
      </c>
      <c r="Q33" s="18">
        <f t="shared" si="5"/>
        <v>10000</v>
      </c>
      <c r="R33" s="18">
        <f t="shared" si="5"/>
        <v>10000</v>
      </c>
      <c r="S33" s="18">
        <f t="shared" si="5"/>
        <v>10000</v>
      </c>
      <c r="T33" s="18"/>
      <c r="U33" s="18"/>
      <c r="Y33" s="17">
        <v>45717</v>
      </c>
      <c r="Z33" s="18"/>
      <c r="AA33" s="18">
        <v>20000</v>
      </c>
      <c r="AB33" s="18">
        <v>20500</v>
      </c>
      <c r="AC33" s="18">
        <v>21000</v>
      </c>
      <c r="AD33" s="18">
        <v>21500</v>
      </c>
      <c r="AE33" s="18">
        <v>22000</v>
      </c>
      <c r="AF33" s="18">
        <v>22500</v>
      </c>
      <c r="AG33" s="18">
        <v>23000</v>
      </c>
      <c r="AH33" s="18">
        <v>23500</v>
      </c>
      <c r="AI33" s="18">
        <v>24000</v>
      </c>
      <c r="AJ33" s="18">
        <v>24500</v>
      </c>
      <c r="AK33" s="18"/>
      <c r="AL33" s="18"/>
      <c r="AN33" s="17">
        <v>45717</v>
      </c>
      <c r="AO33" s="18"/>
      <c r="AP33" s="26">
        <v>0.5</v>
      </c>
      <c r="AQ33" s="26">
        <v>0.48780487804878</v>
      </c>
      <c r="AR33" s="26">
        <v>0.476190476190476</v>
      </c>
      <c r="AS33" s="26">
        <v>0.465116279069767</v>
      </c>
      <c r="AT33" s="26">
        <v>0.454545454545455</v>
      </c>
      <c r="AU33" s="26">
        <v>0.444444444444444</v>
      </c>
      <c r="AV33" s="26">
        <v>0.434782608695652</v>
      </c>
      <c r="AW33" s="26">
        <v>0.425531914893617</v>
      </c>
      <c r="AX33" s="26">
        <v>0.416666666666667</v>
      </c>
      <c r="AY33" s="26">
        <v>0.408163265306122</v>
      </c>
      <c r="AZ33" s="26"/>
      <c r="BA33" s="26"/>
    </row>
    <row r="34" spans="7:53">
      <c r="H34" s="17">
        <v>45748</v>
      </c>
      <c r="I34" s="18">
        <f t="shared" si="2"/>
        <v>1800</v>
      </c>
      <c r="J34" s="18">
        <f t="shared" si="3"/>
        <v>10000</v>
      </c>
      <c r="K34" s="18">
        <f t="shared" ref="K34:U34" si="6">AB34*AQ34</f>
        <v>10000</v>
      </c>
      <c r="L34" s="18">
        <f t="shared" si="6"/>
        <v>10000</v>
      </c>
      <c r="M34" s="18">
        <f t="shared" si="6"/>
        <v>10000</v>
      </c>
      <c r="N34" s="18">
        <f t="shared" si="6"/>
        <v>10000</v>
      </c>
      <c r="O34" s="18">
        <f t="shared" si="6"/>
        <v>10000</v>
      </c>
      <c r="P34" s="18">
        <f t="shared" si="6"/>
        <v>10000</v>
      </c>
      <c r="Q34" s="18">
        <f t="shared" si="6"/>
        <v>10000</v>
      </c>
      <c r="R34" s="18">
        <f t="shared" si="6"/>
        <v>10000</v>
      </c>
      <c r="S34" s="18"/>
      <c r="T34" s="18"/>
      <c r="U34" s="18"/>
      <c r="Y34" s="17">
        <v>45748</v>
      </c>
      <c r="Z34" s="18"/>
      <c r="AA34" s="18">
        <v>20000</v>
      </c>
      <c r="AB34" s="18">
        <v>20500</v>
      </c>
      <c r="AC34" s="18">
        <v>21000</v>
      </c>
      <c r="AD34" s="18">
        <v>21500</v>
      </c>
      <c r="AE34" s="18">
        <v>22000</v>
      </c>
      <c r="AF34" s="18">
        <v>22500</v>
      </c>
      <c r="AG34" s="18">
        <v>23000</v>
      </c>
      <c r="AH34" s="18">
        <v>23500</v>
      </c>
      <c r="AI34" s="18">
        <v>24000</v>
      </c>
      <c r="AJ34" s="18"/>
      <c r="AK34" s="18"/>
      <c r="AL34" s="18"/>
      <c r="AN34" s="17">
        <v>45748</v>
      </c>
      <c r="AO34" s="18"/>
      <c r="AP34" s="26">
        <v>0.5</v>
      </c>
      <c r="AQ34" s="26">
        <v>0.48780487804878</v>
      </c>
      <c r="AR34" s="26">
        <v>0.476190476190476</v>
      </c>
      <c r="AS34" s="26">
        <v>0.465116279069767</v>
      </c>
      <c r="AT34" s="26">
        <v>0.454545454545455</v>
      </c>
      <c r="AU34" s="26">
        <v>0.444444444444444</v>
      </c>
      <c r="AV34" s="26">
        <v>0.434782608695652</v>
      </c>
      <c r="AW34" s="26">
        <v>0.425531914893617</v>
      </c>
      <c r="AX34" s="26">
        <v>0.416666666666667</v>
      </c>
      <c r="AY34" s="26"/>
      <c r="AZ34" s="26"/>
      <c r="BA34" s="26"/>
    </row>
    <row r="35" spans="7:53">
      <c r="H35" s="17">
        <v>45778</v>
      </c>
      <c r="I35" s="18">
        <f t="shared" si="2"/>
        <v>2100</v>
      </c>
      <c r="J35" s="18">
        <f t="shared" si="3"/>
        <v>10000</v>
      </c>
      <c r="K35" s="18">
        <f t="shared" ref="K35:U35" si="7">AB35*AQ35</f>
        <v>10000</v>
      </c>
      <c r="L35" s="18">
        <f t="shared" si="7"/>
        <v>10000</v>
      </c>
      <c r="M35" s="18">
        <f t="shared" si="7"/>
        <v>10000</v>
      </c>
      <c r="N35" s="18">
        <f t="shared" si="7"/>
        <v>10000</v>
      </c>
      <c r="O35" s="18">
        <f t="shared" si="7"/>
        <v>10000</v>
      </c>
      <c r="P35" s="18">
        <f t="shared" si="7"/>
        <v>10000</v>
      </c>
      <c r="Q35" s="18">
        <f t="shared" si="7"/>
        <v>10000</v>
      </c>
      <c r="R35" s="18"/>
      <c r="S35" s="18"/>
      <c r="T35" s="18"/>
      <c r="U35" s="18"/>
      <c r="Y35" s="17">
        <v>45778</v>
      </c>
      <c r="Z35" s="18"/>
      <c r="AA35" s="18">
        <v>20000</v>
      </c>
      <c r="AB35" s="18">
        <v>20500</v>
      </c>
      <c r="AC35" s="18">
        <v>21000</v>
      </c>
      <c r="AD35" s="18">
        <v>21500</v>
      </c>
      <c r="AE35" s="18">
        <v>22000</v>
      </c>
      <c r="AF35" s="18">
        <v>22500</v>
      </c>
      <c r="AG35" s="18">
        <v>23000</v>
      </c>
      <c r="AH35" s="18">
        <v>23500</v>
      </c>
      <c r="AI35" s="18"/>
      <c r="AJ35" s="18"/>
      <c r="AK35" s="18"/>
      <c r="AL35" s="18"/>
      <c r="AN35" s="17">
        <v>45778</v>
      </c>
      <c r="AO35" s="18"/>
      <c r="AP35" s="26">
        <v>0.5</v>
      </c>
      <c r="AQ35" s="26">
        <v>0.48780487804878</v>
      </c>
      <c r="AR35" s="26">
        <v>0.476190476190476</v>
      </c>
      <c r="AS35" s="26">
        <v>0.465116279069767</v>
      </c>
      <c r="AT35" s="26">
        <v>0.454545454545455</v>
      </c>
      <c r="AU35" s="26">
        <v>0.444444444444444</v>
      </c>
      <c r="AV35" s="26">
        <v>0.434782608695652</v>
      </c>
      <c r="AW35" s="26">
        <v>0.425531914893617</v>
      </c>
      <c r="AX35" s="26"/>
      <c r="AY35" s="26"/>
      <c r="AZ35" s="26"/>
      <c r="BA35" s="26"/>
    </row>
    <row r="36" spans="7:53">
      <c r="H36" s="17">
        <v>45809</v>
      </c>
      <c r="I36" s="18">
        <f t="shared" si="2"/>
        <v>2400</v>
      </c>
      <c r="J36" s="18">
        <f t="shared" si="3"/>
        <v>10000</v>
      </c>
      <c r="K36" s="18">
        <f t="shared" ref="K36:U36" si="8">AB36*AQ36</f>
        <v>10000</v>
      </c>
      <c r="L36" s="18">
        <f t="shared" si="8"/>
        <v>10000</v>
      </c>
      <c r="M36" s="18">
        <f t="shared" si="8"/>
        <v>10000</v>
      </c>
      <c r="N36" s="18">
        <f t="shared" si="8"/>
        <v>10000</v>
      </c>
      <c r="O36" s="18">
        <f t="shared" si="8"/>
        <v>10000</v>
      </c>
      <c r="P36" s="18">
        <f t="shared" si="8"/>
        <v>10000</v>
      </c>
      <c r="Q36" s="18"/>
      <c r="R36" s="18"/>
      <c r="S36" s="18"/>
      <c r="T36" s="18"/>
      <c r="U36" s="18"/>
      <c r="Y36" s="17">
        <v>45809</v>
      </c>
      <c r="Z36" s="18"/>
      <c r="AA36" s="18">
        <v>20000</v>
      </c>
      <c r="AB36" s="18">
        <v>20500</v>
      </c>
      <c r="AC36" s="18">
        <v>21000</v>
      </c>
      <c r="AD36" s="18">
        <v>21500</v>
      </c>
      <c r="AE36" s="18">
        <v>22000</v>
      </c>
      <c r="AF36" s="18">
        <v>22500</v>
      </c>
      <c r="AG36" s="18">
        <v>23000</v>
      </c>
      <c r="AH36" s="18"/>
      <c r="AI36" s="18"/>
      <c r="AJ36" s="18"/>
      <c r="AK36" s="18"/>
      <c r="AL36" s="18"/>
      <c r="AN36" s="17">
        <v>45809</v>
      </c>
      <c r="AO36" s="18"/>
      <c r="AP36" s="26">
        <v>0.5</v>
      </c>
      <c r="AQ36" s="26">
        <v>0.48780487804878</v>
      </c>
      <c r="AR36" s="26">
        <v>0.476190476190476</v>
      </c>
      <c r="AS36" s="26">
        <v>0.465116279069767</v>
      </c>
      <c r="AT36" s="26">
        <v>0.454545454545455</v>
      </c>
      <c r="AU36" s="26">
        <v>0.444444444444444</v>
      </c>
      <c r="AV36" s="26">
        <v>0.434782608695652</v>
      </c>
      <c r="AW36" s="26"/>
      <c r="AX36" s="26"/>
      <c r="AY36" s="26"/>
      <c r="AZ36" s="26"/>
      <c r="BA36" s="26"/>
    </row>
    <row r="37" spans="7:53">
      <c r="H37" s="17">
        <v>45839</v>
      </c>
      <c r="I37" s="18">
        <f t="shared" si="2"/>
        <v>2700</v>
      </c>
      <c r="J37" s="18">
        <f t="shared" si="3"/>
        <v>10000</v>
      </c>
      <c r="K37" s="18">
        <f t="shared" ref="K37:U37" si="9">AB37*AQ37</f>
        <v>10000</v>
      </c>
      <c r="L37" s="18">
        <f t="shared" si="9"/>
        <v>10000</v>
      </c>
      <c r="M37" s="18">
        <f t="shared" si="9"/>
        <v>10000</v>
      </c>
      <c r="N37" s="18">
        <f t="shared" si="9"/>
        <v>10000</v>
      </c>
      <c r="O37" s="18">
        <f t="shared" si="9"/>
        <v>10000</v>
      </c>
      <c r="P37" s="18"/>
      <c r="Q37" s="18"/>
      <c r="R37" s="18"/>
      <c r="S37" s="18"/>
      <c r="T37" s="18"/>
      <c r="U37" s="18"/>
      <c r="Y37" s="17">
        <v>45839</v>
      </c>
      <c r="Z37" s="18"/>
      <c r="AA37" s="18">
        <v>20000</v>
      </c>
      <c r="AB37" s="18">
        <v>20500</v>
      </c>
      <c r="AC37" s="18">
        <v>21000</v>
      </c>
      <c r="AD37" s="18">
        <v>21500</v>
      </c>
      <c r="AE37" s="18">
        <v>22000</v>
      </c>
      <c r="AF37" s="18">
        <v>22500</v>
      </c>
      <c r="AG37" s="18"/>
      <c r="AH37" s="18"/>
      <c r="AI37" s="18"/>
      <c r="AJ37" s="18"/>
      <c r="AK37" s="18"/>
      <c r="AL37" s="18"/>
      <c r="AN37" s="17">
        <v>45839</v>
      </c>
      <c r="AO37" s="18"/>
      <c r="AP37" s="26">
        <v>0.5</v>
      </c>
      <c r="AQ37" s="26">
        <v>0.48780487804878</v>
      </c>
      <c r="AR37" s="26">
        <v>0.476190476190476</v>
      </c>
      <c r="AS37" s="26">
        <v>0.465116279069767</v>
      </c>
      <c r="AT37" s="26">
        <v>0.454545454545455</v>
      </c>
      <c r="AU37" s="26">
        <v>0.444444444444444</v>
      </c>
      <c r="AV37" s="26"/>
      <c r="AW37" s="26"/>
      <c r="AX37" s="26"/>
      <c r="AY37" s="26"/>
      <c r="AZ37" s="26"/>
      <c r="BA37" s="26"/>
    </row>
    <row r="38" spans="7:53">
      <c r="H38" s="17">
        <v>45870</v>
      </c>
      <c r="I38" s="18">
        <f t="shared" si="2"/>
        <v>3000</v>
      </c>
      <c r="J38" s="18">
        <f t="shared" si="3"/>
        <v>10000</v>
      </c>
      <c r="K38" s="18">
        <f>AB38*AQ38</f>
        <v>10000</v>
      </c>
      <c r="L38" s="18">
        <f>AC38*AR38</f>
        <v>10000</v>
      </c>
      <c r="M38" s="18">
        <f>AD38*AS38</f>
        <v>10000</v>
      </c>
      <c r="N38" s="18">
        <f>AE38*AT38</f>
        <v>10000</v>
      </c>
      <c r="O38" s="18"/>
      <c r="P38" s="18"/>
      <c r="Q38" s="18"/>
      <c r="R38" s="18"/>
      <c r="S38" s="18"/>
      <c r="T38" s="18"/>
      <c r="U38" s="18"/>
      <c r="Y38" s="17">
        <v>45870</v>
      </c>
      <c r="Z38" s="18"/>
      <c r="AA38" s="18">
        <v>20000</v>
      </c>
      <c r="AB38" s="18">
        <v>20500</v>
      </c>
      <c r="AC38" s="18">
        <v>21000</v>
      </c>
      <c r="AD38" s="18">
        <v>21500</v>
      </c>
      <c r="AE38" s="18">
        <v>22000</v>
      </c>
      <c r="AF38" s="18"/>
      <c r="AG38" s="18"/>
      <c r="AH38" s="18"/>
      <c r="AI38" s="18"/>
      <c r="AJ38" s="18"/>
      <c r="AK38" s="18"/>
      <c r="AL38" s="18"/>
      <c r="AN38" s="17">
        <v>45870</v>
      </c>
      <c r="AO38" s="18"/>
      <c r="AP38" s="26">
        <v>0.5</v>
      </c>
      <c r="AQ38" s="26">
        <v>0.48780487804878</v>
      </c>
      <c r="AR38" s="26">
        <v>0.476190476190476</v>
      </c>
      <c r="AS38" s="26">
        <v>0.465116279069767</v>
      </c>
      <c r="AT38" s="26">
        <v>0.454545454545455</v>
      </c>
      <c r="AU38" s="26"/>
      <c r="AV38" s="26"/>
      <c r="AW38" s="26"/>
      <c r="AX38" s="26"/>
      <c r="AY38" s="26"/>
      <c r="AZ38" s="26"/>
      <c r="BA38" s="26"/>
    </row>
    <row r="39" spans="7:53">
      <c r="H39" s="17">
        <v>45901</v>
      </c>
      <c r="I39" s="18">
        <f t="shared" si="2"/>
        <v>3300</v>
      </c>
      <c r="J39" s="18">
        <f t="shared" si="3"/>
        <v>10000</v>
      </c>
      <c r="K39" s="18">
        <f>AB39*AQ39</f>
        <v>10000</v>
      </c>
      <c r="L39" s="18">
        <f>AC39*AR39</f>
        <v>10000</v>
      </c>
      <c r="M39" s="18">
        <f>AD39*AS39</f>
        <v>10000</v>
      </c>
      <c r="N39" s="18"/>
      <c r="O39" s="18"/>
      <c r="P39" s="18"/>
      <c r="Q39" s="18"/>
      <c r="R39" s="18"/>
      <c r="S39" s="18"/>
      <c r="T39" s="18"/>
      <c r="U39" s="18"/>
      <c r="Y39" s="17">
        <v>45901</v>
      </c>
      <c r="Z39" s="18"/>
      <c r="AA39" s="18">
        <v>20000</v>
      </c>
      <c r="AB39" s="18">
        <v>20500</v>
      </c>
      <c r="AC39" s="18">
        <v>21000</v>
      </c>
      <c r="AD39" s="18">
        <v>21500</v>
      </c>
      <c r="AE39" s="18"/>
      <c r="AF39" s="18"/>
      <c r="AG39" s="18"/>
      <c r="AH39" s="18"/>
      <c r="AI39" s="18"/>
      <c r="AJ39" s="18"/>
      <c r="AK39" s="18"/>
      <c r="AL39" s="18"/>
      <c r="AN39" s="17">
        <v>45901</v>
      </c>
      <c r="AO39" s="18"/>
      <c r="AP39" s="26">
        <v>0.5</v>
      </c>
      <c r="AQ39" s="26">
        <v>0.48780487804878</v>
      </c>
      <c r="AR39" s="26">
        <v>0.476190476190476</v>
      </c>
      <c r="AS39" s="26">
        <v>0.465116279069767</v>
      </c>
      <c r="AT39" s="26"/>
      <c r="AU39" s="26"/>
      <c r="AV39" s="26"/>
      <c r="AW39" s="26"/>
      <c r="AX39" s="26"/>
      <c r="AY39" s="26"/>
      <c r="AZ39" s="26"/>
      <c r="BA39" s="26"/>
    </row>
    <row r="40" spans="7:53">
      <c r="H40" s="17">
        <v>45931</v>
      </c>
      <c r="I40" s="18">
        <f t="shared" si="2"/>
        <v>3600</v>
      </c>
      <c r="J40" s="18">
        <f t="shared" si="3"/>
        <v>10000</v>
      </c>
      <c r="K40" s="18">
        <f>AB40*AQ40</f>
        <v>10000</v>
      </c>
      <c r="L40" s="18">
        <f>AC40*AR40</f>
        <v>10000</v>
      </c>
      <c r="M40" s="18"/>
      <c r="N40" s="18"/>
      <c r="O40" s="18"/>
      <c r="P40" s="18"/>
      <c r="Q40" s="18"/>
      <c r="R40" s="18"/>
      <c r="S40" s="18"/>
      <c r="T40" s="18"/>
      <c r="U40" s="18"/>
      <c r="Y40" s="17">
        <v>45931</v>
      </c>
      <c r="Z40" s="18"/>
      <c r="AA40" s="18">
        <v>20000</v>
      </c>
      <c r="AB40" s="18">
        <v>20500</v>
      </c>
      <c r="AC40" s="18">
        <v>21000</v>
      </c>
      <c r="AD40" s="18"/>
      <c r="AE40" s="18"/>
      <c r="AF40" s="18"/>
      <c r="AG40" s="18"/>
      <c r="AH40" s="18"/>
      <c r="AI40" s="18"/>
      <c r="AJ40" s="18"/>
      <c r="AK40" s="18"/>
      <c r="AL40" s="18"/>
      <c r="AN40" s="17">
        <v>45931</v>
      </c>
      <c r="AO40" s="18"/>
      <c r="AP40" s="26">
        <v>0.5</v>
      </c>
      <c r="AQ40" s="26">
        <v>0.48780487804878</v>
      </c>
      <c r="AR40" s="26">
        <v>0.476190476190476</v>
      </c>
      <c r="AS40" s="26"/>
      <c r="AT40" s="26"/>
      <c r="AU40" s="26"/>
      <c r="AV40" s="26"/>
      <c r="AW40" s="26"/>
      <c r="AX40" s="26"/>
      <c r="AY40" s="26"/>
      <c r="AZ40" s="26"/>
      <c r="BA40" s="26"/>
    </row>
    <row r="41" spans="7:53">
      <c r="H41" s="17">
        <v>45962</v>
      </c>
      <c r="I41" s="18">
        <f t="shared" si="2"/>
        <v>3900</v>
      </c>
      <c r="J41" s="18">
        <f t="shared" si="3"/>
        <v>10000</v>
      </c>
      <c r="K41" s="18">
        <f>AB41*AQ41</f>
        <v>10000</v>
      </c>
      <c r="L41" s="18"/>
      <c r="M41" s="18"/>
      <c r="N41" s="18"/>
      <c r="O41" s="18"/>
      <c r="P41" s="18"/>
      <c r="Q41" s="18"/>
      <c r="R41" s="18"/>
      <c r="S41" s="18"/>
      <c r="T41" s="18"/>
      <c r="U41" s="18"/>
      <c r="Y41" s="17">
        <v>45962</v>
      </c>
      <c r="Z41" s="18"/>
      <c r="AA41" s="18">
        <v>20000</v>
      </c>
      <c r="AB41" s="18">
        <v>20500</v>
      </c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N41" s="17">
        <v>45962</v>
      </c>
      <c r="AO41" s="18"/>
      <c r="AP41" s="26">
        <v>0.5</v>
      </c>
      <c r="AQ41" s="26">
        <v>0.48780487804878</v>
      </c>
      <c r="AR41" s="26"/>
      <c r="AS41" s="26"/>
      <c r="AT41" s="26"/>
      <c r="AU41" s="26"/>
      <c r="AV41" s="26"/>
      <c r="AW41" s="26"/>
      <c r="AX41" s="26"/>
      <c r="AY41" s="26"/>
      <c r="AZ41" s="26"/>
      <c r="BA41" s="26"/>
    </row>
    <row r="42" spans="7:53">
      <c r="H42" s="17">
        <v>45992</v>
      </c>
      <c r="I42" s="18">
        <f t="shared" si="2"/>
        <v>4200</v>
      </c>
      <c r="J42" s="18">
        <f t="shared" si="3"/>
        <v>10000</v>
      </c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Y42" s="17">
        <v>45992</v>
      </c>
      <c r="Z42" s="18"/>
      <c r="AA42" s="18">
        <v>20000</v>
      </c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N42" s="17">
        <v>45992</v>
      </c>
      <c r="AO42" s="18"/>
      <c r="AP42" s="26">
        <v>0.5</v>
      </c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</row>
    <row r="44" spans="7:53">
      <c r="G44" s="14" t="s">
        <v>177</v>
      </c>
      <c r="J44" t="s">
        <v>178</v>
      </c>
    </row>
    <row r="45" spans="7:53">
      <c r="H45" t="s">
        <v>155</v>
      </c>
      <c r="I45" t="s">
        <v>156</v>
      </c>
      <c r="J45" t="s">
        <v>157</v>
      </c>
      <c r="K45" t="s">
        <v>158</v>
      </c>
      <c r="L45" t="s">
        <v>159</v>
      </c>
      <c r="M45" t="s">
        <v>160</v>
      </c>
      <c r="N45" t="s">
        <v>161</v>
      </c>
      <c r="O45" t="s">
        <v>162</v>
      </c>
      <c r="P45" t="s">
        <v>163</v>
      </c>
      <c r="Q45" t="s">
        <v>164</v>
      </c>
      <c r="R45" t="s">
        <v>165</v>
      </c>
      <c r="S45" t="s">
        <v>166</v>
      </c>
      <c r="T45" t="s">
        <v>167</v>
      </c>
      <c r="U45" t="s">
        <v>168</v>
      </c>
    </row>
    <row r="46" spans="7:53">
      <c r="H46" s="17">
        <v>45658</v>
      </c>
      <c r="I46" s="18">
        <v>900</v>
      </c>
      <c r="J46" s="18">
        <f>J31*J16</f>
        <v>-200</v>
      </c>
      <c r="K46" s="18">
        <f t="shared" ref="K46:U46" si="10">K31*K16</f>
        <v>300</v>
      </c>
      <c r="L46" s="18">
        <f t="shared" si="10"/>
        <v>300</v>
      </c>
      <c r="M46" s="18">
        <f t="shared" si="10"/>
        <v>300</v>
      </c>
      <c r="N46" s="18">
        <f t="shared" si="10"/>
        <v>300</v>
      </c>
      <c r="O46" s="18">
        <f t="shared" si="10"/>
        <v>300</v>
      </c>
      <c r="P46" s="18">
        <f t="shared" si="10"/>
        <v>300</v>
      </c>
      <c r="Q46" s="18">
        <f t="shared" si="10"/>
        <v>300</v>
      </c>
      <c r="R46" s="18">
        <f t="shared" si="10"/>
        <v>300</v>
      </c>
      <c r="S46" s="18">
        <f t="shared" si="10"/>
        <v>300</v>
      </c>
      <c r="T46" s="18">
        <f t="shared" si="10"/>
        <v>300</v>
      </c>
      <c r="U46" s="18">
        <f t="shared" si="10"/>
        <v>300</v>
      </c>
    </row>
    <row r="47" spans="7:53">
      <c r="H47" s="17">
        <v>45689</v>
      </c>
      <c r="I47" s="18">
        <f t="shared" ref="I47:I57" si="11">I46+300</f>
        <v>1200</v>
      </c>
      <c r="J47" s="18">
        <f t="shared" ref="J47:J57" si="12">J32*J17</f>
        <v>-200</v>
      </c>
      <c r="K47" s="18">
        <f t="shared" ref="K47:K57" si="13">K32*K17</f>
        <v>300</v>
      </c>
      <c r="L47" s="18">
        <f t="shared" ref="L47:L57" si="14">L32*L17</f>
        <v>300</v>
      </c>
      <c r="M47" s="18">
        <f t="shared" ref="M47:M57" si="15">M32*M17</f>
        <v>300</v>
      </c>
      <c r="N47" s="18">
        <f t="shared" ref="N47:N57" si="16">N32*N17</f>
        <v>300</v>
      </c>
      <c r="O47" s="18">
        <f t="shared" ref="O47:O57" si="17">O32*O17</f>
        <v>300</v>
      </c>
      <c r="P47" s="18">
        <f t="shared" ref="P47:P57" si="18">P32*P17</f>
        <v>300</v>
      </c>
      <c r="Q47" s="18">
        <f>Q32*Q17</f>
        <v>300</v>
      </c>
      <c r="R47" s="18">
        <f>R32*R17</f>
        <v>300</v>
      </c>
      <c r="S47" s="18">
        <f>S32*S17</f>
        <v>300</v>
      </c>
      <c r="T47" s="18">
        <f>T32*T17</f>
        <v>300</v>
      </c>
      <c r="U47" s="18"/>
    </row>
    <row r="48" spans="7:53">
      <c r="H48" s="17">
        <v>45717</v>
      </c>
      <c r="I48" s="18">
        <f t="shared" si="11"/>
        <v>1500</v>
      </c>
      <c r="J48" s="18">
        <f t="shared" si="12"/>
        <v>-200</v>
      </c>
      <c r="K48" s="18">
        <f t="shared" si="13"/>
        <v>300</v>
      </c>
      <c r="L48" s="18">
        <f t="shared" si="14"/>
        <v>300</v>
      </c>
      <c r="M48" s="18">
        <f t="shared" si="15"/>
        <v>300</v>
      </c>
      <c r="N48" s="18">
        <f t="shared" si="16"/>
        <v>300</v>
      </c>
      <c r="O48" s="18">
        <f t="shared" si="17"/>
        <v>300</v>
      </c>
      <c r="P48" s="18">
        <f t="shared" si="18"/>
        <v>300</v>
      </c>
      <c r="Q48" s="18">
        <f>Q33*Q18</f>
        <v>300</v>
      </c>
      <c r="R48" s="18">
        <f>R33*R18</f>
        <v>300</v>
      </c>
      <c r="S48" s="18">
        <f>S33*S18</f>
        <v>300</v>
      </c>
      <c r="T48" s="18"/>
      <c r="U48" s="18"/>
    </row>
    <row r="49" spans="7:21">
      <c r="H49" s="17">
        <v>45748</v>
      </c>
      <c r="I49" s="18">
        <f t="shared" si="11"/>
        <v>1800</v>
      </c>
      <c r="J49" s="18">
        <f t="shared" si="12"/>
        <v>-200</v>
      </c>
      <c r="K49" s="18">
        <f t="shared" si="13"/>
        <v>300</v>
      </c>
      <c r="L49" s="18">
        <f t="shared" si="14"/>
        <v>300</v>
      </c>
      <c r="M49" s="18">
        <f t="shared" si="15"/>
        <v>300</v>
      </c>
      <c r="N49" s="18">
        <f t="shared" si="16"/>
        <v>300</v>
      </c>
      <c r="O49" s="18">
        <f t="shared" si="17"/>
        <v>300</v>
      </c>
      <c r="P49" s="18">
        <f t="shared" si="18"/>
        <v>300</v>
      </c>
      <c r="Q49" s="18">
        <f>Q34*Q19</f>
        <v>300</v>
      </c>
      <c r="R49" s="18">
        <f>R34*R19</f>
        <v>300</v>
      </c>
      <c r="S49" s="18"/>
      <c r="T49" s="18"/>
      <c r="U49" s="18"/>
    </row>
    <row r="50" spans="7:21">
      <c r="H50" s="17">
        <v>45778</v>
      </c>
      <c r="I50" s="18">
        <f t="shared" si="11"/>
        <v>2100</v>
      </c>
      <c r="J50" s="18">
        <f t="shared" si="12"/>
        <v>-200</v>
      </c>
      <c r="K50" s="18">
        <f t="shared" si="13"/>
        <v>300</v>
      </c>
      <c r="L50" s="18">
        <f t="shared" si="14"/>
        <v>300</v>
      </c>
      <c r="M50" s="18">
        <f t="shared" si="15"/>
        <v>300</v>
      </c>
      <c r="N50" s="18">
        <f t="shared" si="16"/>
        <v>300</v>
      </c>
      <c r="O50" s="18">
        <f t="shared" si="17"/>
        <v>300</v>
      </c>
      <c r="P50" s="18">
        <f t="shared" si="18"/>
        <v>300</v>
      </c>
      <c r="Q50" s="18">
        <f>Q35*Q20</f>
        <v>300</v>
      </c>
      <c r="R50" s="18"/>
      <c r="S50" s="18"/>
      <c r="T50" s="18"/>
      <c r="U50" s="18"/>
    </row>
    <row r="51" spans="7:21">
      <c r="H51" s="17">
        <v>45809</v>
      </c>
      <c r="I51" s="18">
        <f t="shared" si="11"/>
        <v>2400</v>
      </c>
      <c r="J51" s="18">
        <f t="shared" si="12"/>
        <v>-200</v>
      </c>
      <c r="K51" s="18">
        <f t="shared" si="13"/>
        <v>300</v>
      </c>
      <c r="L51" s="18">
        <f t="shared" si="14"/>
        <v>300</v>
      </c>
      <c r="M51" s="18">
        <f t="shared" si="15"/>
        <v>300</v>
      </c>
      <c r="N51" s="18">
        <f t="shared" si="16"/>
        <v>300</v>
      </c>
      <c r="O51" s="18">
        <f t="shared" si="17"/>
        <v>300</v>
      </c>
      <c r="P51" s="18">
        <f t="shared" si="18"/>
        <v>300</v>
      </c>
      <c r="Q51" s="18"/>
      <c r="R51" s="18"/>
      <c r="S51" s="18"/>
      <c r="T51" s="18"/>
      <c r="U51" s="18"/>
    </row>
    <row r="52" spans="7:21">
      <c r="H52" s="17">
        <v>45839</v>
      </c>
      <c r="I52" s="18">
        <f t="shared" si="11"/>
        <v>2700</v>
      </c>
      <c r="J52" s="18">
        <f t="shared" si="12"/>
        <v>-200</v>
      </c>
      <c r="K52" s="18">
        <f t="shared" si="13"/>
        <v>300</v>
      </c>
      <c r="L52" s="18">
        <f t="shared" si="14"/>
        <v>300</v>
      </c>
      <c r="M52" s="18">
        <f t="shared" si="15"/>
        <v>300</v>
      </c>
      <c r="N52" s="18">
        <f t="shared" si="16"/>
        <v>300</v>
      </c>
      <c r="O52" s="18">
        <f t="shared" si="17"/>
        <v>300</v>
      </c>
      <c r="P52" s="18"/>
      <c r="Q52" s="18"/>
      <c r="R52" s="18"/>
      <c r="S52" s="18"/>
      <c r="T52" s="18"/>
      <c r="U52" s="18"/>
    </row>
    <row r="53" spans="7:21">
      <c r="H53" s="17">
        <v>45870</v>
      </c>
      <c r="I53" s="18">
        <f t="shared" si="11"/>
        <v>3000</v>
      </c>
      <c r="J53" s="18">
        <f t="shared" si="12"/>
        <v>-200</v>
      </c>
      <c r="K53" s="18">
        <f t="shared" si="13"/>
        <v>300</v>
      </c>
      <c r="L53" s="18">
        <f t="shared" si="14"/>
        <v>300</v>
      </c>
      <c r="M53" s="18">
        <f t="shared" si="15"/>
        <v>300</v>
      </c>
      <c r="N53" s="18">
        <f t="shared" si="16"/>
        <v>300</v>
      </c>
      <c r="O53" s="18"/>
      <c r="P53" s="18"/>
      <c r="Q53" s="18"/>
      <c r="R53" s="18"/>
      <c r="S53" s="18"/>
      <c r="T53" s="18"/>
      <c r="U53" s="18"/>
    </row>
    <row r="54" spans="7:21">
      <c r="H54" s="17">
        <v>45901</v>
      </c>
      <c r="I54" s="18">
        <f t="shared" si="11"/>
        <v>3300</v>
      </c>
      <c r="J54" s="18">
        <f t="shared" si="12"/>
        <v>-200</v>
      </c>
      <c r="K54" s="18">
        <f t="shared" si="13"/>
        <v>300</v>
      </c>
      <c r="L54" s="18">
        <f t="shared" si="14"/>
        <v>300</v>
      </c>
      <c r="M54" s="18">
        <f t="shared" si="15"/>
        <v>300</v>
      </c>
      <c r="N54" s="18"/>
      <c r="O54" s="18"/>
      <c r="P54" s="18"/>
      <c r="Q54" s="18"/>
      <c r="R54" s="18"/>
      <c r="S54" s="18"/>
      <c r="T54" s="18"/>
      <c r="U54" s="18"/>
    </row>
    <row r="55" spans="7:21">
      <c r="H55" s="17">
        <v>45931</v>
      </c>
      <c r="I55" s="18">
        <f t="shared" si="11"/>
        <v>3600</v>
      </c>
      <c r="J55" s="18">
        <f t="shared" si="12"/>
        <v>-200</v>
      </c>
      <c r="K55" s="18">
        <f t="shared" si="13"/>
        <v>300</v>
      </c>
      <c r="L55" s="18">
        <f t="shared" si="14"/>
        <v>300</v>
      </c>
      <c r="M55" s="18"/>
      <c r="N55" s="18"/>
      <c r="O55" s="18"/>
      <c r="P55" s="18"/>
      <c r="Q55" s="18"/>
      <c r="R55" s="18"/>
      <c r="S55" s="18"/>
      <c r="T55" s="18"/>
      <c r="U55" s="18"/>
    </row>
    <row r="56" spans="7:21">
      <c r="H56" s="17">
        <v>45962</v>
      </c>
      <c r="I56" s="18">
        <f t="shared" si="11"/>
        <v>3900</v>
      </c>
      <c r="J56" s="18">
        <f t="shared" si="12"/>
        <v>-200</v>
      </c>
      <c r="K56" s="18">
        <f t="shared" si="13"/>
        <v>300</v>
      </c>
      <c r="L56" s="18"/>
      <c r="M56" s="18"/>
      <c r="N56" s="18"/>
      <c r="O56" s="18"/>
      <c r="P56" s="18"/>
      <c r="Q56" s="18"/>
      <c r="R56" s="18"/>
      <c r="S56" s="18"/>
      <c r="T56" s="18"/>
      <c r="U56" s="18"/>
    </row>
    <row r="57" spans="7:21">
      <c r="H57" s="17">
        <v>45992</v>
      </c>
      <c r="I57" s="18">
        <f t="shared" si="11"/>
        <v>4200</v>
      </c>
      <c r="J57" s="18">
        <f t="shared" si="12"/>
        <v>-200</v>
      </c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</row>
    <row r="59" spans="7:21">
      <c r="G59" s="14" t="s">
        <v>179</v>
      </c>
      <c r="J59" t="s">
        <v>180</v>
      </c>
    </row>
    <row r="60" spans="7:21">
      <c r="H60" t="s">
        <v>155</v>
      </c>
      <c r="I60" t="s">
        <v>156</v>
      </c>
      <c r="J60" t="s">
        <v>157</v>
      </c>
      <c r="K60" t="s">
        <v>158</v>
      </c>
      <c r="L60" t="s">
        <v>159</v>
      </c>
      <c r="M60" t="s">
        <v>160</v>
      </c>
      <c r="N60" t="s">
        <v>161</v>
      </c>
      <c r="O60" t="s">
        <v>162</v>
      </c>
      <c r="P60" t="s">
        <v>163</v>
      </c>
      <c r="Q60" t="s">
        <v>164</v>
      </c>
      <c r="R60" t="s">
        <v>165</v>
      </c>
      <c r="S60" t="s">
        <v>166</v>
      </c>
      <c r="T60" t="s">
        <v>167</v>
      </c>
      <c r="U60" t="s">
        <v>168</v>
      </c>
    </row>
    <row r="61" spans="7:21">
      <c r="H61" s="17">
        <v>45658</v>
      </c>
      <c r="I61" s="18">
        <v>900</v>
      </c>
      <c r="J61" s="27">
        <f>SUM($J46:J46)/$I46</f>
        <v>-0.222222222222222</v>
      </c>
      <c r="K61" s="27">
        <f>SUM($J46:K46)/$I46</f>
        <v>0.111111111111111</v>
      </c>
      <c r="L61" s="27">
        <f>SUM($J46:L46)/$I46</f>
        <v>0.444444444444444</v>
      </c>
      <c r="M61" s="27">
        <f>SUM($J46:M46)/$I46</f>
        <v>0.777777777777778</v>
      </c>
      <c r="N61" s="27">
        <f>SUM($J46:N46)/$I46</f>
        <v>1.11111111111111</v>
      </c>
      <c r="O61" s="27">
        <f>SUM($J46:O46)/$I46</f>
        <v>1.44444444444444</v>
      </c>
      <c r="P61" s="27">
        <f>SUM($J46:P46)/$I46</f>
        <v>1.77777777777778</v>
      </c>
      <c r="Q61" s="27">
        <f>SUM($J46:Q46)/$I46</f>
        <v>2.11111111111111</v>
      </c>
      <c r="R61" s="27">
        <f>SUM($J46:R46)/$I46</f>
        <v>2.44444444444444</v>
      </c>
      <c r="S61" s="27">
        <f>SUM($J46:S46)/$I46</f>
        <v>2.77777777777778</v>
      </c>
      <c r="T61" s="27">
        <f>SUM($J46:T46)/$I46</f>
        <v>3.11111111111111</v>
      </c>
      <c r="U61" s="27">
        <f>SUM($J46:U46)/$I46</f>
        <v>3.44444444444444</v>
      </c>
    </row>
    <row r="62" spans="7:21">
      <c r="H62" s="17">
        <v>45689</v>
      </c>
      <c r="I62" s="18">
        <f t="shared" ref="I62:I72" si="19">I61+300</f>
        <v>1200</v>
      </c>
      <c r="J62" s="27">
        <f>SUM($J47:J47)/$I47</f>
        <v>-0.166666666666667</v>
      </c>
      <c r="K62" s="27">
        <f>SUM($J47:K47)/$I47</f>
        <v>0.0833333333333333</v>
      </c>
      <c r="L62" s="27">
        <f>SUM($J47:L47)/$I47</f>
        <v>0.333333333333333</v>
      </c>
      <c r="M62" s="27">
        <f>SUM($J47:M47)/$I47</f>
        <v>0.583333333333333</v>
      </c>
      <c r="N62" s="27">
        <f>SUM($J47:N47)/$I47</f>
        <v>0.833333333333333</v>
      </c>
      <c r="O62" s="27">
        <f>SUM($J47:O47)/$I47</f>
        <v>1.08333333333333</v>
      </c>
      <c r="P62" s="27">
        <f>SUM($J47:P47)/$I47</f>
        <v>1.33333333333333</v>
      </c>
      <c r="Q62" s="27">
        <f>SUM($J47:Q47)/$I47</f>
        <v>1.58333333333333</v>
      </c>
      <c r="R62" s="27">
        <f>SUM($J47:R47)/$I47</f>
        <v>1.83333333333333</v>
      </c>
      <c r="S62" s="27">
        <f>SUM($J47:S47)/$I47</f>
        <v>2.08333333333333</v>
      </c>
      <c r="T62" s="27">
        <f>SUM($J47:T47)/$I47</f>
        <v>2.33333333333333</v>
      </c>
      <c r="U62" s="27"/>
    </row>
    <row r="63" spans="7:21">
      <c r="H63" s="17">
        <v>45717</v>
      </c>
      <c r="I63" s="18">
        <f t="shared" si="19"/>
        <v>1500</v>
      </c>
      <c r="J63" s="27">
        <f>SUM($J48:J48)/$I48</f>
        <v>-0.133333333333333</v>
      </c>
      <c r="K63" s="27">
        <f>SUM($J48:K48)/$I48</f>
        <v>0.0666666666666667</v>
      </c>
      <c r="L63" s="27">
        <f>SUM($J48:L48)/$I48</f>
        <v>0.266666666666667</v>
      </c>
      <c r="M63" s="27">
        <f>SUM($J48:M48)/$I48</f>
        <v>0.466666666666667</v>
      </c>
      <c r="N63" s="27">
        <f>SUM($J48:N48)/$I48</f>
        <v>0.666666666666667</v>
      </c>
      <c r="O63" s="27">
        <f>SUM($J48:O48)/$I48</f>
        <v>0.866666666666667</v>
      </c>
      <c r="P63" s="27">
        <f>SUM($J48:P48)/$I48</f>
        <v>1.06666666666667</v>
      </c>
      <c r="Q63" s="27">
        <f>SUM($J48:Q48)/$I48</f>
        <v>1.26666666666667</v>
      </c>
      <c r="R63" s="27">
        <f>SUM($J48:R48)/$I48</f>
        <v>1.46666666666667</v>
      </c>
      <c r="S63" s="27">
        <f>SUM($J48:S48)/$I48</f>
        <v>1.66666666666667</v>
      </c>
      <c r="T63" s="27"/>
      <c r="U63" s="27"/>
    </row>
    <row r="64" spans="7:21">
      <c r="H64" s="17">
        <v>45748</v>
      </c>
      <c r="I64" s="18">
        <f t="shared" si="19"/>
        <v>1800</v>
      </c>
      <c r="J64" s="27">
        <f>SUM($J49:J49)/$I49</f>
        <v>-0.111111111111111</v>
      </c>
      <c r="K64" s="27">
        <f>SUM($J49:K49)/$I49</f>
        <v>0.0555555555555556</v>
      </c>
      <c r="L64" s="27">
        <f>SUM($J49:L49)/$I49</f>
        <v>0.222222222222222</v>
      </c>
      <c r="M64" s="27">
        <f>SUM($J49:M49)/$I49</f>
        <v>0.388888888888889</v>
      </c>
      <c r="N64" s="27">
        <f>SUM($J49:N49)/$I49</f>
        <v>0.555555555555556</v>
      </c>
      <c r="O64" s="27">
        <f>SUM($J49:O49)/$I49</f>
        <v>0.722222222222222</v>
      </c>
      <c r="P64" s="27">
        <f>SUM($J49:P49)/$I49</f>
        <v>0.888888888888889</v>
      </c>
      <c r="Q64" s="27">
        <f>SUM($J49:Q49)/$I49</f>
        <v>1.05555555555556</v>
      </c>
      <c r="R64" s="27">
        <f>SUM($J49:R49)/$I49</f>
        <v>1.22222222222222</v>
      </c>
      <c r="S64" s="27"/>
      <c r="T64" s="27"/>
      <c r="U64" s="27"/>
    </row>
    <row r="65" spans="8:21">
      <c r="H65" s="17">
        <v>45778</v>
      </c>
      <c r="I65" s="18">
        <f t="shared" si="19"/>
        <v>2100</v>
      </c>
      <c r="J65" s="27">
        <f>SUM($J50:J50)/$I50</f>
        <v>-0.0952380952380952</v>
      </c>
      <c r="K65" s="27">
        <f>SUM($J50:K50)/$I50</f>
        <v>0.0476190476190476</v>
      </c>
      <c r="L65" s="27">
        <f>SUM($J50:L50)/$I50</f>
        <v>0.19047619047619</v>
      </c>
      <c r="M65" s="27">
        <f>SUM($J50:M50)/$I50</f>
        <v>0.333333333333333</v>
      </c>
      <c r="N65" s="27">
        <f>SUM($J50:N50)/$I50</f>
        <v>0.476190476190476</v>
      </c>
      <c r="O65" s="27">
        <f>SUM($J50:O50)/$I50</f>
        <v>0.619047619047619</v>
      </c>
      <c r="P65" s="27">
        <f>SUM($J50:P50)/$I50</f>
        <v>0.761904761904762</v>
      </c>
      <c r="Q65" s="27">
        <f>SUM($J50:Q50)/$I50</f>
        <v>0.904761904761905</v>
      </c>
      <c r="R65" s="27"/>
      <c r="S65" s="27"/>
      <c r="T65" s="27"/>
      <c r="U65" s="27"/>
    </row>
    <row r="66" spans="8:21">
      <c r="H66" s="17">
        <v>45809</v>
      </c>
      <c r="I66" s="18">
        <f t="shared" si="19"/>
        <v>2400</v>
      </c>
      <c r="J66" s="27">
        <f>SUM($J51:J51)/$I51</f>
        <v>-0.0833333333333333</v>
      </c>
      <c r="K66" s="27">
        <f>SUM($J51:K51)/$I51</f>
        <v>0.0416666666666667</v>
      </c>
      <c r="L66" s="27">
        <f>SUM($J51:L51)/$I51</f>
        <v>0.166666666666667</v>
      </c>
      <c r="M66" s="27">
        <f>SUM($J51:M51)/$I51</f>
        <v>0.291666666666667</v>
      </c>
      <c r="N66" s="27">
        <f>SUM($J51:N51)/$I51</f>
        <v>0.416666666666667</v>
      </c>
      <c r="O66" s="27">
        <f>SUM($J51:O51)/$I51</f>
        <v>0.541666666666667</v>
      </c>
      <c r="P66" s="27">
        <f>SUM($J51:P51)/$I51</f>
        <v>0.666666666666667</v>
      </c>
      <c r="Q66" s="27"/>
      <c r="R66" s="27"/>
      <c r="S66" s="27"/>
      <c r="T66" s="27"/>
      <c r="U66" s="27"/>
    </row>
    <row r="67" spans="8:21">
      <c r="H67" s="17">
        <v>45839</v>
      </c>
      <c r="I67" s="18">
        <f t="shared" si="19"/>
        <v>2700</v>
      </c>
      <c r="J67" s="27">
        <f>SUM($J52:J52)/$I52</f>
        <v>-0.0740740740740741</v>
      </c>
      <c r="K67" s="27">
        <f>SUM($J52:K52)/$I52</f>
        <v>0.037037037037037</v>
      </c>
      <c r="L67" s="27">
        <f>SUM($J52:L52)/$I52</f>
        <v>0.148148148148148</v>
      </c>
      <c r="M67" s="27">
        <f>SUM($J52:M52)/$I52</f>
        <v>0.259259259259259</v>
      </c>
      <c r="N67" s="27">
        <f>SUM($J52:N52)/$I52</f>
        <v>0.37037037037037</v>
      </c>
      <c r="O67" s="27">
        <f>SUM($J52:O52)/$I52</f>
        <v>0.481481481481481</v>
      </c>
      <c r="P67" s="27"/>
      <c r="Q67" s="27"/>
      <c r="R67" s="27"/>
      <c r="S67" s="27"/>
      <c r="T67" s="27"/>
      <c r="U67" s="27"/>
    </row>
    <row r="68" spans="8:21">
      <c r="H68" s="17">
        <v>45870</v>
      </c>
      <c r="I68" s="18">
        <f t="shared" si="19"/>
        <v>3000</v>
      </c>
      <c r="J68" s="27">
        <f>SUM($J53:J53)/$I53</f>
        <v>-0.0666666666666667</v>
      </c>
      <c r="K68" s="27">
        <f>SUM($J53:K53)/$I53</f>
        <v>0.0333333333333333</v>
      </c>
      <c r="L68" s="27">
        <f>SUM($J53:L53)/$I53</f>
        <v>0.133333333333333</v>
      </c>
      <c r="M68" s="27">
        <f>SUM($J53:M53)/$I53</f>
        <v>0.233333333333333</v>
      </c>
      <c r="N68" s="27">
        <f>SUM($J53:N53)/$I53</f>
        <v>0.333333333333333</v>
      </c>
      <c r="O68" s="27"/>
      <c r="P68" s="27"/>
      <c r="Q68" s="27"/>
      <c r="R68" s="27"/>
      <c r="S68" s="27"/>
      <c r="T68" s="27"/>
      <c r="U68" s="27"/>
    </row>
    <row r="69" spans="8:21">
      <c r="H69" s="17">
        <v>45901</v>
      </c>
      <c r="I69" s="18">
        <f t="shared" si="19"/>
        <v>3300</v>
      </c>
      <c r="J69" s="27">
        <f>SUM($J54:J54)/$I54</f>
        <v>-0.0606060606060606</v>
      </c>
      <c r="K69" s="27">
        <f>SUM($J54:K54)/$I54</f>
        <v>0.0303030303030303</v>
      </c>
      <c r="L69" s="27">
        <f>SUM($J54:L54)/$I54</f>
        <v>0.121212121212121</v>
      </c>
      <c r="M69" s="27">
        <f>SUM($J54:M54)/$I54</f>
        <v>0.212121212121212</v>
      </c>
      <c r="N69" s="27"/>
      <c r="O69" s="27"/>
      <c r="P69" s="27"/>
      <c r="Q69" s="27"/>
      <c r="R69" s="27"/>
      <c r="S69" s="27"/>
      <c r="T69" s="27"/>
      <c r="U69" s="27"/>
    </row>
    <row r="70" spans="8:21">
      <c r="H70" s="17">
        <v>45931</v>
      </c>
      <c r="I70" s="18">
        <f t="shared" si="19"/>
        <v>3600</v>
      </c>
      <c r="J70" s="27">
        <f>SUM($J55:J55)/$I55</f>
        <v>-0.0555555555555556</v>
      </c>
      <c r="K70" s="27">
        <f>SUM($J55:K55)/$I55</f>
        <v>0.0277777777777778</v>
      </c>
      <c r="L70" s="27">
        <f>SUM($J55:L55)/$I55</f>
        <v>0.111111111111111</v>
      </c>
      <c r="M70" s="27"/>
      <c r="N70" s="27"/>
      <c r="O70" s="27"/>
      <c r="P70" s="27"/>
      <c r="Q70" s="27"/>
      <c r="R70" s="27"/>
      <c r="S70" s="27"/>
      <c r="T70" s="27"/>
      <c r="U70" s="27"/>
    </row>
    <row r="71" spans="8:21">
      <c r="H71" s="17">
        <v>45962</v>
      </c>
      <c r="I71" s="18">
        <f t="shared" si="19"/>
        <v>3900</v>
      </c>
      <c r="J71" s="27">
        <f>SUM($J56:J56)/$I56</f>
        <v>-0.0512820512820513</v>
      </c>
      <c r="K71" s="27">
        <f>SUM($J56:K56)/$I56</f>
        <v>0.0256410256410256</v>
      </c>
      <c r="L71" s="27"/>
      <c r="M71" s="27"/>
      <c r="N71" s="27"/>
      <c r="O71" s="27"/>
      <c r="P71" s="27"/>
      <c r="Q71" s="27"/>
      <c r="R71" s="27"/>
      <c r="S71" s="27"/>
      <c r="T71" s="27"/>
      <c r="U71" s="27"/>
    </row>
    <row r="72" spans="8:21">
      <c r="H72" s="17">
        <v>45992</v>
      </c>
      <c r="I72" s="18">
        <f t="shared" si="19"/>
        <v>4200</v>
      </c>
      <c r="J72" s="27">
        <f>SUM($J57:J57)/$I57</f>
        <v>-0.0476190476190476</v>
      </c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</row>
    <row r="74" spans="8:21">
      <c r="H74" t="s">
        <v>181</v>
      </c>
    </row>
    <row r="75" spans="8:21">
      <c r="H75" t="s">
        <v>182</v>
      </c>
    </row>
    <row r="76" spans="8:21">
      <c r="H76" t="s">
        <v>183</v>
      </c>
    </row>
    <row r="77" spans="8:21">
      <c r="H77" t="s">
        <v>184</v>
      </c>
    </row>
    <row r="80" spans="8:21">
      <c r="H80" s="28" t="s">
        <v>185</v>
      </c>
    </row>
    <row r="85" spans="8:8">
      <c r="H85" t="s">
        <v>186</v>
      </c>
    </row>
    <row r="87" spans="8:8">
      <c r="H87" t="s">
        <v>187</v>
      </c>
    </row>
    <row r="88" spans="8:8">
      <c r="H88" t="s">
        <v>188</v>
      </c>
    </row>
    <row r="89" spans="8:8">
      <c r="H89" t="s">
        <v>189</v>
      </c>
    </row>
  </sheetData>
  <mergeCells count="2">
    <mergeCell ref="A1:D1"/>
    <mergeCell ref="A2:D2"/>
  </mergeCells>
  <conditionalFormatting sqref="B10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{ed4f10c7-3dc0-458e-a784-a31e800aac8e}</x14:id>
        </ext>
      </extLst>
    </cfRule>
  </conditionalFormatting>
  <pageMargins left="0.75" right="0.75" top="1" bottom="1" header="0.5" footer="0.5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d4f10c7-3dc0-458e-a784-a31e800aac8e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B10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目录</vt:lpstr>
      <vt:lpstr>6.1 获客成本(CAC)</vt:lpstr>
      <vt:lpstr>6.2 运营成本率</vt:lpstr>
      <vt:lpstr>6.3 净息差(NIM)</vt:lpstr>
      <vt:lpstr>6.4 RAROC</vt:lpstr>
      <vt:lpstr>6.5 资产收益率(ROA)</vt:lpstr>
      <vt:lpstr>6.6 UE%(单位经济模型)</vt:lpstr>
      <vt:lpstr>6.7 CLTV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2026-04-01T03:27:00Z</dcterms:created>
  <dcterms:modified xsi:type="dcterms:W3CDTF">2026-04-01T12:49:51Z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4BEF5C9EC0B942BE90E20DC3D0A73664_12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