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反欺诈效果测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<sst xmlns="http://schemas.openxmlformats.org/spreadsheetml/2006/main" count="30" uniqueCount="30">
  <si>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三、反欺诈体系 — 团伙欺诈识别效果测算</t>
  </si>
  <si>
    <t>1. 欺诈识别效果对比</t>
  </si>
  <si>
    <t>指标</t>
  </si>
  <si>
    <t>人工识别(优化前)</t>
  </si>
  <si>
    <t>系统自动识别(优化后)</t>
  </si>
  <si>
    <t>改善幅度</t>
  </si>
  <si>
    <t>月均申请量</t>
  </si>
  <si>
    <t>月均欺诈申请量</t>
  </si>
  <si>
    <t>识别覆盖率</t>
  </si>
  <si>
    <t>月均识别欺诈件数</t>
  </si>
  <si>
    <t>未识别欺诈件数</t>
  </si>
  <si>
    <t>户均欺诈金额</t>
  </si>
  <si>
    <t>月均欺诈损失</t>
  </si>
  <si>
    <t>年化欺诈损失</t>
  </si>
  <si>
    <t>年欺诈损失减少额</t>
  </si>
  <si>
    <t>2. 系统建设投入产出测算</t>
  </si>
  <si>
    <t>投入项目</t>
  </si>
  <si>
    <t>金额</t>
  </si>
  <si>
    <t>说明</t>
  </si>
  <si>
    <t>图数据库建设</t>
  </si>
  <si>
    <t>Neo4j集群部署+数据迁移</t>
  </si>
  <si>
    <t>ML模型开发</t>
  </si>
  <si>
    <t>算法团队开发+测试</t>
  </si>
  <si>
    <t>设备指纹SDK</t>
  </si>
  <si>
    <t>采购+集成</t>
  </si>
  <si>
    <t>系统运维(年)</t>
  </si>
  <si>
    <t>服务器+人工</t>
  </si>
  <si>
    <t>总投入</t>
  </si>
  <si>
    <t>年化欺诈损失减少额(万元)</t>
  </si>
  <si>
    <t>ROI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</si>
</sst>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宋体"/>
      <charset val="134"/>
      <scheme val="minor"/>
    </font>
    <font>
      <b/>
      <sz val="14"/>
      <color rgb="FF1F3864"/>
      <name val="微软雅黑"/>
      <charset val="134"/>
    </font>
    <font>
      <b/>
      <sz val="11"/>
      <color rgb="FF2E75B6"/>
      <name val="微软雅黑"/>
      <charset val="134"/>
    </font>
    <font>
      <b/>
      <sz val="10"/>
      <color rgb="FFFFFFFF"/>
      <name val="微软雅黑"/>
      <charset val="134"/>
    </font>
    <font>
      <sz val="10"/>
      <color rgb="FF333333"/>
      <name val="微软雅黑"/>
      <charset val="134"/>
    </font>
    <font>
      <sz val="10"/>
      <color rgb="FF000000"/>
      <name val="微软雅黑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176" fontId="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A6" workbookViewId="0">
      <selection activeCell="D20" sqref="D20"/>
    </sheetView>
  </sheetViews>
  <sheetFormatPr defaultColWidth="9" defaultRowHeight="14" outlineLevelCol="7"/>
  <cols>
    <col min="1" max="1" width="25" customWidth="1"/>
    <col min="2" max="2" width="17" customWidth="1"/>
    <col min="3" max="3" width="18" customWidth="1"/>
    <col min="4" max="4" width="12" customWidth="1"/>
  </cols>
  <sheetData>
    <row r="1" ht="35" customHeight="1" spans="1:4">
      <c r="A1" s="1" t="s">
        <v>0</v>
      </c>
    </row>
    <row r="3" ht="16.5" spans="1:4">
      <c r="A3" s="2" t="s">
        <v>1</v>
      </c>
    </row>
    <row r="4" ht="29" spans="1:4">
      <c r="A4" s="3" t="s">
        <v>2</v>
      </c>
      <c r="B4" s="3" t="s">
        <v>3</v>
      </c>
      <c r="C4" s="3" t="s">
        <v>4</v>
      </c>
      <c r="D4" s="3" t="s">
        <v>5</v>
      </c>
    </row>
    <row r="5" ht="14.5" spans="1:4">
      <c r="A5" s="4" t="s">
        <v>6</v>
      </c>
      <c r="B5" s="5">
        <v>500000</v>
      </c>
      <c r="C5" s="5">
        <v>500000</v>
      </c>
      <c r="D5" s="5">
        <f>C5-B5</f>
        <v>0</v>
      </c>
    </row>
    <row r="6" ht="14.5" spans="1:4">
      <c r="A6" s="6" t="s">
        <v>7</v>
      </c>
      <c r="B6" s="5">
        <v>2500</v>
      </c>
      <c r="C6" s="5">
        <v>2500</v>
      </c>
      <c r="D6" s="5">
        <f>C6-B6</f>
        <v>0</v>
      </c>
    </row>
    <row r="7" ht="14.5" spans="1:4">
      <c r="A7" s="4" t="s">
        <v>8</v>
      </c>
      <c r="B7" s="7">
        <v>0.45</v>
      </c>
      <c r="C7" s="7">
        <v>0.85</v>
      </c>
      <c r="D7" s="7">
        <f>C7-B7</f>
        <v>0.4</v>
      </c>
    </row>
    <row r="8" ht="14.5" spans="1:4">
      <c r="A8" s="6" t="s">
        <v>9</v>
      </c>
      <c r="B8" s="5">
        <f>B6*B7</f>
        <v>1125</v>
      </c>
      <c r="C8" s="5">
        <f>C6*C7</f>
        <v>2125</v>
      </c>
      <c r="D8" s="5">
        <f t="shared" ref="D8:D13" si="0">C8-B8</f>
        <v>1000</v>
      </c>
    </row>
    <row r="9" ht="14.5" spans="1:4">
      <c r="A9" s="4" t="s">
        <v>10</v>
      </c>
      <c r="B9" s="5">
        <f>B6-B8</f>
        <v>1375</v>
      </c>
      <c r="C9" s="5">
        <f>C6-C8</f>
        <v>375</v>
      </c>
      <c r="D9" s="5">
        <f t="shared" si="0"/>
        <v>-1000</v>
      </c>
    </row>
    <row r="10" ht="14.5" spans="1:4">
      <c r="A10" s="6" t="s">
        <v>11</v>
      </c>
      <c r="B10" s="5">
        <v>20000</v>
      </c>
      <c r="C10" s="5">
        <v>20000</v>
      </c>
      <c r="D10" s="5">
        <f t="shared" si="0"/>
        <v>0</v>
      </c>
    </row>
    <row r="11" ht="14.5" spans="1:4">
      <c r="A11" s="4" t="s">
        <v>12</v>
      </c>
      <c r="B11" s="5">
        <f>B9*B10/10000</f>
        <v>2750</v>
      </c>
      <c r="C11" s="5">
        <f>C9*C10/10000</f>
        <v>750</v>
      </c>
      <c r="D11" s="5">
        <f t="shared" si="0"/>
        <v>-2000</v>
      </c>
    </row>
    <row r="12" ht="14.5" spans="1:4">
      <c r="A12" s="6" t="s">
        <v>13</v>
      </c>
      <c r="B12" s="5">
        <f>B11*12</f>
        <v>33000</v>
      </c>
      <c r="C12" s="5">
        <f>C11*12</f>
        <v>9000</v>
      </c>
      <c r="D12" s="5">
        <f t="shared" si="0"/>
        <v>-24000</v>
      </c>
    </row>
    <row r="13" ht="14.5" spans="1:4">
      <c r="A13" s="4" t="s">
        <v>14</v>
      </c>
      <c r="B13" s="5">
        <f>B12-C12</f>
        <v>24000</v>
      </c>
      <c r="C13" s="5"/>
      <c r="D13" s="7"/>
    </row>
    <row r="15" ht="16.5" spans="1:4">
      <c r="A15" s="2" t="s">
        <v>15</v>
      </c>
    </row>
    <row r="16" ht="14.5" spans="1:4">
      <c r="A16" s="3" t="s">
        <v>16</v>
      </c>
      <c r="B16" s="3" t="s">
        <v>17</v>
      </c>
      <c r="C16" s="3" t="s">
        <v>18</v>
      </c>
    </row>
    <row r="17" ht="29" spans="1:3">
      <c r="A17" s="4" t="s">
        <v>19</v>
      </c>
      <c r="B17" s="5">
        <v>4000</v>
      </c>
      <c r="C17" s="4" t="s">
        <v>20</v>
      </c>
    </row>
    <row r="18" ht="14.5" spans="1:3">
      <c r="A18" s="6" t="s">
        <v>21</v>
      </c>
      <c r="B18" s="5">
        <v>5000</v>
      </c>
      <c r="C18" s="6" t="s">
        <v>22</v>
      </c>
    </row>
    <row r="19" ht="14.5" spans="1:3">
      <c r="A19" s="4" t="s">
        <v>23</v>
      </c>
      <c r="B19" s="5">
        <v>3000</v>
      </c>
      <c r="C19" s="4" t="s">
        <v>24</v>
      </c>
    </row>
    <row r="20" ht="14.5" spans="1:3">
      <c r="A20" s="6" t="s">
        <v>25</v>
      </c>
      <c r="B20" s="5">
        <v>9000</v>
      </c>
      <c r="C20" s="6" t="s">
        <v>26</v>
      </c>
    </row>
    <row r="21" ht="14.5" spans="1:3">
      <c r="A21" s="4" t="s">
        <v>27</v>
      </c>
      <c r="B21" s="5">
        <f>SUM(B17:B20)</f>
        <v>21000</v>
      </c>
      <c r="C21" s="4">
        <f>B21</f>
        <v>21000</v>
      </c>
    </row>
    <row r="23" spans="1:3">
      <c r="A23" s="8" t="s">
        <v>28</v>
      </c>
      <c r="B23" s="9">
        <f>B13</f>
        <v>24000</v>
      </c>
    </row>
    <row r="24" spans="1:3">
      <c r="A24" s="8" t="s">
        <v>29</v>
      </c>
      <c r="B24" s="10">
        <f>B23/B21</f>
        <v>1.14285714285714</v>
      </c>
    </row>
  </sheetData>
  <mergeCells count="3">
    <mergeCell ref="A1:H1"/>
    <mergeCell ref="A3:H3"/>
    <mergeCell ref="A15:H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反欺诈效果测算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2026-04-02T09:33:00Z</dcterms:created>
  <dcterms:modified xsi:type="dcterms:W3CDTF">2026-04-24T09:43:54Z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DAA4355D25BF46A1B5C0623568C0A8E6_12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