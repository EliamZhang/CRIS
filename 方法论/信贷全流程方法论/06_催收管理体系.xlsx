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催收效果测算" sheetId="1" r:id="rId1"/>
    <sheet name="2.DPD" sheetId="2" r:id="rId2"/>
    <sheet name="3.CRR" sheetId="3" r:id="rId3"/>
    <sheet name="4.Roll rate" sheetId="4" r:id="rId4"/>
    <sheet name="5.Contact Rate" sheetId="6" r:id="rId5"/>
    <sheet name="6.PTP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<sst xmlns="http://schemas.openxmlformats.org/spreadsheetml/2006/main" count="198" uniqueCount="180">
  <si>
    <r>
      <rPr>
        <b/>
        <sz val="14"/>
        <color rgb="FF1F3864"/>
        <rFont val="微软雅黑"/>
        <charset val="134"/>
      </rPr>
      <t>六、催收管理体系</t>
    </r>
    <r>
      <rPr>
        <b/>
        <sz val="14"/>
        <color rgb="FF1F3864"/>
        <rFont val="Arial"/>
        <charset val="134"/>
      </rPr>
      <t xml:space="preserve"> — AI</t>
    </r>
    <r>
      <rPr>
        <b/>
        <sz val="14"/>
        <color rgb="FF1F3864"/>
        <rFont val="微软雅黑"/>
        <charset val="134"/>
      </rPr>
      <t>催收效果与成本测算</t>
    </r>
  </si>
  <si>
    <r>
      <t xml:space="preserve">1. </t>
    </r>
    <r>
      <rPr>
        <b/>
        <sz val="11"/>
        <color rgb="FF2E75B6"/>
        <rFont val="微软雅黑"/>
        <charset val="134"/>
      </rPr>
      <t>催收分层效果测算</t>
    </r>
  </si>
  <si>
    <r>
      <rPr>
        <b/>
        <sz val="10"/>
        <color rgb="FFFFFFFF"/>
        <rFont val="微软雅黑"/>
        <charset val="134"/>
      </rPr>
      <t>逾期阶段</t>
    </r>
  </si>
  <si>
    <r>
      <rPr>
        <b/>
        <sz val="10"/>
        <color rgb="FFFFFFFF"/>
        <rFont val="微软雅黑"/>
        <charset val="134"/>
      </rPr>
      <t>月均案件量</t>
    </r>
  </si>
  <si>
    <r>
      <t>AI</t>
    </r>
    <r>
      <rPr>
        <b/>
        <sz val="10"/>
        <color rgb="FFFFFFFF"/>
        <rFont val="微软雅黑"/>
        <charset val="134"/>
      </rPr>
      <t>承接比例</t>
    </r>
  </si>
  <si>
    <r>
      <t>AI</t>
    </r>
    <r>
      <rPr>
        <b/>
        <sz val="10"/>
        <color rgb="FFFFFFFF"/>
        <rFont val="微软雅黑"/>
        <charset val="134"/>
      </rPr>
      <t>件数</t>
    </r>
  </si>
  <si>
    <r>
      <rPr>
        <b/>
        <sz val="10"/>
        <color rgb="FFFFFFFF"/>
        <rFont val="微软雅黑"/>
        <charset val="134"/>
      </rPr>
      <t>人工件数</t>
    </r>
  </si>
  <si>
    <r>
      <t>AI</t>
    </r>
    <r>
      <rPr>
        <b/>
        <sz val="10"/>
        <color rgb="FFFFFFFF"/>
        <rFont val="微软雅黑"/>
        <charset val="134"/>
      </rPr>
      <t>回收率</t>
    </r>
  </si>
  <si>
    <r>
      <rPr>
        <b/>
        <sz val="10"/>
        <color rgb="FFFFFFFF"/>
        <rFont val="微软雅黑"/>
        <charset val="134"/>
      </rPr>
      <t>人工回收率</t>
    </r>
  </si>
  <si>
    <r>
      <rPr>
        <b/>
        <sz val="10"/>
        <color rgb="FFFFFFFF"/>
        <rFont val="微软雅黑"/>
        <charset val="134"/>
      </rPr>
      <t>综合回收率</t>
    </r>
  </si>
  <si>
    <t>M0</t>
  </si>
  <si>
    <t>M1</t>
  </si>
  <si>
    <t>M2</t>
  </si>
  <si>
    <t>M3</t>
  </si>
  <si>
    <t>M6+</t>
  </si>
  <si>
    <r>
      <rPr>
        <b/>
        <sz val="11"/>
        <rFont val="宋体"/>
        <charset val="134"/>
      </rPr>
      <t>合计</t>
    </r>
  </si>
  <si>
    <r>
      <t xml:space="preserve">2. </t>
    </r>
    <r>
      <rPr>
        <b/>
        <sz val="11"/>
        <color rgb="FF2E75B6"/>
        <rFont val="微软雅黑"/>
        <charset val="134"/>
      </rPr>
      <t>成本对比测算</t>
    </r>
  </si>
  <si>
    <r>
      <rPr>
        <b/>
        <sz val="10"/>
        <color rgb="FFFFFFFF"/>
        <rFont val="微软雅黑"/>
        <charset val="134"/>
      </rPr>
      <t>成本项</t>
    </r>
  </si>
  <si>
    <r>
      <rPr>
        <b/>
        <sz val="10"/>
        <color rgb="FFFFFFFF"/>
        <rFont val="微软雅黑"/>
        <charset val="134"/>
      </rPr>
      <t>纯人工方案</t>
    </r>
  </si>
  <si>
    <r>
      <t>AI+</t>
    </r>
    <r>
      <rPr>
        <b/>
        <sz val="10"/>
        <color rgb="FFFFFFFF"/>
        <rFont val="微软雅黑"/>
        <charset val="134"/>
      </rPr>
      <t>人工方案</t>
    </r>
  </si>
  <si>
    <r>
      <rPr>
        <b/>
        <sz val="10"/>
        <color rgb="FFFFFFFF"/>
        <rFont val="微软雅黑"/>
        <charset val="134"/>
      </rPr>
      <t>节约金额</t>
    </r>
  </si>
  <si>
    <r>
      <rPr>
        <sz val="10"/>
        <color rgb="FF333333"/>
        <rFont val="微软雅黑"/>
        <charset val="134"/>
      </rPr>
      <t>催收人员工资</t>
    </r>
    <r>
      <rPr>
        <sz val="10"/>
        <color rgb="FF333333"/>
        <rFont val="Arial"/>
        <charset val="134"/>
      </rPr>
      <t>(</t>
    </r>
    <r>
      <rPr>
        <sz val="10"/>
        <color rgb="FF333333"/>
        <rFont val="微软雅黑"/>
        <charset val="134"/>
      </rPr>
      <t>万元</t>
    </r>
    <r>
      <rPr>
        <sz val="10"/>
        <color rgb="FF333333"/>
        <rFont val="Arial"/>
        <charset val="134"/>
      </rPr>
      <t>/</t>
    </r>
    <r>
      <rPr>
        <sz val="10"/>
        <color rgb="FF333333"/>
        <rFont val="微软雅黑"/>
        <charset val="134"/>
      </rPr>
      <t>月</t>
    </r>
    <r>
      <rPr>
        <sz val="10"/>
        <color rgb="FF333333"/>
        <rFont val="Arial"/>
        <charset val="134"/>
      </rPr>
      <t>)</t>
    </r>
  </si>
  <si>
    <r>
      <rPr>
        <sz val="10"/>
        <color rgb="FF333333"/>
        <rFont val="微软雅黑"/>
        <charset val="134"/>
      </rPr>
      <t>外包催收费</t>
    </r>
    <r>
      <rPr>
        <sz val="10"/>
        <color rgb="FF333333"/>
        <rFont val="Arial"/>
        <charset val="134"/>
      </rPr>
      <t>(</t>
    </r>
    <r>
      <rPr>
        <sz val="10"/>
        <color rgb="FF333333"/>
        <rFont val="微软雅黑"/>
        <charset val="134"/>
      </rPr>
      <t>万元</t>
    </r>
    <r>
      <rPr>
        <sz val="10"/>
        <color rgb="FF333333"/>
        <rFont val="Arial"/>
        <charset val="134"/>
      </rPr>
      <t>/</t>
    </r>
    <r>
      <rPr>
        <sz val="10"/>
        <color rgb="FF333333"/>
        <rFont val="微软雅黑"/>
        <charset val="134"/>
      </rPr>
      <t>月</t>
    </r>
    <r>
      <rPr>
        <sz val="10"/>
        <color rgb="FF333333"/>
        <rFont val="Arial"/>
        <charset val="134"/>
      </rPr>
      <t>)</t>
    </r>
  </si>
  <si>
    <r>
      <t>AI</t>
    </r>
    <r>
      <rPr>
        <sz val="10"/>
        <color rgb="FF333333"/>
        <rFont val="微软雅黑"/>
        <charset val="134"/>
      </rPr>
      <t>系统运维</t>
    </r>
    <r>
      <rPr>
        <sz val="10"/>
        <color rgb="FF333333"/>
        <rFont val="Arial"/>
        <charset val="134"/>
      </rPr>
      <t>(</t>
    </r>
    <r>
      <rPr>
        <sz val="10"/>
        <color rgb="FF333333"/>
        <rFont val="微软雅黑"/>
        <charset val="134"/>
      </rPr>
      <t>万元</t>
    </r>
    <r>
      <rPr>
        <sz val="10"/>
        <color rgb="FF333333"/>
        <rFont val="Arial"/>
        <charset val="134"/>
      </rPr>
      <t>/</t>
    </r>
    <r>
      <rPr>
        <sz val="10"/>
        <color rgb="FF333333"/>
        <rFont val="微软雅黑"/>
        <charset val="134"/>
      </rPr>
      <t>月</t>
    </r>
    <r>
      <rPr>
        <sz val="10"/>
        <color rgb="FF333333"/>
        <rFont val="Arial"/>
        <charset val="134"/>
      </rPr>
      <t>)</t>
    </r>
  </si>
  <si>
    <r>
      <rPr>
        <sz val="10"/>
        <color rgb="FF333333"/>
        <rFont val="微软雅黑"/>
        <charset val="134"/>
      </rPr>
      <t>系统折旧</t>
    </r>
    <r>
      <rPr>
        <sz val="10"/>
        <color rgb="FF333333"/>
        <rFont val="Arial"/>
        <charset val="134"/>
      </rPr>
      <t>(</t>
    </r>
    <r>
      <rPr>
        <sz val="10"/>
        <color rgb="FF333333"/>
        <rFont val="微软雅黑"/>
        <charset val="134"/>
      </rPr>
      <t>万元</t>
    </r>
    <r>
      <rPr>
        <sz val="10"/>
        <color rgb="FF333333"/>
        <rFont val="Arial"/>
        <charset val="134"/>
      </rPr>
      <t>/</t>
    </r>
    <r>
      <rPr>
        <sz val="10"/>
        <color rgb="FF333333"/>
        <rFont val="微软雅黑"/>
        <charset val="134"/>
      </rPr>
      <t>月</t>
    </r>
    <r>
      <rPr>
        <sz val="10"/>
        <color rgb="FF333333"/>
        <rFont val="Arial"/>
        <charset val="134"/>
      </rPr>
      <t>)</t>
    </r>
  </si>
  <si>
    <r>
      <rPr>
        <sz val="10"/>
        <color rgb="FF333333"/>
        <rFont val="微软雅黑"/>
        <charset val="134"/>
      </rPr>
      <t>月度总成本</t>
    </r>
    <r>
      <rPr>
        <sz val="10"/>
        <color rgb="FF333333"/>
        <rFont val="Arial"/>
        <charset val="134"/>
      </rPr>
      <t>(</t>
    </r>
    <r>
      <rPr>
        <sz val="10"/>
        <color rgb="FF333333"/>
        <rFont val="微软雅黑"/>
        <charset val="134"/>
      </rPr>
      <t>万元</t>
    </r>
    <r>
      <rPr>
        <sz val="10"/>
        <color rgb="FF333333"/>
        <rFont val="Arial"/>
        <charset val="134"/>
      </rPr>
      <t>)</t>
    </r>
  </si>
  <si>
    <r>
      <rPr>
        <sz val="10"/>
        <color rgb="FF333333"/>
        <rFont val="微软雅黑"/>
        <charset val="134"/>
      </rPr>
      <t>年度总成本</t>
    </r>
    <r>
      <rPr>
        <sz val="10"/>
        <color rgb="FF333333"/>
        <rFont val="Arial"/>
        <charset val="134"/>
      </rPr>
      <t>(</t>
    </r>
    <r>
      <rPr>
        <sz val="10"/>
        <color rgb="FF333333"/>
        <rFont val="微软雅黑"/>
        <charset val="134"/>
      </rPr>
      <t>万元</t>
    </r>
    <r>
      <rPr>
        <sz val="10"/>
        <color rgb="FF333333"/>
        <rFont val="Arial"/>
        <charset val="134"/>
      </rPr>
      <t>)</t>
    </r>
  </si>
  <si>
    <r>
      <rPr>
        <b/>
        <sz val="14"/>
        <color rgb="FF1F3864"/>
        <rFont val="微软雅黑"/>
        <charset val="134"/>
      </rPr>
      <t>入催</t>
    </r>
    <r>
      <rPr>
        <b/>
        <sz val="14"/>
        <color rgb="FF1F3864"/>
        <rFont val="Arial"/>
        <charset val="134"/>
      </rPr>
      <t>DPD</t>
    </r>
    <r>
      <rPr>
        <b/>
        <sz val="14"/>
        <color rgb="FF1F3864"/>
        <rFont val="微软雅黑"/>
        <charset val="134"/>
      </rPr>
      <t>（</t>
    </r>
    <r>
      <rPr>
        <b/>
        <sz val="14"/>
        <color rgb="FF1F3864"/>
        <rFont val="Arial"/>
        <charset val="134"/>
      </rPr>
      <t>Days Past Due</t>
    </r>
    <r>
      <rPr>
        <b/>
        <sz val="14"/>
        <color rgb="FF1F3864"/>
        <rFont val="微软雅黑"/>
        <charset val="134"/>
      </rPr>
      <t>）测算模型</t>
    </r>
  </si>
  <si>
    <r>
      <rPr>
        <b/>
        <i/>
        <sz val="10"/>
        <color rgb="FF5D6D7E"/>
        <rFont val="Noto Sans CJK SC"/>
        <charset val="1"/>
      </rPr>
      <t>指标说明：逾期未还款天数，从应还款日起计算，是触发催收流程的核心阈值指标</t>
    </r>
  </si>
  <si>
    <r>
      <t xml:space="preserve">▌ </t>
    </r>
    <r>
      <rPr>
        <b/>
        <sz val="11"/>
        <color rgb="FF2E75B6"/>
        <rFont val="微软雅黑"/>
        <charset val="134"/>
      </rPr>
      <t>一、</t>
    </r>
    <r>
      <rPr>
        <b/>
        <sz val="11"/>
        <color rgb="FF2E75B6"/>
        <rFont val="Arial"/>
        <charset val="134"/>
      </rPr>
      <t>DPD</t>
    </r>
    <r>
      <rPr>
        <b/>
        <sz val="11"/>
        <color rgb="FF2E75B6"/>
        <rFont val="微软雅黑"/>
        <charset val="134"/>
      </rPr>
      <t>基础计算（单账户）</t>
    </r>
  </si>
  <si>
    <r>
      <rPr>
        <b/>
        <sz val="10"/>
        <color rgb="FFFFFFFF"/>
        <rFont val="微软雅黑"/>
        <charset val="134"/>
      </rPr>
      <t>参数名称</t>
    </r>
  </si>
  <si>
    <r>
      <rPr>
        <b/>
        <sz val="10"/>
        <color rgb="FFFFFFFF"/>
        <rFont val="微软雅黑"/>
        <charset val="134"/>
      </rPr>
      <t>输入值</t>
    </r>
  </si>
  <si>
    <r>
      <rPr>
        <b/>
        <sz val="10"/>
        <color rgb="FFFFFFFF"/>
        <rFont val="微软雅黑"/>
        <charset val="134"/>
      </rPr>
      <t>说明</t>
    </r>
  </si>
  <si>
    <r>
      <rPr>
        <b/>
        <sz val="10"/>
        <color rgb="FF1F4E79"/>
        <rFont val="Noto Sans CJK SC"/>
        <charset val="1"/>
      </rPr>
      <t>应还款日</t>
    </r>
  </si>
  <si>
    <r>
      <rPr>
        <i/>
        <sz val="9"/>
        <color rgb="FF7F8C8D"/>
        <rFont val="Noto Sans CJK SC"/>
        <charset val="1"/>
      </rPr>
      <t>账单约定还款日</t>
    </r>
  </si>
  <si>
    <r>
      <rPr>
        <b/>
        <sz val="10"/>
        <color rgb="FF1F4E79"/>
        <rFont val="Noto Sans CJK SC"/>
        <charset val="1"/>
      </rPr>
      <t>实际还款日（未还填今日）</t>
    </r>
  </si>
  <si>
    <r>
      <rPr>
        <i/>
        <sz val="9"/>
        <color rgb="FF7F8C8D"/>
        <rFont val="Noto Sans CJK SC"/>
        <charset val="1"/>
      </rPr>
      <t>实际还款或观测日</t>
    </r>
  </si>
  <si>
    <r>
      <rPr>
        <b/>
        <sz val="10"/>
        <color rgb="FF1F4E79"/>
        <rFont val="Noto Sans CJK SC"/>
        <charset val="1"/>
      </rPr>
      <t>计算</t>
    </r>
    <r>
      <rPr>
        <b/>
        <sz val="10"/>
        <color rgb="FF1F4E79"/>
        <rFont val="Arial"/>
        <charset val="1"/>
      </rPr>
      <t>DPD</t>
    </r>
    <r>
      <rPr>
        <b/>
        <sz val="10"/>
        <color rgb="FF1F4E79"/>
        <rFont val="Noto Sans CJK SC"/>
        <charset val="1"/>
      </rPr>
      <t>天数</t>
    </r>
  </si>
  <si>
    <r>
      <t xml:space="preserve">= </t>
    </r>
    <r>
      <rPr>
        <i/>
        <sz val="9"/>
        <color rgb="FF7F8C8D"/>
        <rFont val="Noto Sans CJK SC"/>
        <charset val="1"/>
      </rPr>
      <t>实际还款日</t>
    </r>
    <r>
      <rPr>
        <i/>
        <sz val="9"/>
        <color rgb="FF7F8C8D"/>
        <rFont val="Arial"/>
        <charset val="1"/>
      </rPr>
      <t xml:space="preserve"> - </t>
    </r>
    <r>
      <rPr>
        <i/>
        <sz val="9"/>
        <color rgb="FF7F8C8D"/>
        <rFont val="Noto Sans CJK SC"/>
        <charset val="1"/>
      </rPr>
      <t>应还款日（取正值）</t>
    </r>
  </si>
  <si>
    <r>
      <t>DPD</t>
    </r>
    <r>
      <rPr>
        <b/>
        <sz val="10"/>
        <color rgb="FF1F4E79"/>
        <rFont val="Noto Sans CJK SC"/>
        <charset val="134"/>
      </rPr>
      <t>分层</t>
    </r>
  </si>
  <si>
    <r>
      <rPr>
        <i/>
        <sz val="9"/>
        <color rgb="FF7F8C8D"/>
        <rFont val="Noto Sans CJK SC"/>
        <charset val="1"/>
      </rPr>
      <t>自动判断</t>
    </r>
    <r>
      <rPr>
        <i/>
        <sz val="9"/>
        <color rgb="FF7F8C8D"/>
        <rFont val="Arial"/>
        <charset val="1"/>
      </rPr>
      <t>DPD</t>
    </r>
    <r>
      <rPr>
        <i/>
        <sz val="9"/>
        <color rgb="FF7F8C8D"/>
        <rFont val="Noto Sans CJK SC"/>
        <charset val="1"/>
      </rPr>
      <t>所属区间</t>
    </r>
  </si>
  <si>
    <r>
      <rPr>
        <b/>
        <sz val="10"/>
        <color rgb="FF1F4E79"/>
        <rFont val="宋体"/>
        <charset val="1"/>
      </rPr>
      <t>应还款日金额</t>
    </r>
  </si>
  <si>
    <r>
      <rPr>
        <b/>
        <sz val="10"/>
        <color rgb="FF1F4E79"/>
        <rFont val="宋体"/>
        <charset val="1"/>
      </rPr>
      <t>应还款日未还金额</t>
    </r>
  </si>
  <si>
    <t>DPD1%</t>
  </si>
  <si>
    <r>
      <t xml:space="preserve">▌ </t>
    </r>
    <r>
      <rPr>
        <b/>
        <sz val="11"/>
        <color rgb="FF2E75B6"/>
        <rFont val="微软雅黑"/>
        <charset val="134"/>
      </rPr>
      <t>二、组合</t>
    </r>
    <r>
      <rPr>
        <b/>
        <sz val="11"/>
        <color rgb="FF2E75B6"/>
        <rFont val="Arial"/>
        <charset val="134"/>
      </rPr>
      <t>DPD</t>
    </r>
    <r>
      <rPr>
        <b/>
        <sz val="11"/>
        <color rgb="FF2E75B6"/>
        <rFont val="微软雅黑"/>
        <charset val="134"/>
      </rPr>
      <t>分布测算（贷款组合）</t>
    </r>
  </si>
  <si>
    <r>
      <t>DPD</t>
    </r>
    <r>
      <rPr>
        <b/>
        <sz val="11"/>
        <color rgb="FFFFFFFF"/>
        <rFont val="Noto Sans CJK SC"/>
        <charset val="134"/>
      </rPr>
      <t>区间</t>
    </r>
  </si>
  <si>
    <r>
      <rPr>
        <b/>
        <sz val="10"/>
        <color rgb="FFFFFFFF"/>
        <rFont val="微软雅黑"/>
        <charset val="134"/>
      </rPr>
      <t>账户数（户）</t>
    </r>
  </si>
  <si>
    <r>
      <rPr>
        <b/>
        <sz val="10"/>
        <color rgb="FFFFFFFF"/>
        <rFont val="微软雅黑"/>
        <charset val="134"/>
      </rPr>
      <t>余额（万元）</t>
    </r>
  </si>
  <si>
    <r>
      <rPr>
        <b/>
        <sz val="10"/>
        <color rgb="FFFFFFFF"/>
        <rFont val="微软雅黑"/>
        <charset val="134"/>
      </rPr>
      <t>余额占比</t>
    </r>
  </si>
  <si>
    <r>
      <rPr>
        <b/>
        <sz val="10"/>
        <color rgb="FFFFFFFF"/>
        <rFont val="微软雅黑"/>
        <charset val="134"/>
      </rPr>
      <t>行业基准（参考）</t>
    </r>
  </si>
  <si>
    <r>
      <rPr>
        <b/>
        <sz val="10"/>
        <color rgb="FFFFFFFF"/>
        <rFont val="微软雅黑"/>
        <charset val="134"/>
      </rPr>
      <t>状态评估</t>
    </r>
  </si>
  <si>
    <r>
      <t>DPD0</t>
    </r>
    <r>
      <rPr>
        <b/>
        <sz val="10"/>
        <color rgb="FF1F4E79"/>
        <rFont val="Noto Sans CJK SC"/>
        <charset val="134"/>
      </rPr>
      <t>（正常）</t>
    </r>
  </si>
  <si>
    <t>—</t>
  </si>
  <si>
    <t>DPD1-7</t>
  </si>
  <si>
    <t>&lt;8%</t>
  </si>
  <si>
    <t>DPD8-29</t>
  </si>
  <si>
    <t>&lt;5%</t>
  </si>
  <si>
    <t>DPD30-59</t>
  </si>
  <si>
    <t>&lt;3%</t>
  </si>
  <si>
    <t>DPD60-89</t>
  </si>
  <si>
    <t>&lt;2%</t>
  </si>
  <si>
    <t>DPD90+</t>
  </si>
  <si>
    <t>&lt;1.5%</t>
  </si>
  <si>
    <r>
      <rPr>
        <b/>
        <sz val="10"/>
        <color rgb="FF1F4E79"/>
        <rFont val="Noto Sans CJK SC"/>
        <charset val="1"/>
      </rPr>
      <t>合计</t>
    </r>
  </si>
  <si>
    <r>
      <t>DPD30+</t>
    </r>
    <r>
      <rPr>
        <b/>
        <sz val="10"/>
        <color rgb="FF1F4E79"/>
        <rFont val="Noto Sans CJK SC"/>
        <charset val="134"/>
      </rPr>
      <t>比率（</t>
    </r>
    <r>
      <rPr>
        <b/>
        <sz val="10"/>
        <color rgb="FF1F4E79"/>
        <rFont val="Arial"/>
        <charset val="1"/>
      </rPr>
      <t>M2+</t>
    </r>
    <r>
      <rPr>
        <b/>
        <sz val="10"/>
        <color rgb="FF1F4E79"/>
        <rFont val="Noto Sans CJK SC"/>
        <charset val="134"/>
      </rPr>
      <t>）</t>
    </r>
  </si>
  <si>
    <r>
      <rPr>
        <i/>
        <sz val="9"/>
        <color rgb="FF7F8C8D"/>
        <rFont val="Noto Sans CJK SC"/>
        <charset val="1"/>
      </rPr>
      <t>行业健康水位：</t>
    </r>
    <r>
      <rPr>
        <i/>
        <sz val="9"/>
        <color rgb="FF7F8C8D"/>
        <rFont val="Arial"/>
        <charset val="1"/>
      </rPr>
      <t>DPD30+</t>
    </r>
    <r>
      <rPr>
        <i/>
        <sz val="9"/>
        <color rgb="FF7F8C8D"/>
        <rFont val="Noto Sans CJK SC"/>
        <charset val="1"/>
      </rPr>
      <t>比率</t>
    </r>
    <r>
      <rPr>
        <i/>
        <sz val="9"/>
        <color rgb="FF7F8C8D"/>
        <rFont val="Arial"/>
        <charset val="1"/>
      </rPr>
      <t xml:space="preserve"> &lt; 3%</t>
    </r>
  </si>
  <si>
    <r>
      <t>DPD90+</t>
    </r>
    <r>
      <rPr>
        <b/>
        <sz val="10"/>
        <color rgb="FF1F4E79"/>
        <rFont val="Noto Sans CJK SC"/>
        <charset val="134"/>
      </rPr>
      <t>比率（</t>
    </r>
    <r>
      <rPr>
        <b/>
        <sz val="10"/>
        <color rgb="FF1F4E79"/>
        <rFont val="Arial"/>
        <charset val="1"/>
      </rPr>
      <t>M4+</t>
    </r>
    <r>
      <rPr>
        <b/>
        <sz val="10"/>
        <color rgb="FF1F4E79"/>
        <rFont val="Noto Sans CJK SC"/>
        <charset val="134"/>
      </rPr>
      <t>）</t>
    </r>
  </si>
  <si>
    <r>
      <rPr>
        <i/>
        <sz val="9"/>
        <color rgb="FF7F8C8D"/>
        <rFont val="Noto Sans CJK SC"/>
        <charset val="1"/>
      </rPr>
      <t>行业健康水位：</t>
    </r>
    <r>
      <rPr>
        <i/>
        <sz val="9"/>
        <color rgb="FF7F8C8D"/>
        <rFont val="Arial"/>
        <charset val="1"/>
      </rPr>
      <t>DPD90+</t>
    </r>
    <r>
      <rPr>
        <i/>
        <sz val="9"/>
        <color rgb="FF7F8C8D"/>
        <rFont val="Noto Sans CJK SC"/>
        <charset val="1"/>
      </rPr>
      <t>比率</t>
    </r>
    <r>
      <rPr>
        <i/>
        <sz val="9"/>
        <color rgb="FF7F8C8D"/>
        <rFont val="Arial"/>
        <charset val="1"/>
      </rPr>
      <t xml:space="preserve"> &lt; 1.5%</t>
    </r>
    <r>
      <rPr>
        <i/>
        <sz val="9"/>
        <color rgb="FF7F8C8D"/>
        <rFont val="Noto Sans CJK SC"/>
        <charset val="1"/>
      </rPr>
      <t>；超过</t>
    </r>
    <r>
      <rPr>
        <i/>
        <sz val="9"/>
        <color rgb="FF7F8C8D"/>
        <rFont val="Arial"/>
        <charset val="1"/>
      </rPr>
      <t>2%</t>
    </r>
    <r>
      <rPr>
        <i/>
        <sz val="9"/>
        <color rgb="FF7F8C8D"/>
        <rFont val="Noto Sans CJK SC"/>
        <charset val="1"/>
      </rPr>
      <t>触发核销预警</t>
    </r>
  </si>
  <si>
    <r>
      <rPr>
        <b/>
        <sz val="14"/>
        <color rgb="FF1F3864"/>
        <rFont val="微软雅黑"/>
        <charset val="134"/>
      </rPr>
      <t>出催回收率（</t>
    </r>
    <r>
      <rPr>
        <b/>
        <sz val="14"/>
        <color rgb="FF1F3864"/>
        <rFont val="Arial"/>
        <charset val="134"/>
      </rPr>
      <t>CRR - Collection Recovery Rate</t>
    </r>
    <r>
      <rPr>
        <b/>
        <sz val="14"/>
        <color rgb="FF1F3864"/>
        <rFont val="微软雅黑"/>
        <charset val="134"/>
      </rPr>
      <t>）测算模型</t>
    </r>
  </si>
  <si>
    <r>
      <rPr>
        <b/>
        <i/>
        <sz val="10"/>
        <color rgb="FF5D6D7E"/>
        <rFont val="Noto Sans CJK SC"/>
        <charset val="1"/>
      </rPr>
      <t>指标说明：催收案件中在规定周期内成功回收欠款的比例，评估催收效能的核心</t>
    </r>
    <r>
      <rPr>
        <b/>
        <i/>
        <sz val="10"/>
        <color rgb="FF5D6D7E"/>
        <rFont val="Arial"/>
        <charset val="1"/>
      </rPr>
      <t>KPI</t>
    </r>
  </si>
  <si>
    <r>
      <t xml:space="preserve">▌ </t>
    </r>
    <r>
      <rPr>
        <b/>
        <sz val="11"/>
        <color rgb="FF2E75B6"/>
        <rFont val="微软雅黑"/>
        <charset val="134"/>
      </rPr>
      <t>一、</t>
    </r>
    <r>
      <rPr>
        <b/>
        <sz val="11"/>
        <color rgb="FF2E75B6"/>
        <rFont val="Arial"/>
        <charset val="134"/>
      </rPr>
      <t>CRR</t>
    </r>
    <r>
      <rPr>
        <b/>
        <sz val="11"/>
        <color rgb="FF2E75B6"/>
        <rFont val="微软雅黑"/>
        <charset val="134"/>
      </rPr>
      <t>基础计算公式：</t>
    </r>
    <r>
      <rPr>
        <b/>
        <sz val="11"/>
        <color rgb="FF2E75B6"/>
        <rFont val="Arial"/>
        <charset val="134"/>
      </rPr>
      <t xml:space="preserve">CRR = </t>
    </r>
    <r>
      <rPr>
        <b/>
        <sz val="11"/>
        <color rgb="FF2E75B6"/>
        <rFont val="微软雅黑"/>
        <charset val="134"/>
      </rPr>
      <t>期间回收金额</t>
    </r>
    <r>
      <rPr>
        <b/>
        <sz val="11"/>
        <color rgb="FF2E75B6"/>
        <rFont val="Arial"/>
        <charset val="134"/>
      </rPr>
      <t xml:space="preserve"> ÷ </t>
    </r>
    <r>
      <rPr>
        <b/>
        <sz val="11"/>
        <color rgb="FF2E75B6"/>
        <rFont val="微软雅黑"/>
        <charset val="134"/>
      </rPr>
      <t>期初催收案件本金余额</t>
    </r>
    <r>
      <rPr>
        <b/>
        <sz val="11"/>
        <color rgb="FF2E75B6"/>
        <rFont val="Arial"/>
        <charset val="134"/>
      </rPr>
      <t xml:space="preserve"> × 100%</t>
    </r>
  </si>
  <si>
    <r>
      <rPr>
        <b/>
        <sz val="10"/>
        <color rgb="FFFFFFFF"/>
        <rFont val="微软雅黑"/>
        <charset val="134"/>
      </rPr>
      <t>催收渠道</t>
    </r>
  </si>
  <si>
    <r>
      <t>DPD</t>
    </r>
    <r>
      <rPr>
        <b/>
        <sz val="11"/>
        <color rgb="FFFFFFFF"/>
        <rFont val="Noto Sans CJK SC"/>
        <charset val="134"/>
      </rPr>
      <t>段</t>
    </r>
  </si>
  <si>
    <r>
      <rPr>
        <b/>
        <sz val="10"/>
        <color rgb="FFFFFFFF"/>
        <rFont val="微软雅黑"/>
        <charset val="134"/>
      </rPr>
      <t>期初本金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微软雅黑"/>
        <charset val="134"/>
      </rPr>
      <t>万元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</si>
  <si>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微软雅黑"/>
        <charset val="134"/>
      </rPr>
      <t>本月回收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微软雅黑"/>
        <charset val="134"/>
      </rPr>
      <t>万元</t>
    </r>
    <r>
      <rPr>
        <b/>
        <sz val="10"/>
        <color rgb="FFFFFFFF"/>
        <rFont val="Arial"/>
        <charset val="134"/>
      </rPr>
      <t>)</t>
    </r>
  </si>
  <si>
    <t>CRR</t>
  </si>
  <si>
    <r>
      <rPr>
        <b/>
        <sz val="10"/>
        <color rgb="FFFFFFFF"/>
        <rFont val="微软雅黑"/>
        <charset val="134"/>
      </rPr>
      <t>行业基准</t>
    </r>
  </si>
  <si>
    <r>
      <rPr>
        <b/>
        <sz val="10"/>
        <color rgb="FFFFFFFF"/>
        <rFont val="微软雅黑"/>
        <charset val="134"/>
      </rPr>
      <t>达标状态</t>
    </r>
  </si>
  <si>
    <r>
      <rPr>
        <b/>
        <sz val="10"/>
        <color rgb="FF1F4E79"/>
        <rFont val="Noto Sans CJK SC"/>
        <charset val="1"/>
      </rPr>
      <t>内催团队</t>
    </r>
    <r>
      <rPr>
        <b/>
        <sz val="10"/>
        <color rgb="FF1F4E79"/>
        <rFont val="Arial"/>
        <charset val="1"/>
      </rPr>
      <t>A</t>
    </r>
  </si>
  <si>
    <t>DPD1-29</t>
  </si>
  <si>
    <t>25%-40%</t>
  </si>
  <si>
    <r>
      <rPr>
        <b/>
        <sz val="10"/>
        <color rgb="FF1F4E79"/>
        <rFont val="Noto Sans CJK SC"/>
        <charset val="1"/>
      </rPr>
      <t>内催团队</t>
    </r>
    <r>
      <rPr>
        <b/>
        <sz val="10"/>
        <color rgb="FF1F4E79"/>
        <rFont val="Arial"/>
        <charset val="1"/>
      </rPr>
      <t>B</t>
    </r>
  </si>
  <si>
    <t>15%-25%</t>
  </si>
  <si>
    <r>
      <rPr>
        <b/>
        <sz val="10"/>
        <color rgb="FF1F4E79"/>
        <rFont val="Noto Sans CJK SC"/>
        <charset val="1"/>
      </rPr>
      <t>外催机构甲</t>
    </r>
  </si>
  <si>
    <t>10%-18%</t>
  </si>
  <si>
    <r>
      <rPr>
        <b/>
        <sz val="10"/>
        <color rgb="FF1F4E79"/>
        <rFont val="Noto Sans CJK SC"/>
        <charset val="1"/>
      </rPr>
      <t>外催机构乙</t>
    </r>
  </si>
  <si>
    <t>5%-12%</t>
  </si>
  <si>
    <r>
      <rPr>
        <b/>
        <sz val="10"/>
        <color rgb="FF1F4E79"/>
        <rFont val="Noto Sans CJK SC"/>
        <charset val="1"/>
      </rPr>
      <t>核销追催</t>
    </r>
  </si>
  <si>
    <r>
      <rPr>
        <sz val="10"/>
        <color rgb="FF5D6D7E"/>
        <rFont val="Noto Sans CJK SC"/>
        <charset val="1"/>
      </rPr>
      <t>核销案件</t>
    </r>
  </si>
  <si>
    <t>1%-5%</t>
  </si>
  <si>
    <r>
      <rPr>
        <b/>
        <sz val="10"/>
        <color rgb="FF1F4E79"/>
        <rFont val="Noto Sans CJK SC"/>
        <charset val="1"/>
      </rPr>
      <t>整体</t>
    </r>
    <r>
      <rPr>
        <b/>
        <sz val="10"/>
        <color rgb="FF1F4E79"/>
        <rFont val="Arial"/>
        <charset val="1"/>
      </rPr>
      <t>CRR</t>
    </r>
  </si>
  <si>
    <r>
      <t xml:space="preserve">▌ </t>
    </r>
    <r>
      <rPr>
        <b/>
        <sz val="11"/>
        <color rgb="FF2E75B6"/>
        <rFont val="微软雅黑"/>
        <charset val="134"/>
      </rPr>
      <t>二、月度</t>
    </r>
    <r>
      <rPr>
        <b/>
        <sz val="11"/>
        <color rgb="FF2E75B6"/>
        <rFont val="Arial"/>
        <charset val="134"/>
      </rPr>
      <t>CRR</t>
    </r>
    <r>
      <rPr>
        <b/>
        <sz val="11"/>
        <color rgb="FF2E75B6"/>
        <rFont val="微软雅黑"/>
        <charset val="134"/>
      </rPr>
      <t>趋势分析（近</t>
    </r>
    <r>
      <rPr>
        <b/>
        <sz val="11"/>
        <color rgb="FF2E75B6"/>
        <rFont val="Arial"/>
        <charset val="134"/>
      </rPr>
      <t>6</t>
    </r>
    <r>
      <rPr>
        <b/>
        <sz val="11"/>
        <color rgb="FF2E75B6"/>
        <rFont val="微软雅黑"/>
        <charset val="134"/>
      </rPr>
      <t>个月）</t>
    </r>
  </si>
  <si>
    <r>
      <rPr>
        <b/>
        <sz val="10"/>
        <color rgb="FFFFFFFF"/>
        <rFont val="微软雅黑"/>
        <charset val="134"/>
      </rPr>
      <t>指标</t>
    </r>
  </si>
  <si>
    <r>
      <t>1</t>
    </r>
    <r>
      <rPr>
        <b/>
        <sz val="11"/>
        <color rgb="FFFFFFFF"/>
        <rFont val="Noto Sans CJK SC"/>
        <charset val="134"/>
      </rPr>
      <t>月</t>
    </r>
  </si>
  <si>
    <r>
      <t>2</t>
    </r>
    <r>
      <rPr>
        <b/>
        <sz val="11"/>
        <color rgb="FFFFFFFF"/>
        <rFont val="Noto Sans CJK SC"/>
        <charset val="134"/>
      </rPr>
      <t>月</t>
    </r>
  </si>
  <si>
    <r>
      <t>3</t>
    </r>
    <r>
      <rPr>
        <b/>
        <sz val="11"/>
        <color rgb="FFFFFFFF"/>
        <rFont val="Noto Sans CJK SC"/>
        <charset val="134"/>
      </rPr>
      <t>月</t>
    </r>
  </si>
  <si>
    <r>
      <t>4</t>
    </r>
    <r>
      <rPr>
        <b/>
        <sz val="11"/>
        <color rgb="FFFFFFFF"/>
        <rFont val="Noto Sans CJK SC"/>
        <charset val="134"/>
      </rPr>
      <t>月</t>
    </r>
  </si>
  <si>
    <r>
      <t>5</t>
    </r>
    <r>
      <rPr>
        <b/>
        <sz val="11"/>
        <color rgb="FFFFFFFF"/>
        <rFont val="Noto Sans CJK SC"/>
        <charset val="134"/>
      </rPr>
      <t>月</t>
    </r>
  </si>
  <si>
    <r>
      <t>6</t>
    </r>
    <r>
      <rPr>
        <b/>
        <sz val="11"/>
        <color rgb="FFFFFFFF"/>
        <rFont val="Noto Sans CJK SC"/>
        <charset val="134"/>
      </rPr>
      <t>月</t>
    </r>
  </si>
  <si>
    <r>
      <rPr>
        <b/>
        <sz val="10"/>
        <color rgb="FF1F4E79"/>
        <rFont val="Noto Sans CJK SC"/>
        <charset val="1"/>
      </rPr>
      <t>入催本金（万元）</t>
    </r>
  </si>
  <si>
    <r>
      <rPr>
        <b/>
        <sz val="10"/>
        <color rgb="FF1F4E79"/>
        <rFont val="Noto Sans CJK SC"/>
        <charset val="1"/>
      </rPr>
      <t>回收金额（万元）</t>
    </r>
  </si>
  <si>
    <r>
      <rPr>
        <b/>
        <sz val="10"/>
        <color rgb="FF1F4E79"/>
        <rFont val="Noto Sans CJK SC"/>
        <charset val="1"/>
      </rPr>
      <t>月度</t>
    </r>
    <r>
      <rPr>
        <b/>
        <sz val="10"/>
        <color rgb="FF1F4E79"/>
        <rFont val="Arial"/>
        <charset val="1"/>
      </rPr>
      <t>CRR</t>
    </r>
  </si>
  <si>
    <r>
      <t>6</t>
    </r>
    <r>
      <rPr>
        <b/>
        <sz val="10"/>
        <color rgb="FF1F4E79"/>
        <rFont val="Noto Sans CJK SC"/>
        <charset val="134"/>
      </rPr>
      <t>月平均</t>
    </r>
    <r>
      <rPr>
        <b/>
        <sz val="10"/>
        <color rgb="FF1F4E79"/>
        <rFont val="Arial"/>
        <charset val="1"/>
      </rPr>
      <t>CRR</t>
    </r>
  </si>
  <si>
    <r>
      <rPr>
        <i/>
        <sz val="9"/>
        <color rgb="FF7F8C8D"/>
        <rFont val="Noto Sans CJK SC"/>
        <charset val="1"/>
      </rPr>
      <t>月度</t>
    </r>
    <r>
      <rPr>
        <i/>
        <sz val="9"/>
        <color rgb="FF7F8C8D"/>
        <rFont val="Arial"/>
        <charset val="1"/>
      </rPr>
      <t>CRR</t>
    </r>
    <r>
      <rPr>
        <i/>
        <sz val="9"/>
        <color rgb="FF7F8C8D"/>
        <rFont val="Noto Sans CJK SC"/>
        <charset val="1"/>
      </rPr>
      <t>建议维持在</t>
    </r>
    <r>
      <rPr>
        <i/>
        <sz val="9"/>
        <color rgb="FF7F8C8D"/>
        <rFont val="Arial"/>
        <charset val="1"/>
      </rPr>
      <t>15%</t>
    </r>
    <r>
      <rPr>
        <i/>
        <sz val="9"/>
        <color rgb="FF7F8C8D"/>
        <rFont val="Noto Sans CJK SC"/>
        <charset val="1"/>
      </rPr>
      <t>以上（综合组合口径）</t>
    </r>
  </si>
  <si>
    <r>
      <rPr>
        <b/>
        <sz val="14"/>
        <color rgb="FF1F3864"/>
        <rFont val="微软雅黑"/>
        <charset val="134"/>
      </rPr>
      <t>滚动率（</t>
    </r>
    <r>
      <rPr>
        <b/>
        <sz val="14"/>
        <color rgb="FF1F3864"/>
        <rFont val="Arial"/>
        <charset val="134"/>
      </rPr>
      <t>Roll Rate</t>
    </r>
    <r>
      <rPr>
        <b/>
        <sz val="14"/>
        <color rgb="FF1F3864"/>
        <rFont val="微软雅黑"/>
        <charset val="134"/>
      </rPr>
      <t>）测算模型</t>
    </r>
  </si>
  <si>
    <r>
      <rPr>
        <b/>
        <i/>
        <sz val="10"/>
        <color rgb="FF5D6D7E"/>
        <rFont val="Noto Sans CJK SC"/>
        <charset val="1"/>
      </rPr>
      <t>指标说明：衡量逾期账户在不同</t>
    </r>
    <r>
      <rPr>
        <b/>
        <i/>
        <sz val="10"/>
        <color rgb="FF5D6D7E"/>
        <rFont val="Arial"/>
        <charset val="1"/>
      </rPr>
      <t>DPD</t>
    </r>
    <r>
      <rPr>
        <b/>
        <i/>
        <sz val="10"/>
        <color rgb="FF5D6D7E"/>
        <rFont val="Noto Sans CJK SC"/>
        <charset val="1"/>
      </rPr>
      <t>区间之间迁移的比例，反映资产质量动态恶化或改善趋势</t>
    </r>
  </si>
  <si>
    <r>
      <t xml:space="preserve">▌ </t>
    </r>
    <r>
      <rPr>
        <b/>
        <sz val="11"/>
        <color rgb="FF2E75B6"/>
        <rFont val="微软雅黑"/>
        <charset val="134"/>
      </rPr>
      <t>一、迁移矩阵（余额口径，单位：万元）</t>
    </r>
  </si>
  <si>
    <r>
      <rPr>
        <b/>
        <sz val="10"/>
        <color rgb="FFFFFFFF"/>
        <rFont val="微软雅黑"/>
        <charset val="134"/>
      </rPr>
      <t>本期</t>
    </r>
    <r>
      <rPr>
        <b/>
        <sz val="10"/>
        <color rgb="FFFFFFFF"/>
        <rFont val="Arial"/>
        <charset val="134"/>
      </rPr>
      <t xml:space="preserve">↓ / </t>
    </r>
    <r>
      <rPr>
        <b/>
        <sz val="10"/>
        <color rgb="FFFFFFFF"/>
        <rFont val="微软雅黑"/>
        <charset val="134"/>
      </rPr>
      <t>上期</t>
    </r>
    <r>
      <rPr>
        <b/>
        <sz val="10"/>
        <color rgb="FFFFFFFF"/>
        <rFont val="Arial"/>
        <charset val="134"/>
      </rPr>
      <t>→</t>
    </r>
  </si>
  <si>
    <r>
      <rPr>
        <b/>
        <sz val="10"/>
        <color rgb="FFFFFFFF"/>
        <rFont val="微软雅黑"/>
        <charset val="134"/>
      </rPr>
      <t>正常</t>
    </r>
    <r>
      <rPr>
        <b/>
        <sz val="10"/>
        <color rgb="FFFFFFFF"/>
        <rFont val="Arial"/>
        <charset val="134"/>
      </rPr>
      <t>(M0)</t>
    </r>
  </si>
  <si>
    <t>M1(DPD1-29)</t>
  </si>
  <si>
    <t>M2(DPD30-59)</t>
  </si>
  <si>
    <t>M3(DPD60-89)</t>
  </si>
  <si>
    <t>M4+(DPD90+)</t>
  </si>
  <si>
    <r>
      <rPr>
        <b/>
        <sz val="10"/>
        <color rgb="FFFFFFFF"/>
        <rFont val="微软雅黑"/>
        <charset val="134"/>
      </rPr>
      <t>期末合计</t>
    </r>
  </si>
  <si>
    <r>
      <rPr>
        <b/>
        <sz val="10"/>
        <color rgb="FF1F4E79"/>
        <rFont val="Noto Sans CJK SC"/>
        <charset val="1"/>
      </rPr>
      <t>正常</t>
    </r>
    <r>
      <rPr>
        <b/>
        <sz val="10"/>
        <color rgb="FF1F4E79"/>
        <rFont val="Arial"/>
        <charset val="1"/>
      </rPr>
      <t>(M0)</t>
    </r>
  </si>
  <si>
    <r>
      <rPr>
        <b/>
        <sz val="10"/>
        <color rgb="FF1F4E79"/>
        <rFont val="Noto Sans CJK SC"/>
        <charset val="1"/>
      </rPr>
      <t>核销</t>
    </r>
  </si>
  <si>
    <r>
      <rPr>
        <b/>
        <sz val="10"/>
        <color rgb="FF1F4E79"/>
        <rFont val="Noto Sans CJK SC"/>
        <charset val="1"/>
      </rPr>
      <t>期初合计</t>
    </r>
  </si>
  <si>
    <r>
      <t xml:space="preserve">▌ </t>
    </r>
    <r>
      <rPr>
        <b/>
        <sz val="11"/>
        <color rgb="FF2E75B6"/>
        <rFont val="微软雅黑"/>
        <charset val="134"/>
      </rPr>
      <t>二、滚动率计算（正向滚动</t>
    </r>
    <r>
      <rPr>
        <b/>
        <sz val="11"/>
        <color rgb="FF2E75B6"/>
        <rFont val="Arial"/>
        <charset val="134"/>
      </rPr>
      <t xml:space="preserve"> = </t>
    </r>
    <r>
      <rPr>
        <b/>
        <sz val="11"/>
        <color rgb="FF2E75B6"/>
        <rFont val="微软雅黑"/>
        <charset val="134"/>
      </rPr>
      <t>向更高</t>
    </r>
    <r>
      <rPr>
        <b/>
        <sz val="11"/>
        <color rgb="FF2E75B6"/>
        <rFont val="Arial"/>
        <charset val="134"/>
      </rPr>
      <t>DPD</t>
    </r>
    <r>
      <rPr>
        <b/>
        <sz val="11"/>
        <color rgb="FF2E75B6"/>
        <rFont val="微软雅黑"/>
        <charset val="134"/>
      </rPr>
      <t>迁移）</t>
    </r>
  </si>
  <si>
    <r>
      <rPr>
        <b/>
        <sz val="10"/>
        <color rgb="FFFFFFFF"/>
        <rFont val="微软雅黑"/>
        <charset val="134"/>
      </rPr>
      <t>迁移方向</t>
    </r>
  </si>
  <si>
    <r>
      <rPr>
        <b/>
        <sz val="10"/>
        <color rgb="FFFFFFFF"/>
        <rFont val="微软雅黑"/>
        <charset val="134"/>
      </rPr>
      <t>迁入金额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微软雅黑"/>
        <charset val="134"/>
      </rPr>
      <t>万元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</si>
  <si>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微软雅黑"/>
        <charset val="134"/>
      </rPr>
      <t>期初金额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微软雅黑"/>
        <charset val="134"/>
      </rPr>
      <t>万元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</si>
  <si>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微软雅黑"/>
        <charset val="134"/>
      </rPr>
      <t>滚动率</t>
    </r>
  </si>
  <si>
    <r>
      <rPr>
        <b/>
        <sz val="10"/>
        <color rgb="FFFFFFFF"/>
        <rFont val="微软雅黑"/>
        <charset val="134"/>
      </rPr>
      <t>状态</t>
    </r>
  </si>
  <si>
    <r>
      <t>M0 → M1</t>
    </r>
    <r>
      <rPr>
        <b/>
        <sz val="10"/>
        <color rgb="FF1F4E79"/>
        <rFont val="Noto Sans CJK SC"/>
        <charset val="134"/>
      </rPr>
      <t>（正常</t>
    </r>
    <r>
      <rPr>
        <b/>
        <sz val="10"/>
        <color rgb="FF1F4E79"/>
        <rFont val="Arial"/>
        <charset val="134"/>
      </rPr>
      <t>→</t>
    </r>
    <r>
      <rPr>
        <b/>
        <sz val="10"/>
        <color rgb="FF1F4E79"/>
        <rFont val="Noto Sans CJK SC"/>
        <charset val="134"/>
      </rPr>
      <t>早期逾期）</t>
    </r>
  </si>
  <si>
    <r>
      <t>M1 → M2</t>
    </r>
    <r>
      <rPr>
        <b/>
        <sz val="10"/>
        <color rgb="FF1F4E79"/>
        <rFont val="Noto Sans CJK SC"/>
        <charset val="134"/>
      </rPr>
      <t>（早期</t>
    </r>
    <r>
      <rPr>
        <b/>
        <sz val="10"/>
        <color rgb="FF1F4E79"/>
        <rFont val="Arial"/>
        <charset val="134"/>
      </rPr>
      <t>→</t>
    </r>
    <r>
      <rPr>
        <b/>
        <sz val="10"/>
        <color rgb="FF1F4E79"/>
        <rFont val="Noto Sans CJK SC"/>
        <charset val="134"/>
      </rPr>
      <t>中期逾期）</t>
    </r>
  </si>
  <si>
    <t>&lt;30%</t>
  </si>
  <si>
    <r>
      <t>M2 → M3</t>
    </r>
    <r>
      <rPr>
        <b/>
        <sz val="10"/>
        <color rgb="FF1F4E79"/>
        <rFont val="Noto Sans CJK SC"/>
        <charset val="134"/>
      </rPr>
      <t>（中期</t>
    </r>
    <r>
      <rPr>
        <b/>
        <sz val="10"/>
        <color rgb="FF1F4E79"/>
        <rFont val="Arial"/>
        <charset val="134"/>
      </rPr>
      <t>→</t>
    </r>
    <r>
      <rPr>
        <b/>
        <sz val="10"/>
        <color rgb="FF1F4E79"/>
        <rFont val="Noto Sans CJK SC"/>
        <charset val="134"/>
      </rPr>
      <t>高风险）</t>
    </r>
  </si>
  <si>
    <t>&lt;25%</t>
  </si>
  <si>
    <r>
      <t>M3 → M4+</t>
    </r>
    <r>
      <rPr>
        <b/>
        <sz val="10"/>
        <color rgb="FF1F4E79"/>
        <rFont val="Noto Sans CJK SC"/>
        <charset val="134"/>
      </rPr>
      <t>（高风险</t>
    </r>
    <r>
      <rPr>
        <b/>
        <sz val="10"/>
        <color rgb="FF1F4E79"/>
        <rFont val="Arial"/>
        <charset val="134"/>
      </rPr>
      <t>→</t>
    </r>
    <r>
      <rPr>
        <b/>
        <sz val="10"/>
        <color rgb="FF1F4E79"/>
        <rFont val="Noto Sans CJK SC"/>
        <charset val="134"/>
      </rPr>
      <t>严重逾期）</t>
    </r>
  </si>
  <si>
    <t>&lt;20%</t>
  </si>
  <si>
    <r>
      <rPr>
        <b/>
        <sz val="14"/>
        <color rgb="FF1F3864"/>
        <rFont val="微软雅黑"/>
        <charset val="134"/>
      </rPr>
      <t>催收到位率（</t>
    </r>
    <r>
      <rPr>
        <b/>
        <sz val="14"/>
        <color rgb="FF1F3864"/>
        <rFont val="Arial"/>
        <charset val="134"/>
      </rPr>
      <t>Contact Rate</t>
    </r>
    <r>
      <rPr>
        <b/>
        <sz val="14"/>
        <color rgb="FF1F3864"/>
        <rFont val="微软雅黑"/>
        <charset val="134"/>
      </rPr>
      <t>）测算模型</t>
    </r>
  </si>
  <si>
    <r>
      <t>指标说明：催收人员实际触达债务人（本人接听</t>
    </r>
    <r>
      <rPr>
        <b/>
        <i/>
        <sz val="10"/>
        <color rgb="FF5D6D7E"/>
        <rFont val="Arial"/>
        <charset val="1"/>
      </rPr>
      <t>/</t>
    </r>
    <r>
      <rPr>
        <b/>
        <i/>
        <sz val="10"/>
        <color rgb="FF5D6D7E"/>
        <rFont val="Noto Sans CJK SC"/>
        <charset val="1"/>
      </rPr>
      <t>回复）的比例，衡量催收效率的过程性指标</t>
    </r>
  </si>
  <si>
    <r>
      <t xml:space="preserve">▌ </t>
    </r>
    <r>
      <rPr>
        <b/>
        <sz val="11"/>
        <color rgb="FF2E75B6"/>
        <rFont val="微软雅黑"/>
        <charset val="134"/>
      </rPr>
      <t>一、电话催收</t>
    </r>
    <r>
      <rPr>
        <b/>
        <sz val="11"/>
        <color rgb="FF2E75B6"/>
        <rFont val="Arial"/>
        <charset val="134"/>
      </rPr>
      <t>Contact Rate</t>
    </r>
    <r>
      <rPr>
        <b/>
        <sz val="11"/>
        <color rgb="FF2E75B6"/>
        <rFont val="微软雅黑"/>
        <charset val="134"/>
      </rPr>
      <t>（按催收员）</t>
    </r>
  </si>
  <si>
    <r>
      <rPr>
        <b/>
        <sz val="10"/>
        <color rgb="FFFFFFFF"/>
        <rFont val="微软雅黑"/>
        <charset val="134"/>
      </rPr>
      <t>催收员</t>
    </r>
  </si>
  <si>
    <r>
      <rPr>
        <b/>
        <sz val="10"/>
        <color rgb="FFFFFFFF"/>
        <rFont val="微软雅黑"/>
        <charset val="134"/>
      </rPr>
      <t>拨打次数</t>
    </r>
  </si>
  <si>
    <r>
      <rPr>
        <b/>
        <sz val="10"/>
        <color rgb="FFFFFFFF"/>
        <rFont val="微软雅黑"/>
        <charset val="134"/>
      </rPr>
      <t>接通次数（任意人）</t>
    </r>
  </si>
  <si>
    <r>
      <rPr>
        <b/>
        <sz val="10"/>
        <color rgb="FFFFFFFF"/>
        <rFont val="微软雅黑"/>
        <charset val="134"/>
      </rPr>
      <t>本人接听次数</t>
    </r>
  </si>
  <si>
    <r>
      <rPr>
        <b/>
        <sz val="10"/>
        <color rgb="FFFFFFFF"/>
        <rFont val="微软雅黑"/>
        <charset val="134"/>
      </rPr>
      <t>接通率</t>
    </r>
  </si>
  <si>
    <r>
      <rPr>
        <b/>
        <sz val="10"/>
        <color rgb="FFFFFFFF"/>
        <rFont val="微软雅黑"/>
        <charset val="134"/>
      </rPr>
      <t>本人到位率</t>
    </r>
  </si>
  <si>
    <t>A催收员</t>
  </si>
  <si>
    <t>B催收员</t>
  </si>
  <si>
    <t>C催收员</t>
  </si>
  <si>
    <t>D催收员</t>
  </si>
  <si>
    <t>E催收员</t>
  </si>
  <si>
    <t>团队合计</t>
  </si>
  <si>
    <r>
      <t xml:space="preserve">▌ </t>
    </r>
    <r>
      <rPr>
        <b/>
        <sz val="11"/>
        <color rgb="FF2E75B6"/>
        <rFont val="微软雅黑"/>
        <charset val="134"/>
      </rPr>
      <t>二、多渠道</t>
    </r>
    <r>
      <rPr>
        <b/>
        <sz val="11"/>
        <color rgb="FF2E75B6"/>
        <rFont val="Arial"/>
        <charset val="134"/>
      </rPr>
      <t>Contact Rate</t>
    </r>
    <r>
      <rPr>
        <b/>
        <sz val="11"/>
        <color rgb="FF2E75B6"/>
        <rFont val="微软雅黑"/>
        <charset val="134"/>
      </rPr>
      <t>对比（同一批次账户）</t>
    </r>
  </si>
  <si>
    <r>
      <rPr>
        <b/>
        <sz val="10"/>
        <color rgb="FFFFFFFF"/>
        <rFont val="微软雅黑"/>
        <charset val="134"/>
      </rPr>
      <t>分配账户数</t>
    </r>
  </si>
  <si>
    <r>
      <rPr>
        <b/>
        <sz val="10"/>
        <color rgb="FFFFFFFF"/>
        <rFont val="微软雅黑"/>
        <charset val="134"/>
      </rPr>
      <t>尝试联系次数</t>
    </r>
  </si>
  <si>
    <r>
      <rPr>
        <b/>
        <sz val="10"/>
        <color rgb="FFFFFFFF"/>
        <rFont val="微软雅黑"/>
        <charset val="134"/>
      </rPr>
      <t>成功触达账户</t>
    </r>
  </si>
  <si>
    <t>Contact Rate</t>
  </si>
  <si>
    <r>
      <rPr>
        <b/>
        <sz val="10"/>
        <color rgb="FFFFFFFF"/>
        <rFont val="微软雅黑"/>
        <charset val="134"/>
      </rPr>
      <t>单账户联系成本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微软雅黑"/>
        <charset val="134"/>
      </rPr>
      <t>元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</si>
  <si>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微软雅黑"/>
        <charset val="134"/>
      </rPr>
      <t>综合效率评分</t>
    </r>
  </si>
  <si>
    <r>
      <t>AI</t>
    </r>
    <r>
      <rPr>
        <b/>
        <sz val="10"/>
        <color rgb="FF1F4E79"/>
        <rFont val="Noto Sans CJK SC"/>
        <charset val="134"/>
      </rPr>
      <t>语音外呼</t>
    </r>
  </si>
  <si>
    <r>
      <rPr>
        <b/>
        <sz val="10"/>
        <color rgb="FF1F4E79"/>
        <rFont val="Noto Sans CJK SC"/>
        <charset val="1"/>
      </rPr>
      <t>人工电话</t>
    </r>
  </si>
  <si>
    <r>
      <rPr>
        <b/>
        <sz val="10"/>
        <color rgb="FF1F4E79"/>
        <rFont val="Noto Sans CJK SC"/>
        <charset val="1"/>
      </rPr>
      <t>短信催收</t>
    </r>
  </si>
  <si>
    <r>
      <rPr>
        <b/>
        <sz val="10"/>
        <color rgb="FF1F4E79"/>
        <rFont val="Noto Sans CJK SC"/>
        <charset val="1"/>
      </rPr>
      <t>微信</t>
    </r>
    <r>
      <rPr>
        <b/>
        <sz val="10"/>
        <color rgb="FF1F4E79"/>
        <rFont val="Arial"/>
        <charset val="1"/>
      </rPr>
      <t>/APP</t>
    </r>
    <r>
      <rPr>
        <b/>
        <sz val="10"/>
        <color rgb="FF1F4E79"/>
        <rFont val="Noto Sans CJK SC"/>
        <charset val="1"/>
      </rPr>
      <t>推送</t>
    </r>
  </si>
  <si>
    <r>
      <rPr>
        <b/>
        <sz val="10"/>
        <color rgb="FF1F4E79"/>
        <rFont val="Noto Sans CJK SC"/>
        <charset val="1"/>
      </rPr>
      <t>上门催收</t>
    </r>
  </si>
  <si>
    <r>
      <rPr>
        <b/>
        <sz val="14"/>
        <color rgb="FF1F3864"/>
        <rFont val="微软雅黑"/>
        <charset val="134"/>
      </rPr>
      <t>承诺还款履约率（</t>
    </r>
    <r>
      <rPr>
        <b/>
        <sz val="14"/>
        <color rgb="FF1F3864"/>
        <rFont val="Arial"/>
        <charset val="134"/>
      </rPr>
      <t>PTP Rate - Promise to Pay</t>
    </r>
    <r>
      <rPr>
        <b/>
        <sz val="14"/>
        <color rgb="FF1F3864"/>
        <rFont val="微软雅黑"/>
        <charset val="134"/>
      </rPr>
      <t>）测算模型</t>
    </r>
  </si>
  <si>
    <t>指标说明：债务人承诺在约定日期还款并实际履约的比例，是预测短期回款的先行指标</t>
  </si>
  <si>
    <r>
      <t xml:space="preserve">▌ </t>
    </r>
    <r>
      <rPr>
        <b/>
        <sz val="11"/>
        <color rgb="FF2E75B6"/>
        <rFont val="微软雅黑"/>
        <charset val="134"/>
      </rPr>
      <t>一、</t>
    </r>
    <r>
      <rPr>
        <b/>
        <sz val="11"/>
        <color rgb="FF2E75B6"/>
        <rFont val="Arial"/>
        <charset val="134"/>
      </rPr>
      <t>PTP</t>
    </r>
    <r>
      <rPr>
        <b/>
        <sz val="11"/>
        <color rgb="FF2E75B6"/>
        <rFont val="微软雅黑"/>
        <charset val="134"/>
      </rPr>
      <t>达成率</t>
    </r>
    <r>
      <rPr>
        <b/>
        <sz val="11"/>
        <color rgb="FF2E75B6"/>
        <rFont val="Arial"/>
        <charset val="134"/>
      </rPr>
      <t xml:space="preserve"> &amp; </t>
    </r>
    <r>
      <rPr>
        <b/>
        <sz val="11"/>
        <color rgb="FF2E75B6"/>
        <rFont val="微软雅黑"/>
        <charset val="134"/>
      </rPr>
      <t>履约率测算（按催收员</t>
    </r>
    <r>
      <rPr>
        <b/>
        <sz val="11"/>
        <color rgb="FF2E75B6"/>
        <rFont val="Arial"/>
        <charset val="134"/>
      </rPr>
      <t>/</t>
    </r>
    <r>
      <rPr>
        <b/>
        <sz val="11"/>
        <color rgb="FF2E75B6"/>
        <rFont val="微软雅黑"/>
        <charset val="134"/>
      </rPr>
      <t>渠道）</t>
    </r>
  </si>
  <si>
    <r>
      <rPr>
        <b/>
        <sz val="10"/>
        <color rgb="FFFFFFFF"/>
        <rFont val="微软雅黑"/>
        <charset val="134"/>
      </rPr>
      <t>有效沟通账户</t>
    </r>
  </si>
  <si>
    <r>
      <rPr>
        <b/>
        <sz val="10"/>
        <color rgb="FFFFFFFF"/>
        <rFont val="微软雅黑"/>
        <charset val="134"/>
      </rPr>
      <t>获得</t>
    </r>
    <r>
      <rPr>
        <b/>
        <sz val="10"/>
        <color rgb="FFFFFFFF"/>
        <rFont val="Arial"/>
        <charset val="134"/>
      </rPr>
      <t>PTP</t>
    </r>
    <r>
      <rPr>
        <b/>
        <sz val="10"/>
        <color rgb="FFFFFFFF"/>
        <rFont val="微软雅黑"/>
        <charset val="134"/>
      </rPr>
      <t>承诺数</t>
    </r>
  </si>
  <si>
    <r>
      <rPr>
        <b/>
        <sz val="10"/>
        <color rgb="FFFFFFFF"/>
        <rFont val="微软雅黑"/>
        <charset val="134"/>
      </rPr>
      <t>实际履约数</t>
    </r>
  </si>
  <si>
    <r>
      <t>PTP</t>
    </r>
    <r>
      <rPr>
        <b/>
        <sz val="11"/>
        <color rgb="FFFFFFFF"/>
        <rFont val="Noto Sans CJK SC"/>
        <charset val="134"/>
      </rPr>
      <t>达成率</t>
    </r>
  </si>
  <si>
    <r>
      <t>PTP</t>
    </r>
    <r>
      <rPr>
        <b/>
        <sz val="11"/>
        <color rgb="FFFFFFFF"/>
        <rFont val="Noto Sans CJK SC"/>
        <charset val="134"/>
      </rPr>
      <t>履约率</t>
    </r>
  </si>
  <si>
    <r>
      <rPr>
        <b/>
        <sz val="10"/>
        <color rgb="FFFFFFFF"/>
        <rFont val="微软雅黑"/>
        <charset val="134"/>
      </rPr>
      <t>综合评分</t>
    </r>
  </si>
  <si>
    <r>
      <rPr>
        <b/>
        <sz val="10"/>
        <color rgb="FF1F4E79"/>
        <rFont val="Noto Sans CJK SC"/>
        <charset val="1"/>
      </rPr>
      <t>团队合计</t>
    </r>
  </si>
  <si>
    <r>
      <t xml:space="preserve">▌ </t>
    </r>
    <r>
      <rPr>
        <b/>
        <sz val="11"/>
        <color rgb="FF2E75B6"/>
        <rFont val="微软雅黑"/>
        <charset val="134"/>
      </rPr>
      <t>二、</t>
    </r>
    <r>
      <rPr>
        <b/>
        <sz val="11"/>
        <color rgb="FF2E75B6"/>
        <rFont val="Arial"/>
        <charset val="134"/>
      </rPr>
      <t>PTP</t>
    </r>
    <r>
      <rPr>
        <b/>
        <sz val="11"/>
        <color rgb="FF2E75B6"/>
        <rFont val="微软雅黑"/>
        <charset val="134"/>
      </rPr>
      <t>金额履约率测算</t>
    </r>
  </si>
  <si>
    <r>
      <rPr>
        <b/>
        <sz val="10"/>
        <color rgb="FFFFFFFF"/>
        <rFont val="微软雅黑"/>
        <charset val="134"/>
      </rPr>
      <t>周期</t>
    </r>
  </si>
  <si>
    <r>
      <t>PTP</t>
    </r>
    <r>
      <rPr>
        <b/>
        <sz val="11"/>
        <color rgb="FFFFFFFF"/>
        <rFont val="Noto Sans CJK SC"/>
        <charset val="134"/>
      </rPr>
      <t>承诺金额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charset val="134"/>
      </rPr>
      <t>万元</t>
    </r>
    <r>
      <rPr>
        <b/>
        <sz val="11"/>
        <color rgb="FFFFFFFF"/>
        <rFont val="Arial"/>
        <charset val="1"/>
      </rPr>
      <t>)</t>
    </r>
  </si>
  <si>
    <r>
      <rPr>
        <b/>
        <sz val="10"/>
        <color rgb="FFFFFFFF"/>
        <rFont val="微软雅黑"/>
        <charset val="134"/>
      </rPr>
      <t>全额履约金额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微软雅黑"/>
        <charset val="134"/>
      </rPr>
      <t>万元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</si>
  <si>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微软雅黑"/>
        <charset val="134"/>
      </rPr>
      <t>部分履约金额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微软雅黑"/>
        <charset val="134"/>
      </rPr>
      <t>万元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</si>
  <si>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微软雅黑"/>
        <charset val="134"/>
      </rPr>
      <t>全额履约率</t>
    </r>
  </si>
  <si>
    <r>
      <rPr>
        <b/>
        <sz val="10"/>
        <color rgb="FFFFFFFF"/>
        <rFont val="微软雅黑"/>
        <charset val="134"/>
      </rPr>
      <t>金额回收率</t>
    </r>
  </si>
  <si>
    <r>
      <rPr>
        <b/>
        <sz val="10"/>
        <color rgb="FFFFFFFF"/>
        <rFont val="微软雅黑"/>
        <charset val="134"/>
      </rPr>
      <t>达标</t>
    </r>
  </si>
  <si>
    <r>
      <rPr>
        <b/>
        <sz val="10"/>
        <color rgb="FF1F4E79"/>
        <rFont val="Noto Sans CJK SC"/>
        <charset val="1"/>
      </rPr>
      <t>第</t>
    </r>
    <r>
      <rPr>
        <b/>
        <sz val="10"/>
        <color rgb="FF1F4E79"/>
        <rFont val="Arial"/>
        <charset val="1"/>
      </rPr>
      <t>1</t>
    </r>
    <r>
      <rPr>
        <b/>
        <sz val="10"/>
        <color rgb="FF1F4E79"/>
        <rFont val="Noto Sans CJK SC"/>
        <charset val="1"/>
      </rPr>
      <t>周</t>
    </r>
  </si>
  <si>
    <r>
      <rPr>
        <b/>
        <sz val="10"/>
        <color rgb="FF1F4E79"/>
        <rFont val="Noto Sans CJK SC"/>
        <charset val="1"/>
      </rPr>
      <t>第</t>
    </r>
    <r>
      <rPr>
        <b/>
        <sz val="10"/>
        <color rgb="FF1F4E79"/>
        <rFont val="Arial"/>
        <charset val="1"/>
      </rPr>
      <t>2</t>
    </r>
    <r>
      <rPr>
        <b/>
        <sz val="10"/>
        <color rgb="FF1F4E79"/>
        <rFont val="Noto Sans CJK SC"/>
        <charset val="1"/>
      </rPr>
      <t>周</t>
    </r>
  </si>
  <si>
    <r>
      <rPr>
        <b/>
        <sz val="10"/>
        <color rgb="FF1F4E79"/>
        <rFont val="Noto Sans CJK SC"/>
        <charset val="1"/>
      </rPr>
      <t>第</t>
    </r>
    <r>
      <rPr>
        <b/>
        <sz val="10"/>
        <color rgb="FF1F4E79"/>
        <rFont val="Arial"/>
        <charset val="1"/>
      </rPr>
      <t>3</t>
    </r>
    <r>
      <rPr>
        <b/>
        <sz val="10"/>
        <color rgb="FF1F4E79"/>
        <rFont val="Noto Sans CJK SC"/>
        <charset val="1"/>
      </rPr>
      <t>周</t>
    </r>
  </si>
  <si>
    <r>
      <rPr>
        <b/>
        <sz val="10"/>
        <color rgb="FF1F4E79"/>
        <rFont val="Noto Sans CJK SC"/>
        <charset val="1"/>
      </rPr>
      <t>第</t>
    </r>
    <r>
      <rPr>
        <b/>
        <sz val="10"/>
        <color rgb="FF1F4E79"/>
        <rFont val="Arial"/>
        <charset val="1"/>
      </rPr>
      <t>4</t>
    </r>
    <r>
      <rPr>
        <b/>
        <sz val="10"/>
        <color rgb="FF1F4E79"/>
        <rFont val="Noto Sans CJK SC"/>
        <charset val="1"/>
      </rPr>
      <t>周</t>
    </r>
  </si>
  <si>
    <r>
      <t>70%</t>
    </r>
    <r>
      <rPr>
        <sz val="9"/>
        <color theme="1"/>
        <rFont val="宋体"/>
        <charset val="1"/>
      </rPr>
      <t>作为达标分界点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</si>
</sst>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\-#,##0;\-"/>
    <numFmt numFmtId="177" formatCode="yyyy\-mm\-dd"/>
    <numFmt numFmtId="178" formatCode="0&quot;天&quot;"/>
    <numFmt numFmtId="179" formatCode="_ * #,##0_ ;_ * \-#,##0_ ;_ * &quot;-&quot;??_ ;_ @_ "/>
    <numFmt numFmtId="180" formatCode="0.0%"/>
  </numFmts>
  <fonts count="57">
    <font>
      <sz val="11"/>
      <color theme="1"/>
      <name val="宋体"/>
      <charset val="134"/>
      <scheme val="minor"/>
    </font>
    <font>
      <sz val="11"/>
      <color theme="1"/>
      <name val="Arial"/>
      <charset val="1"/>
    </font>
    <font>
      <b/>
      <sz val="14"/>
      <color rgb="FF1F3864"/>
      <name val="Arial"/>
      <charset val="134"/>
    </font>
    <font>
      <sz val="11"/>
      <color theme="1"/>
      <name val="Arial"/>
      <charset val="134"/>
    </font>
    <font>
      <b/>
      <i/>
      <sz val="10"/>
      <color rgb="FF5D6D7E"/>
      <name val="Noto Sans CJK SC"/>
      <charset val="1"/>
    </font>
    <font>
      <b/>
      <i/>
      <sz val="10"/>
      <color rgb="FF5D6D7E"/>
      <name val="Arial"/>
      <charset val="1"/>
    </font>
    <font>
      <b/>
      <sz val="11"/>
      <color rgb="FF2E75B6"/>
      <name val="Arial"/>
      <charset val="134"/>
    </font>
    <font>
      <b/>
      <sz val="10"/>
      <color rgb="FFFFFFFF"/>
      <name val="Arial"/>
      <charset val="134"/>
    </font>
    <font>
      <b/>
      <sz val="11"/>
      <color rgb="FFFFFFFF"/>
      <name val="Arial"/>
      <charset val="1"/>
    </font>
    <font>
      <b/>
      <sz val="10"/>
      <color rgb="FF1F4E79"/>
      <name val="Noto Sans CJK SC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1F4E79"/>
      <name val="Arial"/>
      <charset val="1"/>
    </font>
    <font>
      <b/>
      <sz val="11"/>
      <color rgb="FF1F4E79"/>
      <name val="Arial"/>
      <charset val="1"/>
    </font>
    <font>
      <sz val="9"/>
      <color theme="1"/>
      <name val="Arial"/>
      <charset val="1"/>
    </font>
    <font>
      <b/>
      <sz val="10"/>
      <color rgb="FF000000"/>
      <name val="Arial"/>
      <charset val="1"/>
    </font>
    <font>
      <b/>
      <sz val="11"/>
      <color theme="1"/>
      <name val="Arial"/>
      <charset val="1"/>
    </font>
    <font>
      <b/>
      <sz val="10"/>
      <color rgb="FF1F4E79"/>
      <name val="Arial"/>
      <charset val="1"/>
    </font>
    <font>
      <sz val="10"/>
      <color rgb="FFBDC3C7"/>
      <name val="Arial"/>
      <charset val="1"/>
    </font>
    <font>
      <sz val="9"/>
      <color rgb="FF7F8C8D"/>
      <name val="Arial"/>
      <charset val="1"/>
    </font>
    <font>
      <sz val="10"/>
      <color rgb="FF5D6D7E"/>
      <name val="Arial"/>
      <charset val="1"/>
    </font>
    <font>
      <sz val="10"/>
      <color rgb="FF5D6D7E"/>
      <name val="Arial"/>
      <charset val="1"/>
    </font>
    <font>
      <i/>
      <sz val="9"/>
      <color rgb="FF7F8C8D"/>
      <name val="Arial"/>
      <charset val="1"/>
    </font>
    <font>
      <sz val="10"/>
      <color rgb="FF7F8C8D"/>
      <name val="Arial"/>
      <charset val="1"/>
    </font>
    <font>
      <sz val="10"/>
      <color rgb="FF333333"/>
      <name val="Arial"/>
      <charset val="134"/>
    </font>
    <font>
      <b/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FFFF"/>
      <name val="微软雅黑"/>
      <charset val="134"/>
    </font>
    <font>
      <b/>
      <sz val="11"/>
      <color rgb="FF2E75B6"/>
      <name val="微软雅黑"/>
      <charset val="134"/>
    </font>
    <font>
      <b/>
      <sz val="11"/>
      <name val="宋体"/>
      <charset val="134"/>
    </font>
    <font>
      <b/>
      <sz val="11"/>
      <color rgb="FFFFFFFF"/>
      <name val="Noto Sans CJK SC"/>
      <charset val="134"/>
    </font>
    <font>
      <i/>
      <sz val="9"/>
      <color rgb="FF7F8C8D"/>
      <name val="Noto Sans CJK SC"/>
      <charset val="1"/>
    </font>
    <font>
      <sz val="9"/>
      <color theme="1"/>
      <name val="宋体"/>
      <charset val="1"/>
    </font>
    <font>
      <b/>
      <sz val="14"/>
      <color rgb="FF1F3864"/>
      <name val="微软雅黑"/>
      <charset val="134"/>
    </font>
    <font>
      <sz val="10"/>
      <color rgb="FF333333"/>
      <name val="微软雅黑"/>
      <charset val="134"/>
    </font>
    <font>
      <b/>
      <sz val="10"/>
      <color rgb="FF1F4E79"/>
      <name val="Noto Sans CJK SC"/>
      <charset val="134"/>
    </font>
    <font>
      <b/>
      <sz val="10"/>
      <color rgb="FF1F4E79"/>
      <name val="Arial"/>
      <charset val="134"/>
    </font>
    <font>
      <b/>
      <sz val="10"/>
      <color rgb="FF1F4E79"/>
      <name val="宋体"/>
      <charset val="1"/>
    </font>
    <font>
      <sz val="10"/>
      <color rgb="FF5D6D7E"/>
      <name val="Noto Sans CJK SC"/>
      <charset val="1"/>
    </font>
  </fonts>
  <fills count="42">
    <fill>
      <patternFill patternType="none"/>
    </fill>
    <fill>
      <patternFill patternType="gray125"/>
    </fill>
    <fill>
      <patternFill patternType="solid">
        <fgColor rgb="FFEBF3FA"/>
        <bgColor rgb="FFF0F7FF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rgb="FFD5D8DC"/>
      </patternFill>
    </fill>
    <fill>
      <patternFill patternType="solid">
        <fgColor rgb="FFF0F7FF"/>
        <bgColor rgb="FFEBF3FA"/>
      </patternFill>
    </fill>
    <fill>
      <patternFill patternType="solid">
        <fgColor rgb="FFFFFFFF"/>
        <bgColor rgb="FFF8F9F9"/>
      </patternFill>
    </fill>
    <fill>
      <patternFill patternType="solid">
        <fgColor rgb="FFF8F9F9"/>
        <bgColor rgb="FFF0F7FF"/>
      </patternFill>
    </fill>
    <fill>
      <patternFill patternType="solid">
        <fgColor rgb="FFE8F8F5"/>
        <bgColor rgb="FFEBF3FA"/>
      </patternFill>
    </fill>
    <fill>
      <patternFill patternType="solid">
        <fgColor rgb="FFF2F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2" borderId="12" applyNumberFormat="0" applyAlignment="0" applyProtection="0">
      <alignment vertical="center"/>
    </xf>
    <xf numFmtId="0" fontId="35" fillId="13" borderId="13" applyNumberFormat="0" applyAlignment="0" applyProtection="0">
      <alignment vertical="center"/>
    </xf>
    <xf numFmtId="0" fontId="36" fillId="13" borderId="12" applyNumberFormat="0" applyAlignment="0" applyProtection="0">
      <alignment vertical="center"/>
    </xf>
    <xf numFmtId="0" fontId="37" fillId="14" borderId="14" applyNumberFormat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 applyFill="1" applyAlignme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indent="1"/>
    </xf>
    <xf numFmtId="3" fontId="10" fillId="5" borderId="1" xfId="0" applyNumberFormat="1" applyFont="1" applyFill="1" applyBorder="1" applyAlignment="1">
      <alignment horizontal="center" vertical="center"/>
    </xf>
    <xf numFmtId="10" fontId="11" fillId="6" borderId="1" xfId="0" applyNumberFormat="1" applyFont="1" applyFill="1" applyBorder="1" applyAlignment="1">
      <alignment horizontal="center" vertical="center"/>
    </xf>
    <xf numFmtId="10" fontId="11" fillId="2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indent="1"/>
    </xf>
    <xf numFmtId="3" fontId="11" fillId="4" borderId="1" xfId="0" applyNumberFormat="1" applyFont="1" applyFill="1" applyBorder="1" applyAlignment="1">
      <alignment horizontal="center" vertical="center"/>
    </xf>
    <xf numFmtId="10" fontId="13" fillId="2" borderId="1" xfId="0" applyNumberFormat="1" applyFont="1" applyFill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center" vertical="center"/>
    </xf>
    <xf numFmtId="0" fontId="14" fillId="0" borderId="0" xfId="0" applyFont="1" applyFill="1" applyAlignment="1"/>
    <xf numFmtId="3" fontId="15" fillId="4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/>
    <xf numFmtId="0" fontId="17" fillId="4" borderId="1" xfId="0" applyFont="1" applyFill="1" applyBorder="1" applyAlignment="1">
      <alignment horizontal="left" vertical="center" indent="1"/>
    </xf>
    <xf numFmtId="4" fontId="10" fillId="5" borderId="1" xfId="0" applyNumberFormat="1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176" fontId="18" fillId="7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22" fillId="7" borderId="1" xfId="0" applyFont="1" applyFill="1" applyBorder="1" applyAlignment="1">
      <alignment horizontal="left" vertical="center" wrapText="1" inden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left" vertical="center" indent="1"/>
    </xf>
    <xf numFmtId="177" fontId="10" fillId="5" borderId="5" xfId="0" applyNumberFormat="1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left" vertical="center" indent="1"/>
    </xf>
    <xf numFmtId="178" fontId="11" fillId="2" borderId="5" xfId="0" applyNumberFormat="1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left" vertical="center" indent="1"/>
    </xf>
    <xf numFmtId="49" fontId="11" fillId="8" borderId="5" xfId="0" applyNumberFormat="1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left" vertical="center" wrapText="1" indent="1"/>
    </xf>
    <xf numFmtId="0" fontId="17" fillId="4" borderId="0" xfId="0" applyFont="1" applyFill="1" applyAlignment="1">
      <alignment horizontal="left" vertical="center" indent="1"/>
    </xf>
    <xf numFmtId="179" fontId="11" fillId="8" borderId="0" xfId="0" applyNumberFormat="1" applyFont="1" applyFill="1" applyAlignment="1">
      <alignment horizontal="center" vertical="center"/>
    </xf>
    <xf numFmtId="0" fontId="22" fillId="7" borderId="0" xfId="0" applyFont="1" applyFill="1" applyAlignment="1">
      <alignment horizontal="left" vertical="center" wrapText="1" indent="1"/>
    </xf>
    <xf numFmtId="10" fontId="11" fillId="6" borderId="5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3" fontId="10" fillId="5" borderId="5" xfId="0" applyNumberFormat="1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/>
    </xf>
    <xf numFmtId="49" fontId="11" fillId="6" borderId="5" xfId="0" applyNumberFormat="1" applyFont="1" applyFill="1" applyBorder="1" applyAlignment="1">
      <alignment horizontal="center" vertical="center"/>
    </xf>
    <xf numFmtId="3" fontId="11" fillId="4" borderId="5" xfId="0" applyNumberFormat="1" applyFont="1" applyFill="1" applyBorder="1" applyAlignment="1">
      <alignment horizontal="center" vertical="center"/>
    </xf>
    <xf numFmtId="10" fontId="11" fillId="4" borderId="5" xfId="0" applyNumberFormat="1" applyFont="1" applyFill="1" applyBorder="1" applyAlignment="1">
      <alignment horizontal="center" vertical="center"/>
    </xf>
    <xf numFmtId="10" fontId="13" fillId="2" borderId="8" xfId="0" applyNumberFormat="1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 wrapText="1"/>
    </xf>
    <xf numFmtId="179" fontId="24" fillId="10" borderId="1" xfId="0" applyNumberFormat="1" applyFont="1" applyFill="1" applyBorder="1" applyAlignment="1">
      <alignment horizontal="left" vertical="center" wrapText="1"/>
    </xf>
    <xf numFmtId="9" fontId="24" fillId="10" borderId="1" xfId="3" applyFont="1" applyFill="1" applyBorder="1" applyAlignment="1">
      <alignment horizontal="left" vertical="center" wrapText="1"/>
    </xf>
    <xf numFmtId="180" fontId="3" fillId="0" borderId="0" xfId="0" applyNumberFormat="1" applyFont="1"/>
    <xf numFmtId="0" fontId="24" fillId="10" borderId="1" xfId="0" applyFont="1" applyFill="1" applyBorder="1" applyAlignment="1">
      <alignment horizontal="left" vertical="center" wrapText="1"/>
    </xf>
    <xf numFmtId="9" fontId="24" fillId="10" borderId="1" xfId="3" applyNumberFormat="1" applyFont="1" applyFill="1" applyBorder="1" applyAlignment="1">
      <alignment horizontal="left" vertical="center" wrapText="1"/>
    </xf>
    <xf numFmtId="0" fontId="25" fillId="0" borderId="0" xfId="0" applyFont="1"/>
    <xf numFmtId="179" fontId="25" fillId="0" borderId="0" xfId="0" applyNumberFormat="1" applyFont="1" applyAlignment="1">
      <alignment horizontal="left"/>
    </xf>
    <xf numFmtId="9" fontId="25" fillId="0" borderId="0" xfId="3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G11" sqref="G11"/>
    </sheetView>
  </sheetViews>
  <sheetFormatPr defaultColWidth="9" defaultRowHeight="14"/>
  <cols>
    <col min="1" max="1" width="18.8181818181818" style="3" customWidth="1"/>
    <col min="2" max="2" width="9.72727272727273" style="3" customWidth="1"/>
    <col min="3" max="3" width="10.6363636363636" style="3" customWidth="1"/>
    <col min="4" max="5" width="8.63636363636364" style="3" customWidth="1"/>
    <col min="6" max="6" width="7.72727272727273" style="3" customWidth="1"/>
    <col min="7" max="7" width="9.72727272727273" style="3" customWidth="1"/>
    <col min="8" max="8" width="12" style="3" customWidth="1"/>
    <col min="9" max="9" width="21" style="3" customWidth="1"/>
    <col min="10" max="16384" width="9" style="3"/>
  </cols>
  <sheetData>
    <row r="1" ht="35" customHeight="1" spans="1:9">
      <c r="A1" s="2" t="s">
        <v>0</v>
      </c>
    </row>
    <row r="3" ht="16.5" spans="1:9">
      <c r="A3" s="6" t="s">
        <v>1</v>
      </c>
    </row>
    <row r="4" ht="14.5" spans="1:9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</row>
    <row r="5" spans="1:9">
      <c r="A5" s="51" t="s">
        <v>10</v>
      </c>
      <c r="B5" s="52">
        <v>80000</v>
      </c>
      <c r="C5" s="53">
        <v>0.8</v>
      </c>
      <c r="D5" s="52">
        <f>C5*B5</f>
        <v>64000</v>
      </c>
      <c r="E5" s="52">
        <f>B5-D5</f>
        <v>16000</v>
      </c>
      <c r="F5" s="53">
        <v>0.75</v>
      </c>
      <c r="G5" s="53">
        <v>0.85</v>
      </c>
      <c r="H5" s="53">
        <f>(G5*E5+D5*F5)/B5</f>
        <v>0.77</v>
      </c>
      <c r="I5" s="54"/>
    </row>
    <row r="6" spans="1:9">
      <c r="A6" s="55" t="s">
        <v>11</v>
      </c>
      <c r="B6" s="52">
        <v>50000</v>
      </c>
      <c r="C6" s="53">
        <v>0.6</v>
      </c>
      <c r="D6" s="52">
        <f>C6*B6</f>
        <v>30000</v>
      </c>
      <c r="E6" s="52">
        <f>B6-D6</f>
        <v>20000</v>
      </c>
      <c r="F6" s="56">
        <v>0.5</v>
      </c>
      <c r="G6" s="56">
        <v>0.75</v>
      </c>
      <c r="H6" s="53">
        <f>(G6*E6+D6*F6)/B6</f>
        <v>0.6</v>
      </c>
      <c r="I6" s="54"/>
    </row>
    <row r="7" spans="1:9">
      <c r="A7" s="51" t="s">
        <v>12</v>
      </c>
      <c r="B7" s="52">
        <v>25000</v>
      </c>
      <c r="C7" s="53">
        <v>0.2</v>
      </c>
      <c r="D7" s="52">
        <f>C7*B7</f>
        <v>5000</v>
      </c>
      <c r="E7" s="52">
        <f>B7-D7</f>
        <v>20000</v>
      </c>
      <c r="F7" s="53">
        <v>0.37</v>
      </c>
      <c r="G7" s="53">
        <v>0.42</v>
      </c>
      <c r="H7" s="53">
        <f>(G7*E7+D7*F7)/B7</f>
        <v>0.41</v>
      </c>
      <c r="I7" s="54"/>
    </row>
    <row r="8" spans="1:9">
      <c r="A8" s="55" t="s">
        <v>13</v>
      </c>
      <c r="B8" s="52">
        <v>15000</v>
      </c>
      <c r="C8" s="53">
        <v>0</v>
      </c>
      <c r="D8" s="52">
        <f>C8*B8</f>
        <v>0</v>
      </c>
      <c r="E8" s="52">
        <f>B8-D8</f>
        <v>15000</v>
      </c>
      <c r="F8" s="53">
        <f>B8-E8</f>
        <v>0</v>
      </c>
      <c r="G8" s="53">
        <v>0.25</v>
      </c>
      <c r="H8" s="53">
        <f>(G8*E8+D8*F8)/B8</f>
        <v>0.25</v>
      </c>
      <c r="I8" s="54"/>
    </row>
    <row r="9" spans="1:9">
      <c r="A9" s="51" t="s">
        <v>14</v>
      </c>
      <c r="B9" s="52">
        <v>10000</v>
      </c>
      <c r="C9" s="53">
        <v>0</v>
      </c>
      <c r="D9" s="52">
        <f>C9*B9</f>
        <v>0</v>
      </c>
      <c r="E9" s="52">
        <f>B9-D9</f>
        <v>10000</v>
      </c>
      <c r="F9" s="53">
        <f>B9-E9</f>
        <v>0</v>
      </c>
      <c r="G9" s="53">
        <v>0.08</v>
      </c>
      <c r="H9" s="53">
        <f>(G9*E9+D9*F9)/B9</f>
        <v>0.08</v>
      </c>
      <c r="I9" s="54"/>
    </row>
    <row r="10" spans="1:9">
      <c r="A10" s="57" t="s">
        <v>15</v>
      </c>
      <c r="B10" s="58">
        <f>SUM(B5:B9)</f>
        <v>180000</v>
      </c>
      <c r="C10" s="59"/>
      <c r="D10" s="58">
        <f>SUM(D5:D9)</f>
        <v>99000</v>
      </c>
      <c r="E10" s="58">
        <f>SUM(E5:E9)</f>
        <v>81000</v>
      </c>
      <c r="F10" s="59" cm="1">
        <f t="array" ref="F10">SUMPRODUCT(F5:F9,D5:D9)/D10</f>
        <v>0.655050505050505</v>
      </c>
      <c r="G10" s="59" cm="1">
        <f t="array" ref="G10">SUMPRODUCT(G5:G9,E5:E9)/E10</f>
        <v>0.512962962962963</v>
      </c>
      <c r="H10" s="59">
        <f>(G10*E10+D10*F10)/B10</f>
        <v>0.591111111111111</v>
      </c>
    </row>
    <row r="11" spans="1:9">
      <c r="A11" s="57"/>
      <c r="B11" s="58"/>
      <c r="C11" s="59"/>
      <c r="D11" s="58"/>
      <c r="E11" s="58"/>
      <c r="F11" s="59"/>
      <c r="G11" s="59"/>
      <c r="H11" s="59"/>
    </row>
    <row r="12" ht="16.5" spans="1:9">
      <c r="A12" s="6" t="s">
        <v>16</v>
      </c>
    </row>
    <row r="13" ht="14.5" spans="1:9">
      <c r="A13" s="7" t="s">
        <v>17</v>
      </c>
      <c r="B13" s="7" t="s">
        <v>18</v>
      </c>
      <c r="C13" s="7" t="s">
        <v>19</v>
      </c>
      <c r="D13" s="7" t="s">
        <v>20</v>
      </c>
    </row>
    <row r="14" ht="14.5" spans="1:9">
      <c r="A14" s="51" t="s">
        <v>21</v>
      </c>
      <c r="B14" s="55">
        <v>120</v>
      </c>
      <c r="C14" s="55">
        <v>70</v>
      </c>
      <c r="D14" s="55">
        <f>B14-C14</f>
        <v>50</v>
      </c>
    </row>
    <row r="15" ht="14.5" spans="1:9">
      <c r="A15" s="55" t="s">
        <v>22</v>
      </c>
      <c r="B15" s="55">
        <v>50</v>
      </c>
      <c r="C15" s="55">
        <v>30</v>
      </c>
      <c r="D15" s="55">
        <f>B15-C15</f>
        <v>20</v>
      </c>
    </row>
    <row r="16" ht="14.5" spans="1:9">
      <c r="A16" s="51" t="s">
        <v>23</v>
      </c>
      <c r="B16" s="55">
        <v>0</v>
      </c>
      <c r="C16" s="55">
        <v>15</v>
      </c>
      <c r="D16" s="55">
        <f>C16-B16</f>
        <v>15</v>
      </c>
    </row>
    <row r="17" ht="14.5" spans="1:4">
      <c r="A17" s="55" t="s">
        <v>24</v>
      </c>
      <c r="B17" s="55">
        <v>0</v>
      </c>
      <c r="C17" s="55">
        <v>5</v>
      </c>
      <c r="D17" s="55">
        <f>C17-B17</f>
        <v>5</v>
      </c>
    </row>
    <row r="18" ht="14.5" spans="1:4">
      <c r="A18" s="51" t="s">
        <v>25</v>
      </c>
      <c r="B18" s="55">
        <f>SUM(B14:B17)</f>
        <v>170</v>
      </c>
      <c r="C18" s="55">
        <f>SUM(C14:C17)</f>
        <v>120</v>
      </c>
      <c r="D18" s="55">
        <f>B18-C18</f>
        <v>50</v>
      </c>
    </row>
    <row r="19" ht="14.5" spans="1:4">
      <c r="A19" s="55" t="s">
        <v>26</v>
      </c>
      <c r="B19" s="55">
        <f>B18*12</f>
        <v>2040</v>
      </c>
      <c r="C19" s="55">
        <f>C18*12</f>
        <v>1440</v>
      </c>
      <c r="D19" s="55">
        <f>B19-C19</f>
        <v>600</v>
      </c>
    </row>
  </sheetData>
  <mergeCells count="3">
    <mergeCell ref="A1:H1"/>
    <mergeCell ref="A3:H3"/>
    <mergeCell ref="A12:H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opLeftCell="A6" workbookViewId="0">
      <selection activeCell="D17" sqref="D17"/>
    </sheetView>
  </sheetViews>
  <sheetFormatPr defaultColWidth="8.68181818181818" defaultRowHeight="14"/>
  <cols>
    <col min="1" max="1" width="22" style="1" customWidth="1"/>
    <col min="2" max="4" width="16" style="1" customWidth="1"/>
    <col min="5" max="7" width="18" style="1" customWidth="1"/>
    <col min="8" max="8" width="16" style="1" customWidth="1"/>
    <col min="9" max="16384" width="8.68181818181818" style="1"/>
  </cols>
  <sheetData>
    <row r="1" s="1" customFormat="1" ht="36" customHeight="1" spans="1:10">
      <c r="A1" s="2" t="s">
        <v>27</v>
      </c>
      <c r="B1" s="3"/>
      <c r="C1" s="3"/>
      <c r="D1" s="3"/>
      <c r="E1" s="3"/>
      <c r="F1" s="3"/>
      <c r="G1" s="3"/>
      <c r="H1" s="3"/>
      <c r="I1" s="2"/>
      <c r="J1" s="3"/>
    </row>
    <row r="2" s="1" customFormat="1" ht="19.5" customHeight="1" spans="1:10">
      <c r="A2" s="5" t="s">
        <v>28</v>
      </c>
      <c r="B2" s="5"/>
      <c r="C2" s="5"/>
      <c r="D2" s="5"/>
      <c r="E2" s="5"/>
      <c r="F2" s="5"/>
      <c r="G2" s="5"/>
      <c r="H2" s="5"/>
      <c r="I2" s="5"/>
      <c r="J2" s="5"/>
    </row>
    <row r="4" s="1" customFormat="1" ht="21.75" customHeight="1" spans="1:10">
      <c r="A4" s="6" t="s">
        <v>29</v>
      </c>
      <c r="B4" s="3"/>
      <c r="C4" s="3"/>
      <c r="D4" s="3"/>
      <c r="E4" s="3"/>
      <c r="F4" s="3"/>
      <c r="G4" s="3"/>
      <c r="H4" s="3"/>
    </row>
    <row r="5" s="1" customFormat="1" ht="16.5" customHeight="1" spans="1:10">
      <c r="A5" s="30" t="s">
        <v>30</v>
      </c>
      <c r="B5" s="30" t="s">
        <v>31</v>
      </c>
      <c r="C5" s="31" t="s">
        <v>32</v>
      </c>
      <c r="D5" s="32"/>
    </row>
    <row r="6" s="1" customFormat="1" ht="15" customHeight="1" spans="1:10">
      <c r="A6" s="33" t="s">
        <v>33</v>
      </c>
      <c r="B6" s="34">
        <v>45292</v>
      </c>
      <c r="C6" s="35" t="s">
        <v>34</v>
      </c>
      <c r="D6" s="35"/>
    </row>
    <row r="7" s="1" customFormat="1" ht="15" customHeight="1" spans="1:10">
      <c r="A7" s="33" t="s">
        <v>35</v>
      </c>
      <c r="B7" s="34">
        <v>45322</v>
      </c>
      <c r="C7" s="35" t="s">
        <v>36</v>
      </c>
      <c r="D7" s="35"/>
    </row>
    <row r="8" s="1" customFormat="1" ht="15" customHeight="1" spans="1:10">
      <c r="A8" s="33" t="s">
        <v>37</v>
      </c>
      <c r="B8" s="36">
        <f>IF(B7="","",MAX(0,B7-B6))</f>
        <v>30</v>
      </c>
      <c r="C8" s="35" t="s">
        <v>38</v>
      </c>
      <c r="D8" s="35"/>
    </row>
    <row r="9" s="1" customFormat="1" ht="15" customHeight="1" spans="1:10">
      <c r="A9" s="37" t="s">
        <v>39</v>
      </c>
      <c r="B9" s="38" t="str">
        <f>IF(B8=0,"正常",IF(B8&lt;=7,"DPD1-7（早期）",IF(B8&lt;=30,"DPD8-30（中早期）",IF(B8&lt;=60,"DPD31-60（中期）",IF(B8&lt;=89,"DPD61-89（中后期）","DPD90+（严重逾期）")))))</f>
        <v>DPD8-30（中早期）</v>
      </c>
      <c r="C9" s="39" t="s">
        <v>40</v>
      </c>
      <c r="D9" s="39"/>
    </row>
    <row r="10" s="1" customFormat="1" ht="15" customHeight="1" spans="1:10">
      <c r="A10" s="40" t="s">
        <v>41</v>
      </c>
      <c r="B10" s="41">
        <v>5000</v>
      </c>
      <c r="C10" s="42"/>
      <c r="D10" s="42"/>
    </row>
    <row r="11" s="1" customFormat="1" ht="15" customHeight="1" spans="1:10">
      <c r="A11" s="40" t="s">
        <v>42</v>
      </c>
      <c r="B11" s="41">
        <v>1000</v>
      </c>
      <c r="C11" s="42"/>
      <c r="D11" s="42"/>
    </row>
    <row r="12" s="1" customFormat="1" ht="15" customHeight="1" spans="1:10">
      <c r="A12" s="40" t="s">
        <v>43</v>
      </c>
      <c r="B12" s="43">
        <f>B11/B10</f>
        <v>0.2</v>
      </c>
      <c r="C12" s="42"/>
      <c r="D12" s="42"/>
    </row>
    <row r="14" s="1" customFormat="1" ht="21.75" customHeight="1" spans="1:10">
      <c r="A14" s="6" t="s">
        <v>44</v>
      </c>
      <c r="B14" s="3"/>
      <c r="C14" s="3"/>
      <c r="D14" s="3"/>
      <c r="E14" s="3"/>
      <c r="F14" s="3"/>
      <c r="G14" s="3"/>
      <c r="H14" s="3"/>
    </row>
    <row r="15" s="1" customFormat="1" ht="16.5" customHeight="1" spans="1:10">
      <c r="A15" s="44" t="s">
        <v>45</v>
      </c>
      <c r="B15" s="30" t="s">
        <v>46</v>
      </c>
      <c r="C15" s="30" t="s">
        <v>47</v>
      </c>
      <c r="D15" s="30" t="s">
        <v>48</v>
      </c>
      <c r="E15" s="30" t="s">
        <v>49</v>
      </c>
      <c r="F15" s="30" t="s">
        <v>50</v>
      </c>
    </row>
    <row r="16" s="1" customFormat="1" ht="15" customHeight="1" spans="1:10">
      <c r="A16" s="37" t="s">
        <v>51</v>
      </c>
      <c r="B16" s="45">
        <v>8500</v>
      </c>
      <c r="C16" s="45">
        <v>42000</v>
      </c>
      <c r="D16" s="43">
        <f>IF(SUM(C16:C21)=0,0,C16/SUM(C16:C21))</f>
        <v>0.857142857142857</v>
      </c>
      <c r="E16" s="46" t="s">
        <v>52</v>
      </c>
      <c r="F16" s="46" t="s">
        <v>52</v>
      </c>
    </row>
    <row r="17" s="1" customFormat="1" ht="15" customHeight="1" spans="1:6">
      <c r="A17" s="37" t="s">
        <v>53</v>
      </c>
      <c r="B17" s="45">
        <v>600</v>
      </c>
      <c r="C17" s="45">
        <v>2800</v>
      </c>
      <c r="D17" s="43">
        <f>IF(SUM(C16:C21)=0,0,C17/SUM(C16:C21))</f>
        <v>0.0571428571428571</v>
      </c>
      <c r="E17" s="46" t="s">
        <v>54</v>
      </c>
      <c r="F17" s="47" t="str">
        <f>IF(D17&lt;=0.08,"✓ 正常","⚠ 预警")</f>
        <v>✓ 正常</v>
      </c>
    </row>
    <row r="18" s="1" customFormat="1" ht="15" customHeight="1" spans="1:6">
      <c r="A18" s="37" t="s">
        <v>55</v>
      </c>
      <c r="B18" s="45">
        <v>400</v>
      </c>
      <c r="C18" s="45">
        <v>1900</v>
      </c>
      <c r="D18" s="43">
        <f>IF(SUM(C16:C21)=0,0,C18/SUM(C16:C21))</f>
        <v>0.0387755102040816</v>
      </c>
      <c r="E18" s="46" t="s">
        <v>56</v>
      </c>
      <c r="F18" s="47" t="str">
        <f>IF(D18&lt;=0.05,"✓ 正常","⚠ 预警")</f>
        <v>✓ 正常</v>
      </c>
    </row>
    <row r="19" s="1" customFormat="1" ht="15" customHeight="1" spans="1:6">
      <c r="A19" s="37" t="s">
        <v>57</v>
      </c>
      <c r="B19" s="45">
        <v>250</v>
      </c>
      <c r="C19" s="45">
        <v>1200</v>
      </c>
      <c r="D19" s="43">
        <f>IF(SUM(C16:C21)=0,0,C19/SUM(C16:C21))</f>
        <v>0.0244897959183673</v>
      </c>
      <c r="E19" s="46" t="s">
        <v>58</v>
      </c>
      <c r="F19" s="47" t="str">
        <f>IF(D19&lt;=0.03,"✓ 正常","⚠ 预警")</f>
        <v>✓ 正常</v>
      </c>
    </row>
    <row r="20" s="1" customFormat="1" ht="15" customHeight="1" spans="1:6">
      <c r="A20" s="37" t="s">
        <v>59</v>
      </c>
      <c r="B20" s="45">
        <v>150</v>
      </c>
      <c r="C20" s="45">
        <v>700</v>
      </c>
      <c r="D20" s="43">
        <f>IF(SUM(C16:C21)=0,0,C20/SUM(C16:C21))</f>
        <v>0.0142857142857143</v>
      </c>
      <c r="E20" s="46" t="s">
        <v>60</v>
      </c>
      <c r="F20" s="47" t="str">
        <f>IF(D20&lt;=0.02,"✓ 正常","⚠ 预警")</f>
        <v>✓ 正常</v>
      </c>
    </row>
    <row r="21" s="1" customFormat="1" ht="15" customHeight="1" spans="1:6">
      <c r="A21" s="37" t="s">
        <v>61</v>
      </c>
      <c r="B21" s="45">
        <v>100</v>
      </c>
      <c r="C21" s="45">
        <v>400</v>
      </c>
      <c r="D21" s="43">
        <f>IF(SUM(C16:C21)=0,0,C21/SUM(C16:C21))</f>
        <v>0.00816326530612245</v>
      </c>
      <c r="E21" s="46" t="s">
        <v>62</v>
      </c>
      <c r="F21" s="47" t="str">
        <f>IF(D21&lt;=0.015,"✓ 正常","⚠ 预警")</f>
        <v>✓ 正常</v>
      </c>
    </row>
    <row r="22" s="1" customFormat="1" ht="15" customHeight="1" spans="1:6">
      <c r="A22" s="33" t="s">
        <v>63</v>
      </c>
      <c r="B22" s="48">
        <f>SUM(B16:B21)</f>
        <v>10000</v>
      </c>
      <c r="C22" s="48">
        <f>SUM(C16:C21)</f>
        <v>49000</v>
      </c>
      <c r="D22" s="49">
        <f>SUM(D16:D21)</f>
        <v>1</v>
      </c>
    </row>
    <row r="23" s="1" customFormat="1" ht="15" customHeight="1" spans="1:6">
      <c r="A23" s="37" t="s">
        <v>64</v>
      </c>
      <c r="B23" s="50">
        <f>SUM(C18:C21)/SUM(C16:C21)</f>
        <v>0.0857142857142857</v>
      </c>
      <c r="C23" s="39" t="s">
        <v>65</v>
      </c>
      <c r="D23" s="39"/>
      <c r="E23" s="39"/>
      <c r="F23" s="39"/>
    </row>
    <row r="24" s="1" customFormat="1" ht="15" customHeight="1" spans="1:6">
      <c r="A24" s="37" t="s">
        <v>66</v>
      </c>
      <c r="B24" s="50">
        <f>C21/SUM(C16:C21)</f>
        <v>0.00816326530612245</v>
      </c>
      <c r="C24" s="39" t="s">
        <v>67</v>
      </c>
      <c r="D24" s="39"/>
      <c r="E24" s="39"/>
      <c r="F24" s="39"/>
    </row>
  </sheetData>
  <mergeCells count="12">
    <mergeCell ref="A1:H1"/>
    <mergeCell ref="I1:J1"/>
    <mergeCell ref="A2:J2"/>
    <mergeCell ref="A4:H4"/>
    <mergeCell ref="C5:D5"/>
    <mergeCell ref="C6:D6"/>
    <mergeCell ref="C7:D7"/>
    <mergeCell ref="C8:D8"/>
    <mergeCell ref="C9:D9"/>
    <mergeCell ref="A14:H14"/>
    <mergeCell ref="C23:F23"/>
    <mergeCell ref="C24:F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A2" sqref="A2:J2"/>
    </sheetView>
  </sheetViews>
  <sheetFormatPr defaultColWidth="8.68181818181818" defaultRowHeight="14"/>
  <cols>
    <col min="1" max="1" width="24" style="1" customWidth="1"/>
    <col min="2" max="8" width="16" style="1" customWidth="1"/>
    <col min="9" max="16384" width="8.68181818181818" style="1"/>
  </cols>
  <sheetData>
    <row r="1" s="1" customFormat="1" ht="36" customHeight="1" spans="1:10">
      <c r="A1" s="2" t="s">
        <v>68</v>
      </c>
      <c r="B1" s="3"/>
      <c r="C1" s="3"/>
      <c r="D1" s="3"/>
      <c r="E1" s="3"/>
      <c r="F1" s="3"/>
      <c r="G1" s="3"/>
      <c r="H1" s="3"/>
      <c r="I1" s="2"/>
      <c r="J1" s="3"/>
    </row>
    <row r="2" s="1" customFormat="1" ht="19.5" customHeight="1" spans="1:10">
      <c r="A2" s="5" t="s">
        <v>69</v>
      </c>
      <c r="B2" s="5"/>
      <c r="C2" s="5"/>
      <c r="D2" s="5"/>
      <c r="E2" s="5"/>
      <c r="F2" s="5"/>
      <c r="G2" s="5"/>
      <c r="H2" s="5"/>
      <c r="I2" s="5"/>
      <c r="J2" s="5"/>
    </row>
    <row r="4" s="1" customFormat="1" ht="21.75" customHeight="1" spans="1:10">
      <c r="A4" s="6" t="s">
        <v>70</v>
      </c>
      <c r="B4" s="3"/>
      <c r="C4" s="3"/>
      <c r="D4" s="3"/>
      <c r="E4" s="3"/>
      <c r="F4" s="3"/>
      <c r="G4" s="3"/>
      <c r="H4" s="3"/>
    </row>
    <row r="5" s="1" customFormat="1" ht="16.5" customHeight="1" spans="1:10">
      <c r="A5" s="7" t="s">
        <v>71</v>
      </c>
      <c r="B5" s="8" t="s">
        <v>72</v>
      </c>
      <c r="C5" s="7" t="s">
        <v>73</v>
      </c>
      <c r="D5" s="7" t="s">
        <v>74</v>
      </c>
      <c r="E5" s="7" t="s">
        <v>75</v>
      </c>
      <c r="F5" s="7" t="s">
        <v>76</v>
      </c>
      <c r="G5" s="7" t="s">
        <v>77</v>
      </c>
    </row>
    <row r="6" s="1" customFormat="1" ht="15" customHeight="1" spans="1:10">
      <c r="A6" s="13" t="s">
        <v>78</v>
      </c>
      <c r="B6" s="26" t="s">
        <v>79</v>
      </c>
      <c r="C6" s="10">
        <v>5000</v>
      </c>
      <c r="D6" s="10">
        <v>1400</v>
      </c>
      <c r="E6" s="11">
        <f>IF(C6=0,0,D6/C6)</f>
        <v>0.28</v>
      </c>
      <c r="F6" s="25" t="s">
        <v>80</v>
      </c>
      <c r="G6" s="16" t="str">
        <f>IF(E6&gt;=0.25,"✓ 达标","⚠ 不达标")</f>
        <v>✓ 达标</v>
      </c>
    </row>
    <row r="7" s="1" customFormat="1" ht="15" customHeight="1" spans="1:10">
      <c r="A7" s="13" t="s">
        <v>81</v>
      </c>
      <c r="B7" s="26" t="s">
        <v>57</v>
      </c>
      <c r="C7" s="10">
        <v>3000</v>
      </c>
      <c r="D7" s="10">
        <v>690</v>
      </c>
      <c r="E7" s="11">
        <f t="shared" ref="E6:E11" si="0">IF(C7=0,0,D7/C7)</f>
        <v>0.23</v>
      </c>
      <c r="F7" s="25" t="s">
        <v>82</v>
      </c>
      <c r="G7" s="16" t="str">
        <f>IF(E7&gt;=0.15,"✓ 达标","⚠ 不达标")</f>
        <v>✓ 达标</v>
      </c>
    </row>
    <row r="8" s="1" customFormat="1" ht="15" customHeight="1" spans="1:10">
      <c r="A8" s="13" t="s">
        <v>83</v>
      </c>
      <c r="B8" s="26" t="s">
        <v>59</v>
      </c>
      <c r="C8" s="10">
        <v>2000</v>
      </c>
      <c r="D8" s="10">
        <v>260</v>
      </c>
      <c r="E8" s="11">
        <f t="shared" si="0"/>
        <v>0.13</v>
      </c>
      <c r="F8" s="25" t="s">
        <v>84</v>
      </c>
      <c r="G8" s="16" t="str">
        <f>IF(E8&gt;=0.1,"✓ 达标","⚠ 不达标")</f>
        <v>✓ 达标</v>
      </c>
    </row>
    <row r="9" s="1" customFormat="1" ht="15" customHeight="1" spans="1:10">
      <c r="A9" s="13" t="s">
        <v>85</v>
      </c>
      <c r="B9" s="26" t="s">
        <v>61</v>
      </c>
      <c r="C9" s="10">
        <v>1000</v>
      </c>
      <c r="D9" s="10">
        <v>80</v>
      </c>
      <c r="E9" s="11">
        <f t="shared" si="0"/>
        <v>0.08</v>
      </c>
      <c r="F9" s="25" t="s">
        <v>86</v>
      </c>
      <c r="G9" s="16" t="str">
        <f>IF(E9&gt;=0.05,"✓ 达标","⚠ 不达标")</f>
        <v>✓ 达标</v>
      </c>
    </row>
    <row r="10" s="1" customFormat="1" ht="15" customHeight="1" spans="1:10">
      <c r="A10" s="13" t="s">
        <v>87</v>
      </c>
      <c r="B10" s="27" t="s">
        <v>88</v>
      </c>
      <c r="C10" s="10">
        <v>800</v>
      </c>
      <c r="D10" s="10">
        <v>24</v>
      </c>
      <c r="E10" s="11">
        <f t="shared" si="0"/>
        <v>0.03</v>
      </c>
      <c r="F10" s="25" t="s">
        <v>89</v>
      </c>
      <c r="G10" s="16" t="str">
        <f>IF(E10&gt;=0.01,"✓ 达标","⚠ 不达标")</f>
        <v>✓ 达标</v>
      </c>
    </row>
    <row r="11" s="1" customFormat="1" ht="15" customHeight="1" spans="1:10">
      <c r="A11" s="13" t="s">
        <v>90</v>
      </c>
      <c r="B11" s="28"/>
      <c r="C11" s="14">
        <f>SUM(C6:C10)</f>
        <v>11800</v>
      </c>
      <c r="D11" s="14">
        <f>SUM(D6:D10)</f>
        <v>2454</v>
      </c>
      <c r="E11" s="15">
        <f t="shared" si="0"/>
        <v>0.207966101694915</v>
      </c>
      <c r="F11" s="28"/>
      <c r="G11" s="28"/>
    </row>
    <row r="13" s="1" customFormat="1" ht="21.75" customHeight="1" spans="1:10">
      <c r="A13" s="6" t="s">
        <v>91</v>
      </c>
      <c r="B13" s="3"/>
      <c r="C13" s="3"/>
      <c r="D13" s="3"/>
      <c r="E13" s="3"/>
      <c r="F13" s="3"/>
      <c r="G13" s="3"/>
      <c r="H13" s="3"/>
    </row>
    <row r="14" s="1" customFormat="1" ht="16.5" customHeight="1" spans="1:10">
      <c r="A14" s="7" t="s">
        <v>92</v>
      </c>
      <c r="B14" s="8" t="s">
        <v>93</v>
      </c>
      <c r="C14" s="8" t="s">
        <v>94</v>
      </c>
      <c r="D14" s="8" t="s">
        <v>95</v>
      </c>
      <c r="E14" s="8" t="s">
        <v>96</v>
      </c>
      <c r="F14" s="8" t="s">
        <v>97</v>
      </c>
      <c r="G14" s="8" t="s">
        <v>98</v>
      </c>
    </row>
    <row r="15" s="1" customFormat="1" ht="15" customHeight="1" spans="1:10">
      <c r="A15" s="13" t="s">
        <v>99</v>
      </c>
      <c r="B15" s="10">
        <v>11800</v>
      </c>
      <c r="C15" s="10">
        <v>12200</v>
      </c>
      <c r="D15" s="10">
        <v>11500</v>
      </c>
      <c r="E15" s="10">
        <v>11900</v>
      </c>
      <c r="F15" s="10">
        <v>12500</v>
      </c>
      <c r="G15" s="10">
        <v>11800</v>
      </c>
    </row>
    <row r="16" s="1" customFormat="1" ht="15" customHeight="1" spans="1:10">
      <c r="A16" s="13" t="s">
        <v>100</v>
      </c>
      <c r="B16" s="10">
        <v>1890</v>
      </c>
      <c r="C16" s="10">
        <v>2050</v>
      </c>
      <c r="D16" s="10">
        <v>1840</v>
      </c>
      <c r="E16" s="10">
        <v>1970</v>
      </c>
      <c r="F16" s="10">
        <v>2100</v>
      </c>
      <c r="G16" s="10">
        <v>2050</v>
      </c>
    </row>
    <row r="17" s="1" customFormat="1" ht="15" customHeight="1" spans="1:7">
      <c r="A17" s="13" t="s">
        <v>101</v>
      </c>
      <c r="B17" s="12">
        <f>IF(B15=0,0,B16/B15)</f>
        <v>0.160169491525424</v>
      </c>
      <c r="C17" s="12">
        <f>IF(B15=0,0,C16/C15)</f>
        <v>0.168032786885246</v>
      </c>
      <c r="D17" s="12">
        <f>IF(B15=0,0,D16/D15)</f>
        <v>0.16</v>
      </c>
      <c r="E17" s="12">
        <f>IF(B15=0,0,E16/E15)</f>
        <v>0.165546218487395</v>
      </c>
      <c r="F17" s="12">
        <f>IF(B15=0,0,F16/F15)</f>
        <v>0.168</v>
      </c>
      <c r="G17" s="12">
        <f>IF(B15=0,0,G16/G15)</f>
        <v>0.173728813559322</v>
      </c>
    </row>
    <row r="18" s="1" customFormat="1" ht="15" customHeight="1" spans="1:7">
      <c r="A18" s="20" t="s">
        <v>102</v>
      </c>
      <c r="B18" s="15">
        <f>AVERAGE(B17:G17)</f>
        <v>0.165912885076231</v>
      </c>
      <c r="C18" s="29" t="s">
        <v>103</v>
      </c>
      <c r="D18" s="29"/>
      <c r="E18" s="29"/>
      <c r="F18" s="29"/>
      <c r="G18" s="29"/>
    </row>
  </sheetData>
  <mergeCells count="6">
    <mergeCell ref="A1:H1"/>
    <mergeCell ref="I1:J1"/>
    <mergeCell ref="A2:J2"/>
    <mergeCell ref="A4:H4"/>
    <mergeCell ref="A13:H13"/>
    <mergeCell ref="C18:G1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85" zoomScaleNormal="85" workbookViewId="0">
      <selection activeCell="A20" sqref="$A20:$XFD20"/>
    </sheetView>
  </sheetViews>
  <sheetFormatPr defaultColWidth="8.68181818181818" defaultRowHeight="14" outlineLevelCol="7"/>
  <cols>
    <col min="1" max="1" width="34.4545454545455" style="1" customWidth="1"/>
    <col min="2" max="7" width="15" style="1" customWidth="1"/>
    <col min="8" max="16382" width="8.68181818181818" style="1"/>
    <col min="16383" max="16384" width="8.68181818181818" style="3"/>
  </cols>
  <sheetData>
    <row r="1" s="1" customFormat="1" ht="36" customHeight="1" spans="1:8">
      <c r="A1" s="2" t="s">
        <v>104</v>
      </c>
      <c r="B1" s="3"/>
      <c r="C1" s="3"/>
      <c r="D1" s="3"/>
      <c r="E1" s="3"/>
      <c r="F1" s="3"/>
      <c r="G1" s="2"/>
      <c r="H1" s="3"/>
    </row>
    <row r="2" s="1" customFormat="1" ht="19.5" customHeight="1" spans="1:8">
      <c r="A2" s="5" t="s">
        <v>105</v>
      </c>
      <c r="B2" s="5"/>
      <c r="C2" s="5"/>
      <c r="D2" s="5"/>
      <c r="E2" s="5"/>
      <c r="F2" s="5"/>
      <c r="G2" s="5"/>
      <c r="H2" s="5"/>
    </row>
    <row r="4" s="1" customFormat="1" ht="21.75" customHeight="1" spans="1:8">
      <c r="A4" s="6" t="s">
        <v>106</v>
      </c>
      <c r="B4" s="3"/>
      <c r="C4" s="3"/>
      <c r="D4" s="3"/>
      <c r="E4" s="3"/>
      <c r="F4" s="3"/>
      <c r="G4" s="6"/>
    </row>
    <row r="5" s="1" customFormat="1" ht="16.5" customHeight="1" spans="1:8">
      <c r="A5" s="7" t="s">
        <v>107</v>
      </c>
      <c r="B5" s="7" t="s">
        <v>108</v>
      </c>
      <c r="C5" s="7" t="s">
        <v>109</v>
      </c>
      <c r="D5" s="7" t="s">
        <v>110</v>
      </c>
      <c r="E5" s="7" t="s">
        <v>111</v>
      </c>
      <c r="F5" s="7" t="s">
        <v>112</v>
      </c>
      <c r="G5" s="7" t="s">
        <v>113</v>
      </c>
    </row>
    <row r="6" s="1" customFormat="1" ht="15" customHeight="1" spans="1:8">
      <c r="A6" s="13" t="s">
        <v>114</v>
      </c>
      <c r="B6" s="10">
        <v>38000</v>
      </c>
      <c r="C6" s="10">
        <v>1200</v>
      </c>
      <c r="D6" s="10">
        <v>200</v>
      </c>
      <c r="E6" s="10">
        <v>50</v>
      </c>
      <c r="F6" s="23">
        <v>0</v>
      </c>
      <c r="G6" s="14">
        <f>SUM(B6:F6)</f>
        <v>39450</v>
      </c>
    </row>
    <row r="7" s="1" customFormat="1" ht="15" customHeight="1" spans="1:8">
      <c r="A7" s="20" t="s">
        <v>109</v>
      </c>
      <c r="B7" s="10">
        <v>2500</v>
      </c>
      <c r="C7" s="10">
        <v>900</v>
      </c>
      <c r="D7" s="10">
        <v>100</v>
      </c>
      <c r="E7" s="10">
        <v>20</v>
      </c>
      <c r="F7" s="23">
        <v>0</v>
      </c>
      <c r="G7" s="14">
        <f>SUM(B7:F7)</f>
        <v>3520</v>
      </c>
    </row>
    <row r="8" s="1" customFormat="1" ht="15" customHeight="1" spans="1:8">
      <c r="A8" s="20" t="s">
        <v>110</v>
      </c>
      <c r="B8" s="10">
        <v>300</v>
      </c>
      <c r="C8" s="10">
        <v>400</v>
      </c>
      <c r="D8" s="10">
        <v>600</v>
      </c>
      <c r="E8" s="10">
        <v>80</v>
      </c>
      <c r="F8" s="10">
        <v>10</v>
      </c>
      <c r="G8" s="14">
        <f>SUM(B8:F8)</f>
        <v>1390</v>
      </c>
    </row>
    <row r="9" s="1" customFormat="1" ht="15" customHeight="1" spans="1:8">
      <c r="A9" s="20" t="s">
        <v>111</v>
      </c>
      <c r="B9" s="10">
        <v>100</v>
      </c>
      <c r="C9" s="10">
        <v>100</v>
      </c>
      <c r="D9" s="10">
        <v>300</v>
      </c>
      <c r="E9" s="10">
        <v>400</v>
      </c>
      <c r="F9" s="10">
        <v>20</v>
      </c>
      <c r="G9" s="14">
        <f>SUM(B9:F9)</f>
        <v>920</v>
      </c>
    </row>
    <row r="10" s="1" customFormat="1" ht="15" customHeight="1" spans="1:8">
      <c r="A10" s="20" t="s">
        <v>112</v>
      </c>
      <c r="B10" s="10">
        <v>50</v>
      </c>
      <c r="C10" s="10">
        <v>50</v>
      </c>
      <c r="D10" s="10">
        <v>100</v>
      </c>
      <c r="E10" s="10">
        <v>200</v>
      </c>
      <c r="F10" s="10">
        <v>300</v>
      </c>
      <c r="G10" s="14">
        <f>SUM(B10:F10)</f>
        <v>700</v>
      </c>
    </row>
    <row r="11" s="1" customFormat="1" ht="15" customHeight="1" spans="1:8">
      <c r="A11" s="13" t="s">
        <v>115</v>
      </c>
      <c r="B11" s="23">
        <v>0</v>
      </c>
      <c r="C11" s="23">
        <v>0</v>
      </c>
      <c r="D11" s="10">
        <v>50</v>
      </c>
      <c r="E11" s="10">
        <v>100</v>
      </c>
      <c r="F11" s="10">
        <v>200</v>
      </c>
      <c r="G11" s="14">
        <f>SUM(B11:F11)</f>
        <v>350</v>
      </c>
    </row>
    <row r="12" s="1" customFormat="1" ht="15" customHeight="1" spans="1:8">
      <c r="A12" s="13" t="s">
        <v>116</v>
      </c>
      <c r="B12" s="14">
        <f>SUM(B6:B11)</f>
        <v>40950</v>
      </c>
      <c r="C12" s="14">
        <f>SUM(C6:C11)</f>
        <v>2650</v>
      </c>
      <c r="D12" s="14">
        <f>SUM(D6:D11)</f>
        <v>1350</v>
      </c>
      <c r="E12" s="14">
        <f>SUM(E6:E11)</f>
        <v>850</v>
      </c>
      <c r="F12" s="14">
        <f>SUM(F6:F11)</f>
        <v>530</v>
      </c>
      <c r="G12" s="14">
        <f>SUM(G6:G11)</f>
        <v>46330</v>
      </c>
    </row>
    <row r="14" s="1" customFormat="1" ht="21.75" customHeight="1" spans="1:8">
      <c r="A14" s="6" t="s">
        <v>117</v>
      </c>
      <c r="B14" s="3"/>
      <c r="C14" s="3"/>
      <c r="D14" s="3"/>
      <c r="E14" s="3"/>
      <c r="F14" s="3"/>
      <c r="G14" s="6"/>
    </row>
    <row r="15" s="1" customFormat="1" ht="16.5" customHeight="1" spans="1:8">
      <c r="A15" s="7" t="s">
        <v>118</v>
      </c>
      <c r="B15" s="7" t="s">
        <v>119</v>
      </c>
      <c r="C15" s="7" t="s">
        <v>120</v>
      </c>
      <c r="D15" s="7" t="s">
        <v>121</v>
      </c>
      <c r="E15" s="7" t="s">
        <v>76</v>
      </c>
      <c r="F15" s="7" t="s">
        <v>122</v>
      </c>
    </row>
    <row r="16" s="1" customFormat="1" ht="15" customHeight="1" spans="1:8">
      <c r="A16" s="20" t="s">
        <v>123</v>
      </c>
      <c r="B16" s="24">
        <f>SUM(C7:C12)</f>
        <v>4100</v>
      </c>
      <c r="C16" s="24">
        <f>G12</f>
        <v>46330</v>
      </c>
      <c r="D16" s="12">
        <f>IF(C16=0,0,B16/C16)</f>
        <v>0.0884955752212389</v>
      </c>
      <c r="E16" s="25" t="s">
        <v>54</v>
      </c>
      <c r="F16" s="16" t="str">
        <f>IF(D16&lt;=0.08,"✓ 正常","⚠ 预警")</f>
        <v>⚠ 预警</v>
      </c>
    </row>
    <row r="17" s="1" customFormat="1" ht="15" customHeight="1" spans="1:6">
      <c r="A17" s="20" t="s">
        <v>124</v>
      </c>
      <c r="B17" s="24">
        <f>SUM(D8:D12)</f>
        <v>2400</v>
      </c>
      <c r="C17" s="24">
        <f>C12</f>
        <v>2650</v>
      </c>
      <c r="D17" s="12">
        <f>IF(C17=0,0,B17/C17)</f>
        <v>0.905660377358491</v>
      </c>
      <c r="E17" s="25" t="s">
        <v>125</v>
      </c>
      <c r="F17" s="16" t="str">
        <f>IF(D17&lt;=0.3,"✓ 正常","⚠ 预警")</f>
        <v>⚠ 预警</v>
      </c>
    </row>
    <row r="18" s="1" customFormat="1" ht="15" customHeight="1" spans="1:6">
      <c r="A18" s="20" t="s">
        <v>126</v>
      </c>
      <c r="B18" s="24">
        <f>SUM(E9:E12)</f>
        <v>1550</v>
      </c>
      <c r="C18" s="24">
        <f>D12</f>
        <v>1350</v>
      </c>
      <c r="D18" s="12">
        <f>IF(C18=0,0,B18/C18)</f>
        <v>1.14814814814815</v>
      </c>
      <c r="E18" s="25" t="s">
        <v>127</v>
      </c>
      <c r="F18" s="16" t="str">
        <f>IF(D18&lt;=0.25,"✓ 正常","⚠ 预警")</f>
        <v>⚠ 预警</v>
      </c>
    </row>
    <row r="19" s="1" customFormat="1" ht="15" customHeight="1" spans="1:6">
      <c r="A19" s="20" t="s">
        <v>128</v>
      </c>
      <c r="B19" s="24">
        <f>SUM(F10:F12)</f>
        <v>1030</v>
      </c>
      <c r="C19" s="24">
        <f>E12</f>
        <v>850</v>
      </c>
      <c r="D19" s="12">
        <f>IF(C19=0,0,B19/C19)</f>
        <v>1.21176470588235</v>
      </c>
      <c r="E19" s="25" t="s">
        <v>129</v>
      </c>
      <c r="F19" s="16" t="str">
        <f>IF(D19&lt;=0.2,"✓ 正常","⚠ 预警")</f>
        <v>⚠ 预警</v>
      </c>
    </row>
  </sheetData>
  <mergeCells count="5">
    <mergeCell ref="A1:F1"/>
    <mergeCell ref="G1:H1"/>
    <mergeCell ref="A2:H2"/>
    <mergeCell ref="A4:F4"/>
    <mergeCell ref="A14:F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opLeftCell="A5" workbookViewId="0">
      <selection activeCell="A6" sqref="A6:A10"/>
    </sheetView>
  </sheetViews>
  <sheetFormatPr defaultColWidth="8.68181818181818" defaultRowHeight="14"/>
  <cols>
    <col min="1" max="1" width="24" style="1" customWidth="1"/>
    <col min="2" max="7" width="17" style="1" customWidth="1"/>
    <col min="8" max="16384" width="8.68181818181818" style="1"/>
  </cols>
  <sheetData>
    <row r="1" s="1" customFormat="1" ht="36" customHeight="1" spans="1:10">
      <c r="A1" s="2" t="s">
        <v>130</v>
      </c>
      <c r="B1" s="3"/>
      <c r="C1" s="3"/>
      <c r="D1" s="3"/>
      <c r="E1" s="3"/>
      <c r="F1" s="3"/>
      <c r="G1" s="3"/>
      <c r="H1" s="3"/>
      <c r="I1" s="2"/>
      <c r="J1" s="3"/>
    </row>
    <row r="2" s="1" customFormat="1" ht="19.5" customHeight="1" spans="1:10">
      <c r="A2" s="4" t="s">
        <v>131</v>
      </c>
      <c r="B2" s="5"/>
      <c r="C2" s="5"/>
      <c r="D2" s="5"/>
      <c r="E2" s="5"/>
      <c r="F2" s="5"/>
      <c r="G2" s="5"/>
      <c r="H2" s="5"/>
      <c r="I2" s="5"/>
      <c r="J2" s="5"/>
    </row>
    <row r="4" s="1" customFormat="1" ht="21.75" customHeight="1" spans="1:10">
      <c r="A4" s="6" t="s">
        <v>132</v>
      </c>
      <c r="B4" s="3"/>
      <c r="C4" s="3"/>
      <c r="D4" s="3"/>
      <c r="E4" s="3"/>
      <c r="F4" s="3"/>
      <c r="G4" s="3"/>
    </row>
    <row r="5" s="1" customFormat="1" ht="32.25" customHeight="1" spans="1:10">
      <c r="A5" s="7" t="s">
        <v>133</v>
      </c>
      <c r="B5" s="7" t="s">
        <v>134</v>
      </c>
      <c r="C5" s="7" t="s">
        <v>135</v>
      </c>
      <c r="D5" s="7" t="s">
        <v>136</v>
      </c>
      <c r="E5" s="7" t="s">
        <v>137</v>
      </c>
      <c r="F5" s="7" t="s">
        <v>138</v>
      </c>
      <c r="G5" s="7" t="s">
        <v>122</v>
      </c>
    </row>
    <row r="6" s="1" customFormat="1" ht="15" customHeight="1" spans="1:10">
      <c r="A6" s="9" t="s">
        <v>139</v>
      </c>
      <c r="B6" s="10">
        <v>500</v>
      </c>
      <c r="C6" s="10">
        <v>280</v>
      </c>
      <c r="D6" s="10">
        <v>190</v>
      </c>
      <c r="E6" s="11">
        <f>IF(B6=0,0,C6/B6)</f>
        <v>0.56</v>
      </c>
      <c r="F6" s="12">
        <f>IF(B6=0,0,D6/B6)</f>
        <v>0.38</v>
      </c>
      <c r="G6" s="16" t="str">
        <f t="shared" ref="G6:G10" si="0">IF(F6&gt;=0.35,"✓ 正常",IF(F6&gt;=0.25,"△ 偏低","⚠ 过低"))</f>
        <v>✓ 正常</v>
      </c>
    </row>
    <row r="7" s="1" customFormat="1" ht="15" customHeight="1" spans="1:10">
      <c r="A7" s="9" t="s">
        <v>140</v>
      </c>
      <c r="B7" s="10">
        <v>480</v>
      </c>
      <c r="C7" s="10">
        <v>260</v>
      </c>
      <c r="D7" s="10">
        <v>185</v>
      </c>
      <c r="E7" s="11">
        <f t="shared" ref="E6:E11" si="1">IF(B7=0,0,C7/B7)</f>
        <v>0.541666666666667</v>
      </c>
      <c r="F7" s="12">
        <f t="shared" ref="F6:F11" si="2">IF(B7=0,0,D7/B7)</f>
        <v>0.385416666666667</v>
      </c>
      <c r="G7" s="16" t="str">
        <f t="shared" si="0"/>
        <v>✓ 正常</v>
      </c>
    </row>
    <row r="8" s="1" customFormat="1" ht="15" customHeight="1" spans="1:10">
      <c r="A8" s="9" t="s">
        <v>141</v>
      </c>
      <c r="B8" s="10">
        <v>520</v>
      </c>
      <c r="C8" s="10">
        <v>240</v>
      </c>
      <c r="D8" s="10">
        <v>160</v>
      </c>
      <c r="E8" s="11">
        <f t="shared" si="1"/>
        <v>0.461538461538462</v>
      </c>
      <c r="F8" s="12">
        <f t="shared" si="2"/>
        <v>0.307692307692308</v>
      </c>
      <c r="G8" s="16" t="str">
        <f t="shared" si="0"/>
        <v>△ 偏低</v>
      </c>
    </row>
    <row r="9" s="1" customFormat="1" ht="15" customHeight="1" spans="1:10">
      <c r="A9" s="9" t="s">
        <v>142</v>
      </c>
      <c r="B9" s="10">
        <v>450</v>
      </c>
      <c r="C9" s="10">
        <v>210</v>
      </c>
      <c r="D9" s="10">
        <v>130</v>
      </c>
      <c r="E9" s="11">
        <f t="shared" si="1"/>
        <v>0.466666666666667</v>
      </c>
      <c r="F9" s="12">
        <f t="shared" si="2"/>
        <v>0.288888888888889</v>
      </c>
      <c r="G9" s="16" t="str">
        <f t="shared" si="0"/>
        <v>△ 偏低</v>
      </c>
    </row>
    <row r="10" s="1" customFormat="1" ht="15" customHeight="1" spans="1:10">
      <c r="A10" s="9" t="s">
        <v>143</v>
      </c>
      <c r="B10" s="10">
        <v>510</v>
      </c>
      <c r="C10" s="10">
        <v>290</v>
      </c>
      <c r="D10" s="10">
        <v>200</v>
      </c>
      <c r="E10" s="11">
        <f t="shared" si="1"/>
        <v>0.568627450980392</v>
      </c>
      <c r="F10" s="12">
        <f t="shared" si="2"/>
        <v>0.392156862745098</v>
      </c>
      <c r="G10" s="16" t="str">
        <f t="shared" si="0"/>
        <v>✓ 正常</v>
      </c>
    </row>
    <row r="11" s="1" customFormat="1" ht="15" customHeight="1" spans="1:10">
      <c r="A11" s="9" t="s">
        <v>144</v>
      </c>
      <c r="B11" s="18">
        <f>SUM(B6:B10)</f>
        <v>2460</v>
      </c>
      <c r="C11" s="18">
        <f>SUM(C6:C10)</f>
        <v>1280</v>
      </c>
      <c r="D11" s="18">
        <f>SUM(D6:D10)</f>
        <v>865</v>
      </c>
      <c r="E11" s="15">
        <f t="shared" si="1"/>
        <v>0.520325203252033</v>
      </c>
      <c r="F11" s="15">
        <f t="shared" si="2"/>
        <v>0.351626016260163</v>
      </c>
      <c r="G11" s="19"/>
    </row>
    <row r="13" s="1" customFormat="1" ht="21.75" customHeight="1" spans="1:10">
      <c r="A13" s="6" t="s">
        <v>145</v>
      </c>
      <c r="B13" s="3"/>
      <c r="C13" s="3"/>
      <c r="D13" s="3"/>
      <c r="E13" s="3"/>
      <c r="F13" s="3"/>
      <c r="G13" s="3"/>
    </row>
    <row r="14" s="1" customFormat="1" ht="32.25" customHeight="1" spans="1:10">
      <c r="A14" s="7" t="s">
        <v>71</v>
      </c>
      <c r="B14" s="7" t="s">
        <v>146</v>
      </c>
      <c r="C14" s="7" t="s">
        <v>147</v>
      </c>
      <c r="D14" s="7" t="s">
        <v>148</v>
      </c>
      <c r="E14" s="7" t="s">
        <v>149</v>
      </c>
      <c r="F14" s="7" t="s">
        <v>150</v>
      </c>
      <c r="G14" s="7" t="s">
        <v>151</v>
      </c>
    </row>
    <row r="15" s="1" customFormat="1" ht="15" customHeight="1" spans="1:10">
      <c r="A15" s="20" t="s">
        <v>152</v>
      </c>
      <c r="B15" s="10">
        <v>2000</v>
      </c>
      <c r="C15" s="10">
        <v>6000</v>
      </c>
      <c r="D15" s="10">
        <v>680</v>
      </c>
      <c r="E15" s="12">
        <f>IF(B15=0,0,D15/B15)</f>
        <v>0.34</v>
      </c>
      <c r="F15" s="21">
        <v>0.8</v>
      </c>
      <c r="G15" s="22">
        <f>IF(F15=0,0,E15/F15*100)</f>
        <v>42.5</v>
      </c>
    </row>
    <row r="16" s="1" customFormat="1" ht="15" customHeight="1" spans="1:10">
      <c r="A16" s="13" t="s">
        <v>153</v>
      </c>
      <c r="B16" s="10">
        <v>1500</v>
      </c>
      <c r="C16" s="10">
        <v>4500</v>
      </c>
      <c r="D16" s="10">
        <v>750</v>
      </c>
      <c r="E16" s="12">
        <f t="shared" ref="E15:E19" si="3">IF(B16=0,0,D16/B16)</f>
        <v>0.5</v>
      </c>
      <c r="F16" s="21">
        <v>3.5</v>
      </c>
      <c r="G16" s="22">
        <f t="shared" ref="G15:G19" si="4">IF(F16=0,0,E16/F16*100)</f>
        <v>14.2857142857143</v>
      </c>
    </row>
    <row r="17" s="1" customFormat="1" ht="15" customHeight="1" spans="1:7">
      <c r="A17" s="13" t="s">
        <v>154</v>
      </c>
      <c r="B17" s="10">
        <v>3000</v>
      </c>
      <c r="C17" s="10">
        <v>3000</v>
      </c>
      <c r="D17" s="10">
        <v>390</v>
      </c>
      <c r="E17" s="12">
        <f t="shared" si="3"/>
        <v>0.13</v>
      </c>
      <c r="F17" s="21">
        <v>0.2</v>
      </c>
      <c r="G17" s="22">
        <f t="shared" si="4"/>
        <v>65</v>
      </c>
    </row>
    <row r="18" s="1" customFormat="1" ht="15" customHeight="1" spans="1:7">
      <c r="A18" s="13" t="s">
        <v>155</v>
      </c>
      <c r="B18" s="10">
        <v>2500</v>
      </c>
      <c r="C18" s="10">
        <v>2500</v>
      </c>
      <c r="D18" s="10">
        <v>475</v>
      </c>
      <c r="E18" s="12">
        <f t="shared" si="3"/>
        <v>0.19</v>
      </c>
      <c r="F18" s="21">
        <v>0.1</v>
      </c>
      <c r="G18" s="22">
        <f t="shared" si="4"/>
        <v>190</v>
      </c>
    </row>
    <row r="19" s="1" customFormat="1" ht="15" customHeight="1" spans="1:7">
      <c r="A19" s="13" t="s">
        <v>156</v>
      </c>
      <c r="B19" s="10">
        <v>200</v>
      </c>
      <c r="C19" s="10">
        <v>200</v>
      </c>
      <c r="D19" s="10">
        <v>160</v>
      </c>
      <c r="E19" s="12">
        <f t="shared" si="3"/>
        <v>0.8</v>
      </c>
      <c r="F19" s="21">
        <v>80</v>
      </c>
      <c r="G19" s="22">
        <f t="shared" si="4"/>
        <v>1</v>
      </c>
    </row>
  </sheetData>
  <mergeCells count="5">
    <mergeCell ref="A1:H1"/>
    <mergeCell ref="I1:J1"/>
    <mergeCell ref="A2:J2"/>
    <mergeCell ref="A4:G4"/>
    <mergeCell ref="A13:G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I13" sqref="I13"/>
    </sheetView>
  </sheetViews>
  <sheetFormatPr defaultColWidth="8.68181818181818" defaultRowHeight="14"/>
  <cols>
    <col min="1" max="1" width="24" style="1" customWidth="1"/>
    <col min="2" max="2" width="18" style="1" customWidth="1"/>
    <col min="3" max="7" width="17" style="1" customWidth="1"/>
    <col min="8" max="16384" width="8.68181818181818" style="1"/>
  </cols>
  <sheetData>
    <row r="1" s="1" customFormat="1" ht="36" customHeight="1" spans="1:10">
      <c r="A1" s="2" t="s">
        <v>157</v>
      </c>
      <c r="B1" s="3"/>
      <c r="C1" s="3"/>
      <c r="D1" s="3"/>
      <c r="E1" s="3"/>
      <c r="F1" s="3"/>
      <c r="G1" s="3"/>
      <c r="H1" s="3"/>
      <c r="I1" s="2"/>
      <c r="J1" s="3"/>
    </row>
    <row r="2" s="1" customFormat="1" ht="19.5" customHeight="1" spans="1:10">
      <c r="A2" s="4" t="s">
        <v>158</v>
      </c>
      <c r="B2" s="5"/>
      <c r="C2" s="5"/>
      <c r="D2" s="5"/>
      <c r="E2" s="5"/>
      <c r="F2" s="5"/>
      <c r="G2" s="5"/>
      <c r="H2" s="5"/>
      <c r="I2" s="5"/>
      <c r="J2" s="5"/>
    </row>
    <row r="4" s="1" customFormat="1" ht="21.75" customHeight="1" spans="1:10">
      <c r="A4" s="6" t="s">
        <v>159</v>
      </c>
      <c r="B4" s="3"/>
      <c r="C4" s="3"/>
      <c r="D4" s="3"/>
      <c r="E4" s="3"/>
      <c r="F4" s="3"/>
      <c r="G4" s="3"/>
    </row>
    <row r="5" s="1" customFormat="1" ht="16.5" customHeight="1" spans="1:10">
      <c r="A5" s="7" t="s">
        <v>133</v>
      </c>
      <c r="B5" s="7" t="s">
        <v>160</v>
      </c>
      <c r="C5" s="7" t="s">
        <v>161</v>
      </c>
      <c r="D5" s="7" t="s">
        <v>162</v>
      </c>
      <c r="E5" s="8" t="s">
        <v>163</v>
      </c>
      <c r="F5" s="8" t="s">
        <v>164</v>
      </c>
      <c r="G5" s="7" t="s">
        <v>165</v>
      </c>
    </row>
    <row r="6" s="1" customFormat="1" ht="15" customHeight="1" spans="1:10">
      <c r="A6" s="9" t="s">
        <v>139</v>
      </c>
      <c r="B6" s="10">
        <v>190</v>
      </c>
      <c r="C6" s="10">
        <v>95</v>
      </c>
      <c r="D6" s="10">
        <v>76</v>
      </c>
      <c r="E6" s="11">
        <f>IF(B6=0,0,C6/B6)</f>
        <v>0.5</v>
      </c>
      <c r="F6" s="12">
        <f>IF(C6=0,0,D6/C6)</f>
        <v>0.8</v>
      </c>
      <c r="G6" s="11">
        <f>E6*0.4+F6*0.6</f>
        <v>0.68</v>
      </c>
    </row>
    <row r="7" s="1" customFormat="1" ht="15" customHeight="1" spans="1:10">
      <c r="A7" s="9" t="s">
        <v>140</v>
      </c>
      <c r="B7" s="10">
        <v>185</v>
      </c>
      <c r="C7" s="10">
        <v>88</v>
      </c>
      <c r="D7" s="10">
        <v>66</v>
      </c>
      <c r="E7" s="11">
        <f t="shared" ref="E6:E11" si="0">IF(B7=0,0,C7/B7)</f>
        <v>0.475675675675676</v>
      </c>
      <c r="F7" s="12">
        <f t="shared" ref="F6:F11" si="1">IF(C7=0,0,D7/C7)</f>
        <v>0.75</v>
      </c>
      <c r="G7" s="11">
        <f t="shared" ref="G6:G11" si="2">E7*0.4+F7*0.6</f>
        <v>0.64027027027027</v>
      </c>
    </row>
    <row r="8" s="1" customFormat="1" ht="15" customHeight="1" spans="1:10">
      <c r="A8" s="9" t="s">
        <v>141</v>
      </c>
      <c r="B8" s="10">
        <v>160</v>
      </c>
      <c r="C8" s="10">
        <v>72</v>
      </c>
      <c r="D8" s="10">
        <v>50</v>
      </c>
      <c r="E8" s="11">
        <f t="shared" si="0"/>
        <v>0.45</v>
      </c>
      <c r="F8" s="12">
        <f t="shared" si="1"/>
        <v>0.694444444444444</v>
      </c>
      <c r="G8" s="11">
        <f t="shared" si="2"/>
        <v>0.596666666666667</v>
      </c>
    </row>
    <row r="9" s="1" customFormat="1" ht="15" customHeight="1" spans="1:10">
      <c r="A9" s="9" t="s">
        <v>142</v>
      </c>
      <c r="B9" s="10">
        <v>130</v>
      </c>
      <c r="C9" s="10">
        <v>55</v>
      </c>
      <c r="D9" s="10">
        <v>39</v>
      </c>
      <c r="E9" s="11">
        <f t="shared" si="0"/>
        <v>0.423076923076923</v>
      </c>
      <c r="F9" s="12">
        <f t="shared" si="1"/>
        <v>0.709090909090909</v>
      </c>
      <c r="G9" s="11">
        <f t="shared" si="2"/>
        <v>0.594685314685315</v>
      </c>
    </row>
    <row r="10" s="1" customFormat="1" ht="15" customHeight="1" spans="1:10">
      <c r="A10" s="9" t="s">
        <v>143</v>
      </c>
      <c r="B10" s="10">
        <v>200</v>
      </c>
      <c r="C10" s="10">
        <v>110</v>
      </c>
      <c r="D10" s="10">
        <v>90</v>
      </c>
      <c r="E10" s="11">
        <f t="shared" si="0"/>
        <v>0.55</v>
      </c>
      <c r="F10" s="12">
        <f t="shared" si="1"/>
        <v>0.818181818181818</v>
      </c>
      <c r="G10" s="11">
        <f t="shared" si="2"/>
        <v>0.710909090909091</v>
      </c>
    </row>
    <row r="11" s="1" customFormat="1" ht="15" customHeight="1" spans="1:10">
      <c r="A11" s="13" t="s">
        <v>166</v>
      </c>
      <c r="B11" s="14">
        <f>SUM(B6:B10)</f>
        <v>865</v>
      </c>
      <c r="C11" s="14">
        <f>SUM(C6:C10)</f>
        <v>420</v>
      </c>
      <c r="D11" s="14">
        <f>SUM(D6:D10)</f>
        <v>321</v>
      </c>
      <c r="E11" s="15">
        <f t="shared" si="0"/>
        <v>0.485549132947977</v>
      </c>
      <c r="F11" s="15">
        <f t="shared" si="1"/>
        <v>0.764285714285714</v>
      </c>
      <c r="G11" s="15">
        <f t="shared" si="2"/>
        <v>0.652791081750619</v>
      </c>
    </row>
    <row r="13" s="1" customFormat="1" ht="21.75" customHeight="1" spans="1:10">
      <c r="A13" s="6" t="s">
        <v>167</v>
      </c>
      <c r="B13" s="3"/>
      <c r="C13" s="3"/>
      <c r="D13" s="3"/>
      <c r="E13" s="3"/>
      <c r="F13" s="3"/>
      <c r="G13" s="3"/>
    </row>
    <row r="14" s="1" customFormat="1" ht="14.5" spans="1:10">
      <c r="A14" s="7" t="s">
        <v>168</v>
      </c>
      <c r="B14" s="7" t="s">
        <v>169</v>
      </c>
      <c r="C14" s="7" t="s">
        <v>170</v>
      </c>
      <c r="D14" s="7" t="s">
        <v>171</v>
      </c>
      <c r="E14" s="7" t="s">
        <v>172</v>
      </c>
      <c r="F14" s="7" t="s">
        <v>173</v>
      </c>
      <c r="G14" s="7" t="s">
        <v>174</v>
      </c>
    </row>
    <row r="15" s="1" customFormat="1" ht="15" customHeight="1" spans="1:10">
      <c r="A15" s="13" t="s">
        <v>175</v>
      </c>
      <c r="B15" s="10">
        <v>800</v>
      </c>
      <c r="C15" s="10">
        <v>480</v>
      </c>
      <c r="D15" s="10">
        <v>120</v>
      </c>
      <c r="E15" s="11">
        <f>IF(B15=0,0,C15/B15)</f>
        <v>0.6</v>
      </c>
      <c r="F15" s="12">
        <f>IF(B15=0,0,(C15+D15)/B15)</f>
        <v>0.75</v>
      </c>
      <c r="G15" s="16" t="str">
        <f t="shared" ref="G15:G18" si="3">IF(F15&gt;=0.7,"✓ 达标","⚠ 未达标")</f>
        <v>✓ 达标</v>
      </c>
    </row>
    <row r="16" s="1" customFormat="1" ht="15" customHeight="1" spans="1:10">
      <c r="A16" s="13" t="s">
        <v>176</v>
      </c>
      <c r="B16" s="10">
        <v>750</v>
      </c>
      <c r="C16" s="10">
        <v>420</v>
      </c>
      <c r="D16" s="10">
        <v>100</v>
      </c>
      <c r="E16" s="11">
        <f>IF(B16=0,0,C16/B16)</f>
        <v>0.56</v>
      </c>
      <c r="F16" s="12">
        <f t="shared" ref="F15:F18" si="4">IF(B16=0,0,(C16+D16)/B16)</f>
        <v>0.693333333333333</v>
      </c>
      <c r="G16" s="16" t="str">
        <f t="shared" si="3"/>
        <v>⚠ 未达标</v>
      </c>
    </row>
    <row r="17" s="1" customFormat="1" ht="15" customHeight="1" spans="1:7">
      <c r="A17" s="13" t="s">
        <v>177</v>
      </c>
      <c r="B17" s="10">
        <v>900</v>
      </c>
      <c r="C17" s="10">
        <v>540</v>
      </c>
      <c r="D17" s="10">
        <v>130</v>
      </c>
      <c r="E17" s="11">
        <f t="shared" ref="E15:E18" si="5">IF(B17=0,0,C17/B17)</f>
        <v>0.6</v>
      </c>
      <c r="F17" s="12">
        <f t="shared" si="4"/>
        <v>0.744444444444444</v>
      </c>
      <c r="G17" s="16" t="str">
        <f t="shared" si="3"/>
        <v>✓ 达标</v>
      </c>
    </row>
    <row r="18" s="1" customFormat="1" ht="15" customHeight="1" spans="1:7">
      <c r="A18" s="13" t="s">
        <v>178</v>
      </c>
      <c r="B18" s="10">
        <v>850</v>
      </c>
      <c r="C18" s="10">
        <v>510</v>
      </c>
      <c r="D18" s="10">
        <v>115</v>
      </c>
      <c r="E18" s="11">
        <f t="shared" si="5"/>
        <v>0.6</v>
      </c>
      <c r="F18" s="12">
        <f t="shared" si="4"/>
        <v>0.735294117647059</v>
      </c>
      <c r="G18" s="16" t="str">
        <f t="shared" si="3"/>
        <v>✓ 达标</v>
      </c>
    </row>
    <row r="19" spans="1:7">
      <c r="G19" s="17" t="s">
        <v>179</v>
      </c>
    </row>
  </sheetData>
  <mergeCells count="5">
    <mergeCell ref="A1:H1"/>
    <mergeCell ref="I1:J1"/>
    <mergeCell ref="A2:J2"/>
    <mergeCell ref="A4:G4"/>
    <mergeCell ref="A13:G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催收效果测算</vt:lpstr>
      <vt:lpstr>2.DPD</vt:lpstr>
      <vt:lpstr>3.CRR</vt:lpstr>
      <vt:lpstr>4.Roll rate</vt:lpstr>
      <vt:lpstr>5.Contact Rate</vt:lpstr>
      <vt:lpstr>6.PTP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2026-04-02T09:33:00Z</dcterms:created>
  <dcterms:modified xsi:type="dcterms:W3CDTF">2026-04-04T13:09:26Z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32E63248139146E88622A05860DF4A0F_12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