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0.策略开发流程" sheetId="10" r:id="rId1"/>
    <sheet name="1.准入规则" sheetId="2" r:id="rId2"/>
    <sheet name="1.2用户分层" sheetId="8" r:id="rId3"/>
    <sheet name="2.冷启动" sheetId="7" r:id="rId4"/>
    <sheet name="3.Swap in&amp;out" sheetId="3" r:id="rId5"/>
    <sheet name="4.AB Test" sheetId="4" r:id="rId6"/>
    <sheet name="5.评分卡模型测算" sheetId="1" r:id="rId7"/>
    <sheet name="6.1 PSI 计算" sheetId="5" r:id="rId8"/>
    <sheet name="6.2 IV&amp;KS计算" sheetId="6" r:id="rId9"/>
    <sheet name="7. Lift值" sheetId="9" r:id="rId10"/>
    <sheet name="Sheet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<sst xmlns="http://schemas.openxmlformats.org/spreadsheetml/2006/main" count="605" uniqueCount="456">
  <si>
    <t>决策引擎开发流程</t>
  </si>
  <si>
    <r>
      <rPr>
        <b/>
        <sz val="14"/>
        <color rgb="FF2E74B5"/>
        <rFont val="Arial"/>
        <charset val="134"/>
      </rPr>
      <t xml:space="preserve">1. </t>
    </r>
    <r>
      <rPr>
        <b/>
        <sz val="14"/>
        <color rgb="FF2E74B5"/>
        <rFont val="宋体"/>
        <charset val="134"/>
      </rPr>
      <t>什么是风控决策引擎</t>
    </r>
  </si>
  <si>
    <t>决策引擎（Decision Engine）是金融机构信贷业务的核心风控组件，</t>
  </si>
  <si>
    <t>负责在借款人提交申请后、资金发放前，对申请人进行自</t>
  </si>
  <si>
    <t>动化、多维度的信用风险评估工具，并输出决策结果(通过或拒绝)</t>
  </si>
  <si>
    <t>核心价值：</t>
  </si>
  <si>
    <r>
      <rPr>
        <sz val="9"/>
        <color rgb="FF2E75B6"/>
        <rFont val="微软雅黑"/>
        <charset val="134"/>
      </rPr>
      <t>◆</t>
    </r>
    <r>
      <rPr>
        <sz val="7"/>
        <color rgb="FF2E75B6"/>
        <rFont val="Times New Roman"/>
        <charset val="134"/>
      </rPr>
      <t> </t>
    </r>
    <r>
      <rPr>
        <sz val="11"/>
        <color rgb="FF333333"/>
        <rFont val="微软雅黑"/>
        <charset val="134"/>
      </rPr>
      <t>替代人工初审，提升审批效率（秒级决策）</t>
    </r>
  </si>
  <si>
    <r>
      <rPr>
        <sz val="9"/>
        <color rgb="FF2E75B6"/>
        <rFont val="微软雅黑"/>
        <charset val="134"/>
      </rPr>
      <t>◆</t>
    </r>
    <r>
      <rPr>
        <sz val="7"/>
        <color rgb="FF2E75B6"/>
        <rFont val="Times New Roman"/>
        <charset val="134"/>
      </rPr>
      <t> </t>
    </r>
    <r>
      <rPr>
        <sz val="11"/>
        <color rgb="FF333333"/>
        <rFont val="微软雅黑"/>
        <charset val="134"/>
      </rPr>
      <t>统一策略口径，降低人为主观误差</t>
    </r>
  </si>
  <si>
    <r>
      <rPr>
        <sz val="9"/>
        <color rgb="FF2E75B6"/>
        <rFont val="微软雅黑"/>
        <charset val="134"/>
      </rPr>
      <t>◆</t>
    </r>
    <r>
      <rPr>
        <sz val="7"/>
        <color rgb="FF2E75B6"/>
        <rFont val="Times New Roman"/>
        <charset val="134"/>
      </rPr>
      <t> </t>
    </r>
    <r>
      <rPr>
        <sz val="11"/>
        <color rgb="FF333333"/>
        <rFont val="微软雅黑"/>
        <charset val="134"/>
      </rPr>
      <t>实时接入多维数据源，提升风险识别精准度</t>
    </r>
  </si>
  <si>
    <r>
      <rPr>
        <sz val="9"/>
        <color rgb="FF2E75B6"/>
        <rFont val="微软雅黑"/>
        <charset val="134"/>
      </rPr>
      <t>◆</t>
    </r>
    <r>
      <rPr>
        <sz val="7"/>
        <color rgb="FF2E75B6"/>
        <rFont val="Times New Roman"/>
        <charset val="134"/>
      </rPr>
      <t> </t>
    </r>
    <r>
      <rPr>
        <sz val="11"/>
        <color rgb="FF333333"/>
        <rFont val="微软雅黑"/>
        <charset val="134"/>
      </rPr>
      <t>支持策略灰度、AB测试，持续优化迭代</t>
    </r>
  </si>
  <si>
    <t>2、整体开发流程总览</t>
  </si>
  <si>
    <t>三、决策引擎中决策点的层次结构</t>
  </si>
  <si>
    <t>一套完整的决策策略通常包含以下四大类(可根据具体业务情况增加或者删减)，从上至下依次执行，也可以进行并行设计，提高策略迭代效率：</t>
  </si>
  <si>
    <r>
      <rPr>
        <b/>
        <sz val="11"/>
        <color theme="1"/>
        <rFont val="Arial"/>
        <charset val="134"/>
      </rPr>
      <t xml:space="preserve">3.1 </t>
    </r>
    <r>
      <rPr>
        <b/>
        <sz val="11"/>
        <color theme="1"/>
        <rFont val="宋体"/>
        <charset val="134"/>
      </rPr>
      <t>准入决策点</t>
    </r>
  </si>
  <si>
    <t>▸ 命中黑名单（欺诈黑名单、逾期黑名单、法院失信）→ 直接拒绝</t>
  </si>
  <si>
    <t>▸ 身份核验不通过（人脸不一致、证件无效）→ 直接拒绝</t>
  </si>
  <si>
    <t>▸ 超出基础准入条件（年龄/地域/产品限制）→ 直接拒绝</t>
  </si>
  <si>
    <r>
      <rPr>
        <b/>
        <sz val="11"/>
        <color theme="1"/>
        <rFont val="Arial"/>
        <charset val="134"/>
      </rPr>
      <t xml:space="preserve">3.2 </t>
    </r>
    <r>
      <rPr>
        <b/>
        <sz val="11"/>
        <color theme="1"/>
        <rFont val="宋体"/>
        <charset val="134"/>
      </rPr>
      <t>信用风险决策点</t>
    </r>
  </si>
  <si>
    <t>▸ 第三方多头数据等</t>
  </si>
  <si>
    <t>▸ 征信报告</t>
  </si>
  <si>
    <t>▸ 行为数据</t>
  </si>
  <si>
    <r>
      <rPr>
        <b/>
        <sz val="11"/>
        <color theme="1"/>
        <rFont val="Arial"/>
        <charset val="134"/>
      </rPr>
      <t xml:space="preserve">3.3 </t>
    </r>
    <r>
      <rPr>
        <b/>
        <sz val="11"/>
        <color theme="1"/>
        <rFont val="宋体"/>
        <charset val="134"/>
      </rPr>
      <t>欺诈风险决策点</t>
    </r>
  </si>
  <si>
    <t>▸ 设备指纹异常：同一设备多账号申请</t>
  </si>
  <si>
    <t>▸ 申请信息一致性校验：填报与三方数据矛盾</t>
  </si>
  <si>
    <t>▸ 团伙欺诈识别：关联图谱风险传导</t>
  </si>
  <si>
    <r>
      <rPr>
        <b/>
        <sz val="11"/>
        <color theme="1"/>
        <rFont val="Arial"/>
        <charset val="134"/>
      </rPr>
      <t xml:space="preserve">3.4 </t>
    </r>
    <r>
      <rPr>
        <b/>
        <sz val="11"/>
        <color theme="1"/>
        <rFont val="宋体"/>
        <charset val="134"/>
      </rPr>
      <t>终审决策点</t>
    </r>
  </si>
  <si>
    <t>4.1 通过模型分判断是否通过&amp;拒绝&amp;人工审核</t>
  </si>
  <si>
    <t>4.2 通过用户，给出额度与定价</t>
  </si>
  <si>
    <t>▸ 基于信用分段授予差异化额度</t>
  </si>
  <si>
    <t>▸ 基于风险定价（RBP）输出个性化利率</t>
  </si>
  <si>
    <t>一. 常见规则集</t>
  </si>
  <si>
    <r>
      <rPr>
        <b/>
        <sz val="10"/>
        <color rgb="FFFFFFFF"/>
        <rFont val="微软雅黑"/>
        <charset val="134"/>
      </rPr>
      <t>规则类别</t>
    </r>
  </si>
  <si>
    <r>
      <rPr>
        <b/>
        <sz val="10"/>
        <color rgb="FFFFFFFF"/>
        <rFont val="微软雅黑"/>
        <charset val="134"/>
      </rPr>
      <t>规则项</t>
    </r>
  </si>
  <si>
    <r>
      <rPr>
        <b/>
        <sz val="10"/>
        <color rgb="FFFFFFFF"/>
        <rFont val="微软雅黑"/>
        <charset val="134"/>
      </rPr>
      <t>规则条件</t>
    </r>
  </si>
  <si>
    <r>
      <rPr>
        <b/>
        <sz val="10"/>
        <color rgb="FFFFFFFF"/>
        <rFont val="微软雅黑"/>
        <charset val="134"/>
      </rPr>
      <t>设计原理</t>
    </r>
  </si>
  <si>
    <r>
      <rPr>
        <sz val="10"/>
        <color theme="1"/>
        <rFont val="微软雅黑"/>
        <charset val="134"/>
      </rPr>
      <t>基本准入</t>
    </r>
  </si>
  <si>
    <r>
      <rPr>
        <sz val="10"/>
        <color theme="1"/>
        <rFont val="微软雅黑"/>
        <charset val="134"/>
      </rPr>
      <t>年龄要求</t>
    </r>
  </si>
  <si>
    <r>
      <rPr>
        <sz val="10"/>
        <color theme="1"/>
        <rFont val="Arial"/>
        <charset val="134"/>
      </rPr>
      <t>22-55</t>
    </r>
    <r>
      <rPr>
        <sz val="10"/>
        <color theme="1"/>
        <rFont val="微软雅黑"/>
        <charset val="134"/>
      </rPr>
      <t>周岁</t>
    </r>
  </si>
  <si>
    <r>
      <rPr>
        <sz val="10"/>
        <color theme="1"/>
        <rFont val="微软雅黑"/>
        <charset val="134"/>
      </rPr>
      <t>限制未成年和高龄风险</t>
    </r>
  </si>
  <si>
    <r>
      <rPr>
        <sz val="11"/>
        <color theme="1"/>
        <rFont val="宋体"/>
        <charset val="134"/>
      </rPr>
      <t>硬规则</t>
    </r>
  </si>
  <si>
    <r>
      <rPr>
        <sz val="10"/>
        <color theme="1"/>
        <rFont val="微软雅黑"/>
        <charset val="134"/>
      </rPr>
      <t>身份证校验</t>
    </r>
  </si>
  <si>
    <r>
      <rPr>
        <sz val="10"/>
        <color theme="1"/>
        <rFont val="微软雅黑"/>
        <charset val="134"/>
      </rPr>
      <t>二代身份证实名认证</t>
    </r>
  </si>
  <si>
    <r>
      <rPr>
        <sz val="10"/>
        <color theme="1"/>
        <rFont val="微软雅黑"/>
        <charset val="134"/>
      </rPr>
      <t>防止虚假身份</t>
    </r>
  </si>
  <si>
    <r>
      <rPr>
        <sz val="10"/>
        <color theme="1"/>
        <rFont val="微软雅黑"/>
        <charset val="134"/>
      </rPr>
      <t>手机号实名</t>
    </r>
  </si>
  <si>
    <r>
      <rPr>
        <sz val="10"/>
        <color theme="1"/>
        <rFont val="微软雅黑"/>
        <charset val="134"/>
      </rPr>
      <t>入网时长</t>
    </r>
    <r>
      <rPr>
        <sz val="10"/>
        <color theme="1"/>
        <rFont val="Arial"/>
        <charset val="134"/>
      </rPr>
      <t>&gt;6</t>
    </r>
    <r>
      <rPr>
        <sz val="10"/>
        <color theme="1"/>
        <rFont val="微软雅黑"/>
        <charset val="134"/>
      </rPr>
      <t>个月</t>
    </r>
  </si>
  <si>
    <r>
      <rPr>
        <sz val="10"/>
        <color theme="1"/>
        <rFont val="微软雅黑"/>
        <charset val="134"/>
      </rPr>
      <t>防止虚假号码</t>
    </r>
  </si>
  <si>
    <r>
      <rPr>
        <sz val="10"/>
        <color theme="1"/>
        <rFont val="微软雅黑"/>
        <charset val="134"/>
      </rPr>
      <t>征信要求</t>
    </r>
  </si>
  <si>
    <r>
      <rPr>
        <sz val="10"/>
        <color theme="1"/>
        <rFont val="微软雅黑"/>
        <charset val="134"/>
      </rPr>
      <t>当前逾期</t>
    </r>
  </si>
  <si>
    <r>
      <rPr>
        <sz val="10"/>
        <color theme="1"/>
        <rFont val="微软雅黑"/>
        <charset val="134"/>
      </rPr>
      <t>当前无</t>
    </r>
    <r>
      <rPr>
        <sz val="10"/>
        <color theme="1"/>
        <rFont val="Arial"/>
        <charset val="134"/>
      </rPr>
      <t>M1+</t>
    </r>
    <r>
      <rPr>
        <sz val="10"/>
        <color theme="1"/>
        <rFont val="微软雅黑"/>
        <charset val="134"/>
      </rPr>
      <t>逾期</t>
    </r>
  </si>
  <si>
    <r>
      <rPr>
        <sz val="10"/>
        <color theme="1"/>
        <rFont val="微软雅黑"/>
        <charset val="134"/>
      </rPr>
      <t>排除已有违约客户</t>
    </r>
  </si>
  <si>
    <r>
      <rPr>
        <sz val="10"/>
        <color theme="1"/>
        <rFont val="微软雅黑"/>
        <charset val="134"/>
      </rPr>
      <t>近</t>
    </r>
    <r>
      <rPr>
        <sz val="10"/>
        <color theme="1"/>
        <rFont val="Arial"/>
        <charset val="134"/>
      </rPr>
      <t>6</t>
    </r>
    <r>
      <rPr>
        <sz val="10"/>
        <color theme="1"/>
        <rFont val="微软雅黑"/>
        <charset val="134"/>
      </rPr>
      <t>月查询</t>
    </r>
  </si>
  <si>
    <r>
      <rPr>
        <sz val="10"/>
        <color theme="1"/>
        <rFont val="微软雅黑"/>
        <charset val="134"/>
      </rPr>
      <t>硬查询次数</t>
    </r>
    <r>
      <rPr>
        <sz val="10"/>
        <color theme="1"/>
        <rFont val="Arial"/>
        <charset val="134"/>
      </rPr>
      <t>&lt;8</t>
    </r>
    <r>
      <rPr>
        <sz val="10"/>
        <color theme="1"/>
        <rFont val="微软雅黑"/>
        <charset val="134"/>
      </rPr>
      <t>次</t>
    </r>
  </si>
  <si>
    <r>
      <rPr>
        <sz val="10"/>
        <color theme="1"/>
        <rFont val="微软雅黑"/>
        <charset val="134"/>
      </rPr>
      <t>排除多头借贷</t>
    </r>
  </si>
  <si>
    <r>
      <rPr>
        <sz val="11"/>
        <color theme="1"/>
        <rFont val="宋体"/>
        <charset val="134"/>
      </rPr>
      <t>软规则</t>
    </r>
  </si>
  <si>
    <t>*根据业务发展情况进行调整</t>
  </si>
  <si>
    <r>
      <rPr>
        <sz val="10"/>
        <color theme="1"/>
        <rFont val="微软雅黑"/>
        <charset val="134"/>
      </rPr>
      <t>历史违约</t>
    </r>
  </si>
  <si>
    <r>
      <rPr>
        <sz val="10"/>
        <color theme="1"/>
        <rFont val="微软雅黑"/>
        <charset val="134"/>
      </rPr>
      <t>近</t>
    </r>
    <r>
      <rPr>
        <sz val="10"/>
        <color theme="1"/>
        <rFont val="Arial"/>
        <charset val="134"/>
      </rPr>
      <t>2</t>
    </r>
    <r>
      <rPr>
        <sz val="10"/>
        <color theme="1"/>
        <rFont val="微软雅黑"/>
        <charset val="134"/>
      </rPr>
      <t>年无</t>
    </r>
    <r>
      <rPr>
        <sz val="10"/>
        <color theme="1"/>
        <rFont val="Arial"/>
        <charset val="134"/>
      </rPr>
      <t>90+</t>
    </r>
    <r>
      <rPr>
        <sz val="10"/>
        <color theme="1"/>
        <rFont val="微软雅黑"/>
        <charset val="134"/>
      </rPr>
      <t>记录</t>
    </r>
  </si>
  <si>
    <r>
      <rPr>
        <sz val="10"/>
        <color theme="1"/>
        <rFont val="微软雅黑"/>
        <charset val="134"/>
      </rPr>
      <t>排除高风险客户</t>
    </r>
  </si>
  <si>
    <r>
      <rPr>
        <sz val="10"/>
        <color theme="1"/>
        <rFont val="微软雅黑"/>
        <charset val="134"/>
      </rPr>
      <t>收入要求</t>
    </r>
  </si>
  <si>
    <r>
      <rPr>
        <sz val="10"/>
        <color theme="1"/>
        <rFont val="微软雅黑"/>
        <charset val="134"/>
      </rPr>
      <t>月收入门槛</t>
    </r>
  </si>
  <si>
    <r>
      <rPr>
        <sz val="10"/>
        <color theme="1"/>
        <rFont val="微软雅黑"/>
        <charset val="134"/>
      </rPr>
      <t>月收入</t>
    </r>
    <r>
      <rPr>
        <sz val="10"/>
        <color theme="1"/>
        <rFont val="Arial"/>
        <charset val="134"/>
      </rPr>
      <t>&gt;=3000</t>
    </r>
    <r>
      <rPr>
        <sz val="10"/>
        <color theme="1"/>
        <rFont val="微软雅黑"/>
        <charset val="134"/>
      </rPr>
      <t>元</t>
    </r>
  </si>
  <si>
    <r>
      <rPr>
        <sz val="10"/>
        <color theme="1"/>
        <rFont val="微软雅黑"/>
        <charset val="134"/>
      </rPr>
      <t>确保还款能力</t>
    </r>
  </si>
  <si>
    <r>
      <rPr>
        <sz val="10"/>
        <color theme="1"/>
        <rFont val="微软雅黑"/>
        <charset val="134"/>
      </rPr>
      <t>负债要求</t>
    </r>
  </si>
  <si>
    <r>
      <rPr>
        <sz val="10"/>
        <color theme="1"/>
        <rFont val="Arial"/>
        <charset val="134"/>
      </rPr>
      <t>DTI</t>
    </r>
    <r>
      <rPr>
        <sz val="10"/>
        <color theme="1"/>
        <rFont val="微软雅黑"/>
        <charset val="134"/>
      </rPr>
      <t>比率</t>
    </r>
  </si>
  <si>
    <r>
      <rPr>
        <sz val="10"/>
        <color theme="1"/>
        <rFont val="微软雅黑"/>
        <charset val="134"/>
      </rPr>
      <t>月负债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月收入</t>
    </r>
    <r>
      <rPr>
        <sz val="10"/>
        <color theme="1"/>
        <rFont val="Arial"/>
        <charset val="134"/>
      </rPr>
      <t>&lt;50%</t>
    </r>
  </si>
  <si>
    <r>
      <rPr>
        <sz val="10"/>
        <color theme="1"/>
        <rFont val="微软雅黑"/>
        <charset val="134"/>
      </rPr>
      <t>控制过度负债</t>
    </r>
  </si>
  <si>
    <t>【实例1】审批模型迭代效果验证</t>
  </si>
  <si>
    <t>按日拆分渠道，进行归因分析</t>
  </si>
  <si>
    <t>指标</t>
  </si>
  <si>
    <t>V1模型用户占比</t>
  </si>
  <si>
    <t>V1模型通过率</t>
  </si>
  <si>
    <t>V2模型用户占比</t>
  </si>
  <si>
    <t>V2模型通过率</t>
  </si>
  <si>
    <t>变化</t>
  </si>
  <si>
    <t>备注</t>
  </si>
  <si>
    <t>贡献占比</t>
  </si>
  <si>
    <t>合计</t>
  </si>
  <si>
    <t>显著下降</t>
  </si>
  <si>
    <t>结构影响</t>
  </si>
  <si>
    <t>指标影响</t>
  </si>
  <si>
    <t>A级客户</t>
  </si>
  <si>
    <t>小幅下降</t>
  </si>
  <si>
    <t>B级客户</t>
  </si>
  <si>
    <t>==&gt;</t>
  </si>
  <si>
    <t>C级客户</t>
  </si>
  <si>
    <t>大幅下降</t>
  </si>
  <si>
    <t>D级客户</t>
  </si>
  <si>
    <t>FPD30</t>
  </si>
  <si>
    <t>显著改善</t>
  </si>
  <si>
    <t>预计损失率</t>
  </si>
  <si>
    <t>风险下降</t>
  </si>
  <si>
    <r>
      <rPr>
        <b/>
        <sz val="11"/>
        <color theme="1"/>
        <rFont val="宋体"/>
        <charset val="134"/>
      </rPr>
      <t>结论</t>
    </r>
    <r>
      <rPr>
        <b/>
        <sz val="11"/>
        <color theme="1"/>
        <rFont val="Arial"/>
        <charset val="134"/>
      </rPr>
      <t>:</t>
    </r>
    <r>
      <rPr>
        <b/>
        <sz val="11"/>
        <color theme="1"/>
        <rFont val="宋体"/>
        <charset val="134"/>
      </rPr>
      <t>主要是指标影响</t>
    </r>
  </si>
  <si>
    <r>
      <rPr>
        <sz val="11"/>
        <color theme="1"/>
        <rFont val="宋体"/>
        <charset val="134"/>
      </rPr>
      <t>指标影响:</t>
    </r>
    <r>
      <rPr>
        <sz val="11"/>
        <color theme="1"/>
        <rFont val="Arial"/>
        <charset val="134"/>
      </rPr>
      <t>C/D</t>
    </r>
    <r>
      <rPr>
        <sz val="11"/>
        <color theme="1"/>
        <rFont val="宋体"/>
        <charset val="134"/>
      </rPr>
      <t>等级用户通过率下降影响57.7%</t>
    </r>
  </si>
  <si>
    <r>
      <rPr>
        <sz val="11"/>
        <color theme="1"/>
        <rFont val="宋体"/>
        <charset val="134"/>
      </rPr>
      <t>结构影响；</t>
    </r>
    <r>
      <rPr>
        <sz val="11"/>
        <color theme="1"/>
        <rFont val="Arial"/>
        <charset val="134"/>
      </rPr>
      <t>B</t>
    </r>
    <r>
      <rPr>
        <sz val="11"/>
        <color theme="1"/>
        <rFont val="宋体"/>
        <charset val="134"/>
      </rPr>
      <t>级用户占比下降影响20%</t>
    </r>
  </si>
  <si>
    <t>策略调优常看的四率</t>
  </si>
  <si>
    <t>逻辑</t>
  </si>
  <si>
    <t>举例</t>
  </si>
  <si>
    <t>作用&amp;意义</t>
  </si>
  <si>
    <t>精准率</t>
  </si>
  <si>
    <t>规则命中的坏人/规则总命中人数</t>
  </si>
  <si>
    <t>某信贷模型预测了100笔交易为“欺诈”（TP+FP）。经核实，其中90笔是确凿的欺诈（TP），另外10笔是正常交易（FP）。那么精准率 = 90 / (90 + 10) = 90%</t>
  </si>
  <si>
    <t>命中规则的人当中，有多少是坏人
抓住坏人的准确率</t>
  </si>
  <si>
    <t>误杀率</t>
  </si>
  <si>
    <t>好客户被错误判定为坏的比例</t>
  </si>
  <si>
    <t>评估规则对好客户的伤害程度，影响客户体验</t>
  </si>
  <si>
    <t>召回率/覆盖率</t>
  </si>
  <si>
    <t>规则命中的坏人/总坏人</t>
  </si>
  <si>
    <t>实际发生了50笔欺诈交易（TP+FN）。模型成功预警了其中的45笔（TP），漏掉了5笔（FN）。那么召回率 = 45 / (45 + 5) = 90%</t>
  </si>
  <si>
    <t>抓住的坏人中，占总坏人的占比</t>
  </si>
  <si>
    <t>F1-Score</t>
  </si>
  <si>
    <t>2 × (精准率 × 命中率) / (精准率 + 命中率)</t>
  </si>
  <si>
    <t>精准率和命中率的调和平均数</t>
  </si>
  <si>
    <t>lift值</t>
  </si>
  <si>
    <r>
      <rPr>
        <sz val="11"/>
        <color theme="1"/>
        <rFont val="宋体"/>
        <charset val="134"/>
        <scheme val="minor"/>
      </rPr>
      <t xml:space="preserve">单规则的坏账率 / 整体的坏账率
</t>
    </r>
    <r>
      <rPr>
        <sz val="11"/>
        <color rgb="FFFF0000"/>
        <rFont val="宋体"/>
        <charset val="134"/>
        <scheme val="minor"/>
      </rPr>
      <t>= 精准率 / 整体坏客户率</t>
    </r>
  </si>
  <si>
    <t>整个贷款组合的坏客户率为5%（基准）。风控团队运用新策略对一批客户进行干预，在这个被干预的群体中，坏客户的浓度达到了20%。那么该策略的Lift值 = 20% / 5% = 4。这意味着该策略筛选客户的效率是随机选择的4倍</t>
  </si>
  <si>
    <t>衡量的是模型或策略相对于一个基线（如随机选择）的​​效率提升倍数​​</t>
  </si>
  <si>
    <r>
      <rPr>
        <b/>
        <sz val="14"/>
        <color rgb="FF1F3864"/>
        <rFont val="微软雅黑"/>
        <charset val="134"/>
      </rPr>
      <t>用户分层</t>
    </r>
  </si>
  <si>
    <r>
      <rPr>
        <b/>
        <sz val="14"/>
        <color rgb="FF2E74B5"/>
        <rFont val="Arial"/>
        <charset val="134"/>
      </rPr>
      <t xml:space="preserve">1. </t>
    </r>
    <r>
      <rPr>
        <b/>
        <sz val="14"/>
        <color rgb="FF2E74B5"/>
        <rFont val="微软雅黑"/>
        <charset val="134"/>
      </rPr>
      <t>为什么要做用户分层</t>
    </r>
  </si>
  <si>
    <r>
      <rPr>
        <sz val="11"/>
        <color theme="1"/>
        <rFont val="微软雅黑"/>
        <charset val="134"/>
      </rPr>
      <t>传统</t>
    </r>
    <r>
      <rPr>
        <sz val="11"/>
        <color theme="1"/>
        <rFont val="Arial"/>
        <charset val="134"/>
      </rPr>
      <t>"</t>
    </r>
    <r>
      <rPr>
        <sz val="11"/>
        <color theme="1"/>
        <rFont val="微软雅黑"/>
        <charset val="134"/>
      </rPr>
      <t>一刀切</t>
    </r>
    <r>
      <rPr>
        <sz val="11"/>
        <color theme="1"/>
        <rFont val="Arial"/>
        <charset val="134"/>
      </rPr>
      <t>"</t>
    </r>
    <r>
      <rPr>
        <sz val="11"/>
        <color theme="1"/>
        <rFont val="微软雅黑"/>
        <charset val="134"/>
      </rPr>
      <t>授信模式存在三大痛点：</t>
    </r>
  </si>
  <si>
    <r>
      <rPr>
        <sz val="11"/>
        <color theme="1"/>
        <rFont val="微软雅黑"/>
        <charset val="134"/>
      </rPr>
      <t>◆</t>
    </r>
    <r>
      <rPr>
        <sz val="7"/>
        <color theme="1"/>
        <rFont val="Arial"/>
        <charset val="134"/>
      </rPr>
      <t> </t>
    </r>
    <r>
      <rPr>
        <sz val="11"/>
        <color theme="1"/>
        <rFont val="微软雅黑"/>
        <charset val="134"/>
      </rPr>
      <t>风险定价粗糙：优质客户与劣质客户同价，逆向选择严重</t>
    </r>
  </si>
  <si>
    <r>
      <rPr>
        <sz val="11"/>
        <color theme="1"/>
        <rFont val="微软雅黑"/>
        <charset val="134"/>
      </rPr>
      <t>◆</t>
    </r>
    <r>
      <rPr>
        <sz val="7"/>
        <color theme="1"/>
        <rFont val="Arial"/>
        <charset val="134"/>
      </rPr>
      <t> </t>
    </r>
    <r>
      <rPr>
        <sz val="11"/>
        <color theme="1"/>
        <rFont val="微软雅黑"/>
        <charset val="134"/>
      </rPr>
      <t>坏账集中暴露：未能前置识别高风险群体，逾期率居高不下</t>
    </r>
  </si>
  <si>
    <r>
      <rPr>
        <sz val="11"/>
        <color theme="1"/>
        <rFont val="微软雅黑"/>
        <charset val="134"/>
      </rPr>
      <t>◆</t>
    </r>
    <r>
      <rPr>
        <sz val="7"/>
        <color theme="1"/>
        <rFont val="Arial"/>
        <charset val="134"/>
      </rPr>
      <t> </t>
    </r>
    <r>
      <rPr>
        <sz val="11"/>
        <color theme="1"/>
        <rFont val="微软雅黑"/>
        <charset val="134"/>
      </rPr>
      <t>资产收益低效：优质客户因额度不足流失，劣质客户因过度授信形成损失</t>
    </r>
  </si>
  <si>
    <r>
      <rPr>
        <b/>
        <sz val="14"/>
        <color rgb="FF2E74B5"/>
        <rFont val="Arial"/>
        <charset val="134"/>
      </rPr>
      <t xml:space="preserve">2. </t>
    </r>
    <r>
      <rPr>
        <b/>
        <sz val="14"/>
        <color rgb="FF2E74B5"/>
        <rFont val="微软雅黑"/>
        <charset val="134"/>
      </rPr>
      <t>五大维度全景图</t>
    </r>
  </si>
  <si>
    <r>
      <rPr>
        <b/>
        <sz val="10"/>
        <color rgb="FFFFFFFF"/>
        <rFont val="微软雅黑"/>
        <charset val="134"/>
      </rPr>
      <t>维度</t>
    </r>
  </si>
  <si>
    <r>
      <rPr>
        <b/>
        <sz val="10"/>
        <color rgb="FFFFFFFF"/>
        <rFont val="微软雅黑"/>
        <charset val="134"/>
      </rPr>
      <t>核心变量</t>
    </r>
  </si>
  <si>
    <r>
      <rPr>
        <b/>
        <sz val="10"/>
        <color rgb="FFFFFFFF"/>
        <rFont val="微软雅黑"/>
        <charset val="134"/>
      </rPr>
      <t>数据来源</t>
    </r>
  </si>
  <si>
    <r>
      <rPr>
        <b/>
        <sz val="10"/>
        <color rgb="FFFFFFFF"/>
        <rFont val="微软雅黑"/>
        <charset val="134"/>
      </rPr>
      <t>权重参考</t>
    </r>
  </si>
  <si>
    <r>
      <rPr>
        <sz val="10"/>
        <color theme="1"/>
        <rFont val="微软雅黑"/>
        <charset val="134"/>
      </rPr>
      <t>信用历史</t>
    </r>
  </si>
  <si>
    <r>
      <rPr>
        <sz val="10"/>
        <color theme="1"/>
        <rFont val="微软雅黑"/>
        <charset val="134"/>
      </rPr>
      <t>历史逾期次数、当前逾期天数、贷款账户数</t>
    </r>
  </si>
  <si>
    <r>
      <rPr>
        <sz val="10"/>
        <color theme="1"/>
        <rFont val="微软雅黑"/>
        <charset val="134"/>
      </rPr>
      <t>征信报告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央行征信</t>
    </r>
  </si>
  <si>
    <t>30%-35%</t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</si>
  <si>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微软雅黑"/>
        <charset val="134"/>
      </rPr>
      <t>负债信息</t>
    </r>
  </si>
  <si>
    <r>
      <rPr>
        <sz val="10"/>
        <color theme="1"/>
        <rFont val="微软雅黑"/>
        <charset val="134"/>
      </rPr>
      <t>负债收入比</t>
    </r>
    <r>
      <rPr>
        <sz val="10"/>
        <color theme="1"/>
        <rFont val="Arial"/>
        <charset val="134"/>
      </rPr>
      <t>DTI</t>
    </r>
    <r>
      <rPr>
        <sz val="10"/>
        <color theme="1"/>
        <rFont val="微软雅黑"/>
        <charset val="134"/>
      </rPr>
      <t>、当前未偿债务总额、信用卡使用率</t>
    </r>
  </si>
  <si>
    <r>
      <rPr>
        <sz val="10"/>
        <color theme="1"/>
        <rFont val="微软雅黑"/>
        <charset val="134"/>
      </rPr>
      <t>征信</t>
    </r>
    <r>
      <rPr>
        <sz val="10"/>
        <color theme="1"/>
        <rFont val="Arial"/>
        <charset val="134"/>
      </rPr>
      <t>+</t>
    </r>
    <r>
      <rPr>
        <sz val="10"/>
        <color theme="1"/>
        <rFont val="微软雅黑"/>
        <charset val="134"/>
      </rPr>
      <t>银行流水</t>
    </r>
  </si>
  <si>
    <t>20%-25%</t>
  </si>
  <si>
    <r>
      <rPr>
        <sz val="10"/>
        <color theme="1"/>
        <rFont val="微软雅黑"/>
        <charset val="134"/>
      </rPr>
      <t>收入</t>
    </r>
  </si>
  <si>
    <r>
      <rPr>
        <sz val="10"/>
        <color theme="1"/>
        <rFont val="微软雅黑"/>
        <charset val="134"/>
      </rPr>
      <t>月均收入、收入波动率、社保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公积金连缴月数</t>
    </r>
  </si>
  <si>
    <r>
      <rPr>
        <sz val="10"/>
        <color theme="1"/>
        <rFont val="微软雅黑"/>
        <charset val="134"/>
      </rPr>
      <t>工资流水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社保数据</t>
    </r>
  </si>
  <si>
    <r>
      <rPr>
        <sz val="10"/>
        <color theme="1"/>
        <rFont val="微软雅黑"/>
        <charset val="134"/>
      </rPr>
      <t>用户行为特征</t>
    </r>
  </si>
  <si>
    <r>
      <rPr>
        <sz val="10"/>
        <color theme="1"/>
        <rFont val="Arial"/>
        <charset val="134"/>
      </rPr>
      <t>APP</t>
    </r>
    <r>
      <rPr>
        <sz val="10"/>
        <color theme="1"/>
        <rFont val="微软雅黑"/>
        <charset val="134"/>
      </rPr>
      <t>使用频率、还款及时性、历史借还款笔数</t>
    </r>
  </si>
  <si>
    <r>
      <rPr>
        <sz val="10"/>
        <color theme="1"/>
        <rFont val="微软雅黑"/>
        <charset val="134"/>
      </rPr>
      <t>平台内部行为数据</t>
    </r>
  </si>
  <si>
    <t>10%-15%</t>
  </si>
  <si>
    <r>
      <rPr>
        <sz val="10"/>
        <color theme="1"/>
        <rFont val="微软雅黑"/>
        <charset val="134"/>
      </rPr>
      <t>用户基本特征</t>
    </r>
  </si>
  <si>
    <r>
      <rPr>
        <sz val="10"/>
        <color theme="1"/>
        <rFont val="微软雅黑"/>
        <charset val="134"/>
      </rPr>
      <t>年龄、学历、职业类型、婚育状态</t>
    </r>
  </si>
  <si>
    <r>
      <rPr>
        <sz val="10"/>
        <color theme="1"/>
        <rFont val="Arial"/>
        <charset val="134"/>
      </rPr>
      <t>KYC</t>
    </r>
    <r>
      <rPr>
        <sz val="10"/>
        <color theme="1"/>
        <rFont val="微软雅黑"/>
        <charset val="134"/>
      </rPr>
      <t>资料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运营商</t>
    </r>
  </si>
  <si>
    <t>5%-10%</t>
  </si>
  <si>
    <r>
      <rPr>
        <b/>
        <sz val="14"/>
        <color rgb="FF2E74B5"/>
        <rFont val="Arial"/>
        <charset val="134"/>
      </rPr>
      <t xml:space="preserve">3. </t>
    </r>
    <r>
      <rPr>
        <b/>
        <sz val="14"/>
        <color rgb="FF2E74B5"/>
        <rFont val="微软雅黑"/>
        <charset val="134"/>
      </rPr>
      <t>干货实例</t>
    </r>
  </si>
  <si>
    <r>
      <rPr>
        <sz val="11"/>
        <color theme="1"/>
        <rFont val="宋体"/>
        <charset val="134"/>
      </rPr>
      <t>背景</t>
    </r>
    <r>
      <rPr>
        <sz val="11"/>
        <color theme="1"/>
        <rFont val="Arial"/>
        <charset val="134"/>
      </rPr>
      <t>:</t>
    </r>
  </si>
  <si>
    <r>
      <rPr>
        <sz val="11"/>
        <color theme="1"/>
        <rFont val="Arial"/>
        <charset val="134"/>
      </rPr>
      <t>1).</t>
    </r>
    <r>
      <rPr>
        <sz val="11"/>
        <color theme="1"/>
        <rFont val="宋体"/>
        <charset val="134"/>
      </rPr>
      <t>某小额消费贷产品，额度范围</t>
    </r>
    <r>
      <rPr>
        <sz val="11"/>
        <color theme="1"/>
        <rFont val="Arial"/>
        <charset val="134"/>
      </rPr>
      <t>1000-50000</t>
    </r>
    <r>
      <rPr>
        <sz val="11"/>
        <color theme="1"/>
        <rFont val="宋体"/>
        <charset val="134"/>
      </rPr>
      <t>元，期限</t>
    </r>
    <r>
      <rPr>
        <sz val="11"/>
        <color theme="1"/>
        <rFont val="Arial"/>
        <charset val="134"/>
      </rPr>
      <t>3-12</t>
    </r>
    <r>
      <rPr>
        <sz val="11"/>
        <color theme="1"/>
        <rFont val="宋体"/>
        <charset val="134"/>
      </rPr>
      <t>个月，年化利率固定</t>
    </r>
    <r>
      <rPr>
        <sz val="11"/>
        <color theme="1"/>
        <rFont val="Arial"/>
        <charset val="134"/>
      </rPr>
      <t>18%</t>
    </r>
  </si>
  <si>
    <r>
      <rPr>
        <sz val="11"/>
        <color theme="1"/>
        <rFont val="Arial"/>
        <charset val="134"/>
      </rPr>
      <t>2).</t>
    </r>
    <r>
      <rPr>
        <sz val="11"/>
        <color theme="1"/>
        <rFont val="宋体"/>
        <charset val="134"/>
      </rPr>
      <t>原始策略（无评分分层）：所有通过信用</t>
    </r>
    <r>
      <rPr>
        <sz val="11"/>
        <color theme="1"/>
        <rFont val="Arial"/>
        <charset val="134"/>
      </rPr>
      <t>&amp;</t>
    </r>
    <r>
      <rPr>
        <sz val="11"/>
        <color theme="1"/>
        <rFont val="宋体"/>
        <charset val="134"/>
      </rPr>
      <t>反欺诈规则的用户统一给予月收入</t>
    </r>
    <r>
      <rPr>
        <sz val="11"/>
        <color theme="1"/>
        <rFont val="Arial"/>
        <charset val="134"/>
      </rPr>
      <t>5</t>
    </r>
    <r>
      <rPr>
        <sz val="11"/>
        <color theme="1"/>
        <rFont val="宋体"/>
        <charset val="134"/>
      </rPr>
      <t>倍额度，利率</t>
    </r>
    <r>
      <rPr>
        <sz val="11"/>
        <color theme="1"/>
        <rFont val="Arial"/>
        <charset val="134"/>
      </rPr>
      <t>18%</t>
    </r>
    <r>
      <rPr>
        <sz val="11"/>
        <color theme="1"/>
        <rFont val="宋体"/>
        <charset val="134"/>
      </rPr>
      <t>，期限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个月。历史通过率</t>
    </r>
    <r>
      <rPr>
        <sz val="11"/>
        <color theme="1"/>
        <rFont val="Arial"/>
        <charset val="134"/>
      </rPr>
      <t>80%</t>
    </r>
    <r>
      <rPr>
        <sz val="11"/>
        <color theme="1"/>
        <rFont val="宋体"/>
        <charset val="134"/>
      </rPr>
      <t>，整体坏账率（逾期</t>
    </r>
    <r>
      <rPr>
        <sz val="11"/>
        <color theme="1"/>
        <rFont val="Arial"/>
        <charset val="134"/>
      </rPr>
      <t>30</t>
    </r>
    <r>
      <rPr>
        <sz val="11"/>
        <color theme="1"/>
        <rFont val="宋体"/>
        <charset val="134"/>
      </rPr>
      <t>天以上）为</t>
    </r>
    <r>
      <rPr>
        <sz val="11"/>
        <color theme="1"/>
        <rFont val="Arial"/>
        <charset val="134"/>
      </rPr>
      <t>6%</t>
    </r>
    <r>
      <rPr>
        <sz val="11"/>
        <color theme="1"/>
        <rFont val="宋体"/>
        <charset val="134"/>
      </rPr>
      <t>，每笔平均放款</t>
    </r>
    <r>
      <rPr>
        <sz val="11"/>
        <color theme="1"/>
        <rFont val="Arial"/>
        <charset val="134"/>
      </rPr>
      <t>10000</t>
    </r>
    <r>
      <rPr>
        <sz val="11"/>
        <color theme="1"/>
        <rFont val="宋体"/>
        <charset val="134"/>
      </rPr>
      <t>元</t>
    </r>
  </si>
  <si>
    <r>
      <rPr>
        <sz val="11"/>
        <color theme="1"/>
        <rFont val="Arial"/>
        <charset val="134"/>
      </rPr>
      <t>3).</t>
    </r>
    <r>
      <rPr>
        <sz val="11"/>
        <color theme="1"/>
        <rFont val="宋体"/>
        <charset val="134"/>
      </rPr>
      <t>成本：资金成本</t>
    </r>
    <r>
      <rPr>
        <sz val="11"/>
        <color theme="1"/>
        <rFont val="Arial"/>
        <charset val="134"/>
      </rPr>
      <t>6%</t>
    </r>
    <r>
      <rPr>
        <sz val="11"/>
        <color theme="1"/>
        <rFont val="宋体"/>
        <charset val="134"/>
      </rPr>
      <t>，运营成本</t>
    </r>
    <r>
      <rPr>
        <sz val="11"/>
        <color theme="1"/>
        <rFont val="Arial"/>
        <charset val="134"/>
      </rPr>
      <t>2%</t>
    </r>
    <r>
      <rPr>
        <sz val="11"/>
        <color theme="1"/>
        <rFont val="宋体"/>
        <charset val="134"/>
      </rPr>
      <t>，坏账损失</t>
    </r>
    <r>
      <rPr>
        <sz val="11"/>
        <color theme="1"/>
        <rFont val="Arial"/>
        <charset val="134"/>
      </rPr>
      <t>6%</t>
    </r>
  </si>
  <si>
    <r>
      <rPr>
        <sz val="11"/>
        <color theme="1"/>
        <rFont val="宋体"/>
        <charset val="134"/>
      </rPr>
      <t>假设放</t>
    </r>
    <r>
      <rPr>
        <sz val="11"/>
        <color theme="1"/>
        <rFont val="Arial"/>
        <charset val="134"/>
      </rPr>
      <t>1000</t>
    </r>
    <r>
      <rPr>
        <sz val="11"/>
        <color theme="1"/>
        <rFont val="宋体"/>
        <charset val="134"/>
      </rPr>
      <t>笔</t>
    </r>
  </si>
  <si>
    <r>
      <rPr>
        <b/>
        <sz val="11"/>
        <color theme="1"/>
        <rFont val="宋体"/>
        <charset val="134"/>
      </rPr>
      <t>根据业务实际调整</t>
    </r>
  </si>
  <si>
    <r>
      <rPr>
        <b/>
        <sz val="10"/>
        <color rgb="FFFFFFFF"/>
        <rFont val="宋体"/>
        <charset val="134"/>
      </rPr>
      <t>申请人数</t>
    </r>
  </si>
  <si>
    <r>
      <rPr>
        <b/>
        <sz val="10"/>
        <color rgb="FFFFFFFF"/>
        <rFont val="宋体"/>
        <charset val="134"/>
      </rPr>
      <t>通过人数</t>
    </r>
  </si>
  <si>
    <r>
      <rPr>
        <b/>
        <sz val="10"/>
        <color rgb="FFFFFFFF"/>
        <rFont val="宋体"/>
        <charset val="134"/>
      </rPr>
      <t>人均借款金额</t>
    </r>
  </si>
  <si>
    <t>GMV</t>
  </si>
  <si>
    <r>
      <rPr>
        <b/>
        <sz val="10"/>
        <color rgb="FFFFFFFF"/>
        <rFont val="宋体"/>
        <charset val="134"/>
      </rPr>
      <t>利息</t>
    </r>
  </si>
  <si>
    <r>
      <rPr>
        <b/>
        <sz val="10"/>
        <color rgb="FFFFFFFF"/>
        <rFont val="宋体"/>
        <charset val="134"/>
      </rPr>
      <t>资金成本</t>
    </r>
  </si>
  <si>
    <r>
      <rPr>
        <b/>
        <sz val="10"/>
        <color rgb="FFFFFFFF"/>
        <rFont val="宋体"/>
        <charset val="134"/>
      </rPr>
      <t>坏账</t>
    </r>
  </si>
  <si>
    <r>
      <rPr>
        <b/>
        <sz val="10"/>
        <color rgb="FFFFFFFF"/>
        <rFont val="宋体"/>
        <charset val="134"/>
      </rPr>
      <t>运营成本</t>
    </r>
  </si>
  <si>
    <r>
      <rPr>
        <b/>
        <sz val="10"/>
        <color rgb="FFFFFFFF"/>
        <rFont val="宋体"/>
        <charset val="134"/>
      </rPr>
      <t>利润</t>
    </r>
  </si>
  <si>
    <r>
      <rPr>
        <b/>
        <sz val="10"/>
        <color rgb="FFFFFFFF"/>
        <rFont val="宋体"/>
        <charset val="134"/>
      </rPr>
      <t>利润率</t>
    </r>
  </si>
  <si>
    <r>
      <rPr>
        <sz val="11"/>
        <color theme="1"/>
        <rFont val="宋体"/>
        <charset val="134"/>
      </rPr>
      <t>原始策略</t>
    </r>
  </si>
  <si>
    <r>
      <rPr>
        <b/>
        <sz val="11"/>
        <color theme="1"/>
        <rFont val="宋体"/>
        <charset val="134"/>
      </rPr>
      <t>用户分层后</t>
    </r>
  </si>
  <si>
    <r>
      <rPr>
        <sz val="11"/>
        <color rgb="FFFF0000"/>
        <rFont val="宋体"/>
        <charset val="134"/>
      </rPr>
      <t>直接通过</t>
    </r>
  </si>
  <si>
    <r>
      <rPr>
        <sz val="11"/>
        <color theme="1"/>
        <rFont val="Arial"/>
        <charset val="134"/>
      </rPr>
      <t>A</t>
    </r>
    <r>
      <rPr>
        <sz val="11"/>
        <color theme="1"/>
        <rFont val="宋体"/>
        <charset val="134"/>
      </rPr>
      <t>级（极低风险）</t>
    </r>
  </si>
  <si>
    <r>
      <rPr>
        <sz val="11"/>
        <color theme="1"/>
        <rFont val="Arial"/>
        <charset val="134"/>
      </rPr>
      <t>B</t>
    </r>
    <r>
      <rPr>
        <sz val="11"/>
        <color theme="1"/>
        <rFont val="宋体"/>
        <charset val="134"/>
      </rPr>
      <t>级（低风险）</t>
    </r>
  </si>
  <si>
    <r>
      <rPr>
        <sz val="11"/>
        <color rgb="FFFF0000"/>
        <rFont val="宋体"/>
        <charset val="134"/>
      </rPr>
      <t>走人审</t>
    </r>
  </si>
  <si>
    <r>
      <rPr>
        <sz val="11"/>
        <color theme="1"/>
        <rFont val="Arial"/>
        <charset val="134"/>
      </rPr>
      <t>C</t>
    </r>
    <r>
      <rPr>
        <sz val="11"/>
        <color theme="1"/>
        <rFont val="宋体"/>
        <charset val="134"/>
      </rPr>
      <t>级（中风险）</t>
    </r>
  </si>
  <si>
    <r>
      <rPr>
        <sz val="11"/>
        <color rgb="FFFF0000"/>
        <rFont val="宋体"/>
        <charset val="134"/>
      </rPr>
      <t>走人审</t>
    </r>
    <r>
      <rPr>
        <sz val="11"/>
        <color rgb="FFFF0000"/>
        <rFont val="Arial"/>
        <charset val="134"/>
      </rPr>
      <t>/</t>
    </r>
    <r>
      <rPr>
        <sz val="11"/>
        <color rgb="FFFF0000"/>
        <rFont val="宋体"/>
        <charset val="134"/>
      </rPr>
      <t>或拒绝</t>
    </r>
  </si>
  <si>
    <r>
      <rPr>
        <sz val="11"/>
        <color theme="1"/>
        <rFont val="Arial"/>
        <charset val="134"/>
      </rPr>
      <t>D</t>
    </r>
    <r>
      <rPr>
        <sz val="11"/>
        <color theme="1"/>
        <rFont val="宋体"/>
        <charset val="134"/>
      </rPr>
      <t>级（高风险）</t>
    </r>
  </si>
  <si>
    <r>
      <rPr>
        <sz val="11"/>
        <color rgb="FFFF0000"/>
        <rFont val="宋体"/>
        <charset val="134"/>
      </rPr>
      <t>拒绝</t>
    </r>
  </si>
  <si>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级（极高风险）</t>
    </r>
  </si>
  <si>
    <r>
      <rPr>
        <b/>
        <sz val="11"/>
        <color theme="1"/>
        <rFont val="宋体"/>
        <charset val="134"/>
      </rPr>
      <t>合计</t>
    </r>
  </si>
  <si>
    <r>
      <rPr>
        <b/>
        <sz val="11"/>
        <color theme="1"/>
        <rFont val="宋体"/>
        <charset val="134"/>
      </rPr>
      <t>分层后结论</t>
    </r>
    <r>
      <rPr>
        <b/>
        <sz val="11"/>
        <color theme="1"/>
        <rFont val="Arial"/>
        <charset val="134"/>
      </rPr>
      <t>: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</si>
  <si>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坏账率从</t>
    </r>
    <r>
      <rPr>
        <sz val="11"/>
        <color theme="1"/>
        <rFont val="Arial"/>
        <charset val="134"/>
      </rPr>
      <t>6%</t>
    </r>
    <r>
      <rPr>
        <sz val="11"/>
        <color theme="1"/>
        <rFont val="宋体"/>
        <charset val="134"/>
      </rPr>
      <t>降至</t>
    </r>
    <r>
      <rPr>
        <sz val="11"/>
        <color theme="1"/>
        <rFont val="Arial"/>
        <charset val="134"/>
      </rPr>
      <t>3.6%</t>
    </r>
    <r>
      <rPr>
        <sz val="11"/>
        <color theme="1"/>
        <rFont val="宋体"/>
        <charset val="134"/>
      </rPr>
      <t>，降幅</t>
    </r>
    <r>
      <rPr>
        <sz val="11"/>
        <color theme="1"/>
        <rFont val="Arial"/>
        <charset val="134"/>
      </rPr>
      <t>40%</t>
    </r>
  </si>
  <si>
    <r>
      <rPr>
        <sz val="11"/>
        <color theme="1"/>
        <rFont val="Arial"/>
        <charset val="134"/>
      </rPr>
      <t xml:space="preserve">     </t>
    </r>
    <r>
      <rPr>
        <sz val="11"/>
        <color theme="1"/>
        <rFont val="宋体"/>
        <charset val="134"/>
      </rPr>
      <t>拒绝</t>
    </r>
    <r>
      <rPr>
        <sz val="11"/>
        <color theme="1"/>
        <rFont val="Arial"/>
        <charset val="134"/>
      </rPr>
      <t>E</t>
    </r>
    <r>
      <rPr>
        <sz val="11"/>
        <color theme="1"/>
        <rFont val="宋体"/>
        <charset val="134"/>
      </rPr>
      <t>层（预期坏账</t>
    </r>
    <r>
      <rPr>
        <sz val="11"/>
        <color theme="1"/>
        <rFont val="Arial"/>
        <charset val="134"/>
      </rPr>
      <t>15%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charset val="134"/>
      </rPr>
      <t>+ D</t>
    </r>
    <r>
      <rPr>
        <sz val="11"/>
        <color theme="1"/>
        <rFont val="宋体"/>
        <charset val="134"/>
      </rPr>
      <t>层部分拒绝（实际通过率</t>
    </r>
    <r>
      <rPr>
        <sz val="11"/>
        <color theme="1"/>
        <rFont val="Arial"/>
        <charset val="134"/>
      </rPr>
      <t>60%</t>
    </r>
    <r>
      <rPr>
        <sz val="11"/>
        <color theme="1"/>
        <rFont val="宋体"/>
        <charset val="134"/>
      </rPr>
      <t>），把高风险尾巴切掉</t>
    </r>
  </si>
  <si>
    <r>
      <rPr>
        <sz val="11"/>
        <color theme="1"/>
        <rFont val="Arial"/>
        <charset val="134"/>
      </rPr>
      <t xml:space="preserve">2. </t>
    </r>
    <r>
      <rPr>
        <sz val="11"/>
        <color theme="1"/>
        <rFont val="宋体"/>
        <charset val="134"/>
      </rPr>
      <t>利润从</t>
    </r>
    <r>
      <rPr>
        <sz val="11"/>
        <color theme="1"/>
        <rFont val="Arial"/>
        <charset val="134"/>
      </rPr>
      <t>40</t>
    </r>
    <r>
      <rPr>
        <sz val="11"/>
        <color theme="1"/>
        <rFont val="宋体"/>
        <charset val="134"/>
      </rPr>
      <t>万提升至</t>
    </r>
    <r>
      <rPr>
        <sz val="11"/>
        <color theme="1"/>
        <rFont val="Arial"/>
        <charset val="134"/>
      </rPr>
      <t>55</t>
    </r>
    <r>
      <rPr>
        <sz val="11"/>
        <color theme="1"/>
        <rFont val="宋体"/>
        <charset val="134"/>
      </rPr>
      <t>万，增长</t>
    </r>
    <r>
      <rPr>
        <sz val="11"/>
        <color theme="1"/>
        <rFont val="Arial"/>
        <charset val="134"/>
      </rPr>
      <t>37%</t>
    </r>
  </si>
  <si>
    <r>
      <rPr>
        <sz val="11"/>
        <color theme="1"/>
        <rFont val="Arial"/>
        <charset val="134"/>
      </rPr>
      <t xml:space="preserve">    </t>
    </r>
    <r>
      <rPr>
        <sz val="11"/>
        <color theme="1"/>
        <rFont val="宋体"/>
        <charset val="134"/>
      </rPr>
      <t>给</t>
    </r>
    <r>
      <rPr>
        <sz val="11"/>
        <color theme="1"/>
        <rFont val="Arial"/>
        <charset val="134"/>
      </rPr>
      <t>A/B/C</t>
    </r>
    <r>
      <rPr>
        <sz val="11"/>
        <color theme="1"/>
        <rFont val="宋体"/>
        <charset val="134"/>
      </rPr>
      <t>层更高额度（虽利率略降，但规模扩大</t>
    </r>
    <r>
      <rPr>
        <sz val="11"/>
        <color theme="1"/>
        <rFont val="Arial"/>
        <charset val="134"/>
      </rPr>
      <t>+</t>
    </r>
    <r>
      <rPr>
        <sz val="11"/>
        <color theme="1"/>
        <rFont val="宋体"/>
        <charset val="134"/>
      </rPr>
      <t>坏账减少），</t>
    </r>
    <r>
      <rPr>
        <sz val="11"/>
        <color theme="1"/>
        <rFont val="Arial"/>
        <charset val="134"/>
      </rPr>
      <t>D</t>
    </r>
    <r>
      <rPr>
        <sz val="11"/>
        <color theme="1"/>
        <rFont val="宋体"/>
        <charset val="134"/>
      </rPr>
      <t>层适当提价覆盖风险</t>
    </r>
  </si>
  <si>
    <r>
      <rPr>
        <sz val="11"/>
        <color theme="1"/>
        <rFont val="Arial"/>
        <charset val="134"/>
      </rPr>
      <t xml:space="preserve">3. </t>
    </r>
    <r>
      <rPr>
        <sz val="11"/>
        <color theme="1"/>
        <rFont val="宋体"/>
        <charset val="134"/>
      </rPr>
      <t>从一刀切到差异化额度与定价，实现收益最大化</t>
    </r>
  </si>
  <si>
    <r>
      <rPr>
        <sz val="12"/>
        <color rgb="FF0F1115"/>
        <rFont val="宋体"/>
        <charset val="134"/>
      </rPr>
      <t>低风险（</t>
    </r>
    <r>
      <rPr>
        <sz val="12"/>
        <color rgb="FF0F1115"/>
        <rFont val="Segoe UI"/>
        <charset val="134"/>
      </rPr>
      <t>A/B</t>
    </r>
    <r>
      <rPr>
        <sz val="12"/>
        <color rgb="FF0F1115"/>
        <rFont val="宋体"/>
        <charset val="134"/>
      </rPr>
      <t>层）：高额度</t>
    </r>
    <r>
      <rPr>
        <sz val="12"/>
        <color rgb="FF0F1115"/>
        <rFont val="Segoe UI"/>
        <charset val="134"/>
      </rPr>
      <t>+</t>
    </r>
    <r>
      <rPr>
        <sz val="12"/>
        <color rgb="FF0F1115"/>
        <rFont val="宋体"/>
        <charset val="134"/>
      </rPr>
      <t>低利率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赚规模，稳利润</t>
    </r>
  </si>
  <si>
    <r>
      <rPr>
        <sz val="12"/>
        <color rgb="FF0F1115"/>
        <rFont val="宋体"/>
        <charset val="134"/>
      </rPr>
      <t>中风险（</t>
    </r>
    <r>
      <rPr>
        <sz val="12"/>
        <color rgb="FF0F1115"/>
        <rFont val="Segoe UI"/>
        <charset val="134"/>
      </rPr>
      <t>C</t>
    </r>
    <r>
      <rPr>
        <sz val="12"/>
        <color rgb="FF0F1115"/>
        <rFont val="宋体"/>
        <charset val="134"/>
      </rPr>
      <t>层）：中额度</t>
    </r>
    <r>
      <rPr>
        <sz val="12"/>
        <color rgb="FF0F1115"/>
        <rFont val="Segoe UI"/>
        <charset val="134"/>
      </rPr>
      <t>+</t>
    </r>
    <r>
      <rPr>
        <sz val="12"/>
        <color rgb="FF0F1115"/>
        <rFont val="宋体"/>
        <charset val="134"/>
      </rPr>
      <t>中高利率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赚风险溢价</t>
    </r>
  </si>
  <si>
    <r>
      <rPr>
        <sz val="12"/>
        <color rgb="FF0F1115"/>
        <rFont val="宋体"/>
        <charset val="134"/>
      </rPr>
      <t>中高风险（</t>
    </r>
    <r>
      <rPr>
        <sz val="12"/>
        <color rgb="FF0F1115"/>
        <rFont val="Segoe UI"/>
        <charset val="134"/>
      </rPr>
      <t>D</t>
    </r>
    <r>
      <rPr>
        <sz val="12"/>
        <color rgb="FF0F1115"/>
        <rFont val="宋体"/>
        <charset val="134"/>
      </rPr>
      <t>层）：实施“低额度、短期限、高定价、强风控”的试探性策略</t>
    </r>
  </si>
  <si>
    <r>
      <rPr>
        <sz val="12"/>
        <color rgb="FF0F1115"/>
        <rFont val="宋体"/>
        <charset val="134"/>
      </rPr>
      <t>高风险（E层）：直接拒绝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止损</t>
    </r>
  </si>
  <si>
    <r>
      <rPr>
        <b/>
        <sz val="14"/>
        <color rgb="FF1F3864"/>
        <rFont val="微软雅黑"/>
        <charset val="134"/>
      </rPr>
      <t>二</t>
    </r>
    <r>
      <rPr>
        <b/>
        <sz val="14"/>
        <color rgb="FF1F3864"/>
        <rFont val="Arial"/>
        <charset val="134"/>
      </rPr>
      <t>.</t>
    </r>
    <r>
      <rPr>
        <b/>
        <sz val="14"/>
        <color rgb="FF1F3864"/>
        <rFont val="微软雅黑"/>
        <charset val="134"/>
      </rPr>
      <t>风控策略之冷启动</t>
    </r>
  </si>
  <si>
    <r>
      <rPr>
        <b/>
        <sz val="11"/>
        <color rgb="FF2E75B6"/>
        <rFont val="Arial"/>
        <charset val="134"/>
      </rPr>
      <t xml:space="preserve">1. </t>
    </r>
    <r>
      <rPr>
        <b/>
        <sz val="11"/>
        <color rgb="FF2E75B6"/>
        <rFont val="微软雅黑"/>
        <charset val="134"/>
      </rPr>
      <t>根据数据积累程度，将冷启动划分为三个阶段：</t>
    </r>
  </si>
  <si>
    <r>
      <rPr>
        <b/>
        <sz val="10"/>
        <color rgb="FFFFFFFF"/>
        <rFont val="宋体"/>
        <charset val="134"/>
      </rPr>
      <t>阶段</t>
    </r>
  </si>
  <si>
    <r>
      <rPr>
        <b/>
        <sz val="10"/>
        <color rgb="FFFFFFFF"/>
        <rFont val="宋体"/>
        <charset val="134"/>
      </rPr>
      <t>时间范围</t>
    </r>
  </si>
  <si>
    <r>
      <rPr>
        <b/>
        <sz val="10"/>
        <color rgb="FFFFFFFF"/>
        <rFont val="宋体"/>
        <charset val="134"/>
      </rPr>
      <t>数据特征</t>
    </r>
  </si>
  <si>
    <r>
      <rPr>
        <b/>
        <sz val="10"/>
        <color rgb="FFFFFFFF"/>
        <rFont val="宋体"/>
        <charset val="134"/>
      </rPr>
      <t>核心策略目标</t>
    </r>
  </si>
  <si>
    <r>
      <rPr>
        <sz val="10"/>
        <color theme="1"/>
        <rFont val="宋体"/>
        <charset val="134"/>
      </rPr>
      <t>极冷期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</si>
  <si>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Arial"/>
        <charset val="134"/>
      </rPr>
      <t>1-3</t>
    </r>
    <r>
      <rPr>
        <sz val="10"/>
        <color theme="1"/>
        <rFont val="宋体"/>
        <charset val="134"/>
      </rPr>
      <t>个月</t>
    </r>
  </si>
  <si>
    <r>
      <rPr>
        <sz val="10"/>
        <color theme="1"/>
        <rFont val="宋体"/>
        <charset val="134"/>
      </rPr>
      <t>数据极少</t>
    </r>
  </si>
  <si>
    <r>
      <rPr>
        <sz val="10"/>
        <color theme="1"/>
        <rFont val="宋体"/>
        <charset val="134"/>
      </rPr>
      <t>严格准入，防黑产</t>
    </r>
  </si>
  <si>
    <r>
      <rPr>
        <sz val="10"/>
        <color theme="1"/>
        <rFont val="宋体"/>
        <charset val="134"/>
      </rPr>
      <t>预热期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</si>
  <si>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Arial"/>
        <charset val="134"/>
      </rPr>
      <t>4-6</t>
    </r>
    <r>
      <rPr>
        <sz val="10"/>
        <color theme="1"/>
        <rFont val="宋体"/>
        <charset val="134"/>
      </rPr>
      <t>个月</t>
    </r>
  </si>
  <si>
    <r>
      <rPr>
        <sz val="10"/>
        <color theme="1"/>
        <rFont val="宋体"/>
        <charset val="134"/>
      </rPr>
      <t>数据积累</t>
    </r>
  </si>
  <si>
    <r>
      <rPr>
        <sz val="10"/>
        <color theme="1"/>
        <rFont val="宋体"/>
        <charset val="134"/>
      </rPr>
      <t>动态调整，小步快跑</t>
    </r>
  </si>
  <si>
    <r>
      <rPr>
        <sz val="10"/>
        <color theme="1"/>
        <rFont val="宋体"/>
        <charset val="134"/>
      </rPr>
      <t>成长期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</si>
  <si>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Arial"/>
        <charset val="134"/>
      </rPr>
      <t>7-12</t>
    </r>
    <r>
      <rPr>
        <sz val="10"/>
        <color theme="1"/>
        <rFont val="宋体"/>
        <charset val="134"/>
      </rPr>
      <t>个月</t>
    </r>
  </si>
  <si>
    <r>
      <rPr>
        <sz val="10"/>
        <color theme="1"/>
        <rFont val="宋体"/>
        <charset val="134"/>
      </rPr>
      <t>数据较充分</t>
    </r>
  </si>
  <si>
    <r>
      <rPr>
        <sz val="10"/>
        <color theme="1"/>
        <rFont val="宋体"/>
        <charset val="134"/>
      </rPr>
      <t>模型切换，精细化运营</t>
    </r>
  </si>
  <si>
    <r>
      <rPr>
        <b/>
        <sz val="11"/>
        <color rgb="FF2E75B6"/>
        <rFont val="Arial"/>
        <charset val="134"/>
      </rPr>
      <t xml:space="preserve">2. </t>
    </r>
    <r>
      <rPr>
        <b/>
        <sz val="11"/>
        <color rgb="FF2E75B6"/>
        <rFont val="微软雅黑"/>
        <charset val="134"/>
      </rPr>
      <t>设计某海外信贷产品</t>
    </r>
  </si>
  <si>
    <r>
      <rPr>
        <b/>
        <sz val="11"/>
        <color theme="1"/>
        <rFont val="Arial"/>
        <charset val="134"/>
      </rPr>
      <t xml:space="preserve">2.1 </t>
    </r>
    <r>
      <rPr>
        <b/>
        <sz val="11"/>
        <color theme="1"/>
        <rFont val="宋体"/>
        <charset val="134"/>
      </rPr>
      <t>常用基本规则</t>
    </r>
  </si>
  <si>
    <r>
      <rPr>
        <b/>
        <sz val="10"/>
        <color rgb="FFFFFFFF"/>
        <rFont val="宋体"/>
        <charset val="134"/>
      </rPr>
      <t>决策集</t>
    </r>
  </si>
  <si>
    <r>
      <rPr>
        <b/>
        <sz val="10"/>
        <color rgb="FFFFFFFF"/>
        <rFont val="宋体"/>
        <charset val="134"/>
      </rPr>
      <t>规则代码</t>
    </r>
  </si>
  <si>
    <r>
      <rPr>
        <b/>
        <sz val="10"/>
        <color rgb="FFFFFFFF"/>
        <rFont val="宋体"/>
        <charset val="134"/>
      </rPr>
      <t>规则名称</t>
    </r>
  </si>
  <si>
    <r>
      <rPr>
        <b/>
        <sz val="10"/>
        <color rgb="FFFFFFFF"/>
        <rFont val="宋体"/>
        <charset val="134"/>
      </rPr>
      <t>规则描述</t>
    </r>
  </si>
  <si>
    <r>
      <rPr>
        <sz val="11"/>
        <color theme="1"/>
        <rFont val="宋体"/>
        <charset val="134"/>
      </rPr>
      <t>准入</t>
    </r>
  </si>
  <si>
    <t>D101</t>
  </si>
  <si>
    <r>
      <rPr>
        <sz val="11"/>
        <color theme="1"/>
        <rFont val="宋体"/>
        <charset val="134"/>
      </rPr>
      <t>年龄限制</t>
    </r>
  </si>
  <si>
    <t>age&lt;=18 and age&gt;=60</t>
  </si>
  <si>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等等</t>
    </r>
  </si>
  <si>
    <r>
      <rPr>
        <sz val="11"/>
        <color theme="1"/>
        <rFont val="宋体"/>
        <charset val="134"/>
      </rPr>
      <t>反欺诈决策点</t>
    </r>
  </si>
  <si>
    <t>D201</t>
  </si>
  <si>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天内同一设备关联不同借款人身份证数</t>
    </r>
  </si>
  <si>
    <t>device_cnt&gt;=2</t>
  </si>
  <si>
    <r>
      <rPr>
        <sz val="11"/>
        <color theme="1"/>
        <rFont val="宋体"/>
        <charset val="134"/>
      </rPr>
      <t>行为数据决策点</t>
    </r>
  </si>
  <si>
    <t>D301</t>
  </si>
  <si>
    <r>
      <rPr>
        <sz val="11"/>
        <color theme="1"/>
        <rFont val="宋体"/>
        <charset val="134"/>
      </rPr>
      <t>手机联系人个数</t>
    </r>
  </si>
  <si>
    <t>contact_num&lt;=5</t>
  </si>
  <si>
    <r>
      <rPr>
        <sz val="11"/>
        <color theme="1"/>
        <rFont val="宋体"/>
        <charset val="134"/>
      </rPr>
      <t>外部数据决策点</t>
    </r>
  </si>
  <si>
    <t>D401</t>
  </si>
  <si>
    <r>
      <rPr>
        <sz val="11"/>
        <color theme="1"/>
        <rFont val="宋体"/>
        <charset val="134"/>
      </rPr>
      <t>央行征信黑名单</t>
    </r>
  </si>
  <si>
    <t>is_black=1</t>
  </si>
  <si>
    <r>
      <rPr>
        <sz val="11"/>
        <color rgb="FFFF0000"/>
        <rFont val="Arial"/>
        <charset val="134"/>
      </rPr>
      <t>...</t>
    </r>
    <r>
      <rPr>
        <sz val="11"/>
        <color rgb="FFFF0000"/>
        <rFont val="宋体"/>
        <charset val="134"/>
      </rPr>
      <t>按需可以新增和删减</t>
    </r>
  </si>
  <si>
    <r>
      <rPr>
        <sz val="11"/>
        <color theme="1"/>
        <rFont val="Arial"/>
        <charset val="134"/>
      </rPr>
      <t>A</t>
    </r>
    <r>
      <rPr>
        <sz val="11"/>
        <color theme="1"/>
        <rFont val="宋体"/>
        <charset val="134"/>
      </rPr>
      <t>卡评分</t>
    </r>
  </si>
  <si>
    <r>
      <rPr>
        <sz val="11"/>
        <color theme="1"/>
        <rFont val="Arial"/>
        <charset val="134"/>
      </rPr>
      <t>Ascore</t>
    </r>
    <r>
      <rPr>
        <sz val="11"/>
        <color theme="1"/>
        <rFont val="宋体"/>
        <charset val="134"/>
      </rPr>
      <t>评分</t>
    </r>
  </si>
  <si>
    <t>ascore&lt;=400</t>
  </si>
  <si>
    <r>
      <rPr>
        <b/>
        <sz val="11"/>
        <color theme="1"/>
        <rFont val="Arial"/>
        <charset val="134"/>
      </rPr>
      <t xml:space="preserve">2.2 </t>
    </r>
    <r>
      <rPr>
        <b/>
        <sz val="11"/>
        <color theme="1"/>
        <rFont val="宋体"/>
        <charset val="134"/>
      </rPr>
      <t>授信输出额度</t>
    </r>
    <r>
      <rPr>
        <b/>
        <sz val="11"/>
        <color theme="1"/>
        <rFont val="Arial"/>
        <charset val="134"/>
      </rPr>
      <t>&amp;</t>
    </r>
    <r>
      <rPr>
        <b/>
        <sz val="11"/>
        <color theme="1"/>
        <rFont val="宋体"/>
        <charset val="134"/>
      </rPr>
      <t>定价</t>
    </r>
  </si>
  <si>
    <r>
      <rPr>
        <sz val="11"/>
        <color theme="1"/>
        <rFont val="宋体"/>
        <charset val="134"/>
      </rPr>
      <t>额度</t>
    </r>
    <r>
      <rPr>
        <sz val="11"/>
        <color theme="1"/>
        <rFont val="Arial"/>
        <charset val="134"/>
      </rPr>
      <t xml:space="preserve"> --&gt; credit_limit</t>
    </r>
  </si>
  <si>
    <r>
      <rPr>
        <sz val="11"/>
        <color theme="1"/>
        <rFont val="宋体"/>
        <charset val="134"/>
      </rPr>
      <t>定价</t>
    </r>
    <r>
      <rPr>
        <sz val="11"/>
        <color theme="1"/>
        <rFont val="Arial"/>
        <charset val="134"/>
      </rPr>
      <t xml:space="preserve"> --&gt; price</t>
    </r>
  </si>
  <si>
    <r>
      <rPr>
        <b/>
        <sz val="11"/>
        <color theme="1"/>
        <rFont val="Arial"/>
        <charset val="134"/>
      </rPr>
      <t xml:space="preserve">2.3 </t>
    </r>
    <r>
      <rPr>
        <b/>
        <sz val="11"/>
        <color theme="1"/>
        <rFont val="宋体"/>
        <charset val="134"/>
      </rPr>
      <t>监控</t>
    </r>
  </si>
  <si>
    <r>
      <rPr>
        <b/>
        <sz val="11"/>
        <color theme="1"/>
        <rFont val="Arial"/>
        <charset val="134"/>
      </rPr>
      <t xml:space="preserve">----A. </t>
    </r>
    <r>
      <rPr>
        <b/>
        <sz val="11"/>
        <color theme="1"/>
        <rFont val="宋体"/>
        <charset val="134"/>
      </rPr>
      <t>授信</t>
    </r>
  </si>
  <si>
    <r>
      <rPr>
        <b/>
        <sz val="10"/>
        <color rgb="FFFFFFFF"/>
        <rFont val="微软雅黑"/>
        <charset val="134"/>
      </rPr>
      <t>申请时间</t>
    </r>
  </si>
  <si>
    <r>
      <rPr>
        <sz val="11"/>
        <color theme="1"/>
        <rFont val="宋体"/>
        <charset val="134"/>
      </rPr>
      <t>申请量</t>
    </r>
  </si>
  <si>
    <r>
      <rPr>
        <sz val="11"/>
        <color theme="1"/>
        <rFont val="宋体"/>
        <charset val="134"/>
      </rPr>
      <t>决策点</t>
    </r>
    <r>
      <rPr>
        <sz val="11"/>
        <color theme="1"/>
        <rFont val="Arial"/>
        <charset val="134"/>
      </rPr>
      <t>1</t>
    </r>
  </si>
  <si>
    <r>
      <rPr>
        <sz val="11"/>
        <color theme="1"/>
        <rFont val="宋体"/>
        <charset val="134"/>
      </rPr>
      <t>决策点</t>
    </r>
    <r>
      <rPr>
        <sz val="11"/>
        <color theme="1"/>
        <rFont val="Arial"/>
        <charset val="134"/>
      </rPr>
      <t>2</t>
    </r>
  </si>
  <si>
    <r>
      <rPr>
        <sz val="11"/>
        <color theme="1"/>
        <rFont val="宋体"/>
        <charset val="134"/>
      </rPr>
      <t>决策点</t>
    </r>
    <r>
      <rPr>
        <sz val="11"/>
        <color theme="1"/>
        <rFont val="Arial"/>
        <charset val="134"/>
      </rPr>
      <t>3</t>
    </r>
  </si>
  <si>
    <r>
      <rPr>
        <sz val="11"/>
        <color theme="1"/>
        <rFont val="宋体"/>
        <charset val="134"/>
      </rPr>
      <t>决策点</t>
    </r>
    <r>
      <rPr>
        <sz val="11"/>
        <color theme="1"/>
        <rFont val="Arial"/>
        <charset val="134"/>
      </rPr>
      <t>4</t>
    </r>
  </si>
  <si>
    <r>
      <rPr>
        <sz val="11"/>
        <color theme="1"/>
        <rFont val="宋体"/>
        <charset val="134"/>
      </rPr>
      <t>决策点</t>
    </r>
    <r>
      <rPr>
        <sz val="11"/>
        <color theme="1"/>
        <rFont val="Arial"/>
        <charset val="134"/>
      </rPr>
      <t>5</t>
    </r>
  </si>
  <si>
    <t>approval</t>
  </si>
  <si>
    <r>
      <rPr>
        <sz val="11"/>
        <color theme="1"/>
        <rFont val="宋体"/>
        <charset val="134"/>
      </rPr>
      <t>人均额度</t>
    </r>
  </si>
  <si>
    <r>
      <rPr>
        <sz val="11"/>
        <color theme="1"/>
        <rFont val="宋体"/>
        <charset val="134"/>
      </rPr>
      <t>人均定价</t>
    </r>
  </si>
  <si>
    <r>
      <rPr>
        <sz val="11"/>
        <color theme="1"/>
        <rFont val="Arial"/>
        <charset val="134"/>
      </rPr>
      <t>T+1</t>
    </r>
    <r>
      <rPr>
        <sz val="11"/>
        <color theme="1"/>
        <rFont val="宋体"/>
        <charset val="134"/>
      </rPr>
      <t>支用率</t>
    </r>
  </si>
  <si>
    <r>
      <rPr>
        <sz val="11"/>
        <color theme="1"/>
        <rFont val="Arial"/>
        <charset val="134"/>
      </rPr>
      <t>T+30</t>
    </r>
    <r>
      <rPr>
        <sz val="11"/>
        <color theme="1"/>
        <rFont val="宋体"/>
        <charset val="134"/>
      </rPr>
      <t>支用率</t>
    </r>
  </si>
  <si>
    <r>
      <rPr>
        <b/>
        <sz val="11"/>
        <color theme="1"/>
        <rFont val="Arial"/>
        <charset val="134"/>
      </rPr>
      <t>----B.</t>
    </r>
    <r>
      <rPr>
        <b/>
        <sz val="11"/>
        <color theme="1"/>
        <rFont val="宋体"/>
        <charset val="134"/>
      </rPr>
      <t>交易</t>
    </r>
  </si>
  <si>
    <r>
      <rPr>
        <sz val="11"/>
        <color theme="1"/>
        <rFont val="宋体"/>
        <charset val="134"/>
      </rPr>
      <t>交易金额</t>
    </r>
  </si>
  <si>
    <r>
      <rPr>
        <sz val="11"/>
        <color theme="1"/>
        <rFont val="宋体"/>
        <charset val="134"/>
      </rPr>
      <t>人均交易金额</t>
    </r>
  </si>
  <si>
    <t>笔均金额</t>
  </si>
  <si>
    <t>笔均定价</t>
  </si>
  <si>
    <t>FPD1%</t>
  </si>
  <si>
    <t>FPD7%</t>
  </si>
  <si>
    <t>FPD30%</t>
  </si>
  <si>
    <t>Mob1%</t>
  </si>
  <si>
    <t>Mob2%</t>
  </si>
  <si>
    <t>Mob3%</t>
  </si>
  <si>
    <t>Mob4%</t>
  </si>
  <si>
    <t>Mob5%</t>
  </si>
  <si>
    <t>Mob6%</t>
  </si>
  <si>
    <t>Mob7%</t>
  </si>
  <si>
    <t>Mob8%</t>
  </si>
  <si>
    <t>Mob9%</t>
  </si>
  <si>
    <t>Mob10%</t>
  </si>
  <si>
    <t>Mob11%</t>
  </si>
  <si>
    <t>Mob12%</t>
  </si>
  <si>
    <r>
      <rPr>
        <b/>
        <sz val="11"/>
        <color rgb="FFFF0000"/>
        <rFont val="宋体"/>
        <charset val="134"/>
      </rPr>
      <t>积累数据和根据实际情况进行动态调整</t>
    </r>
  </si>
  <si>
    <t>三. 策略Swap in&amp;out机制</t>
  </si>
  <si>
    <t>Swap in&amp;out是指在保持整体通过率目标的前提下，动态替换部分风控策略，以测试新策略效果或逐步迁移至更优策略。</t>
  </si>
  <si>
    <t>阶段</t>
  </si>
  <si>
    <t>流量占比</t>
  </si>
  <si>
    <t>策略版本</t>
  </si>
  <si>
    <t>说明</t>
  </si>
  <si>
    <t>阶段1: 策略评估</t>
  </si>
  <si>
    <t>离线对比</t>
  </si>
  <si>
    <t>对比新旧策略在相同样本上的表现</t>
  </si>
  <si>
    <t>阶段2: 小流量测试</t>
  </si>
  <si>
    <t>新策略B</t>
  </si>
  <si>
    <t>验证新策略在真实环境中的表现</t>
  </si>
  <si>
    <t>阶段3: 逐步放量</t>
  </si>
  <si>
    <t>30%→50%</t>
  </si>
  <si>
    <t>逐步扩大新策略覆盖范围</t>
  </si>
  <si>
    <t>阶段4: 完全切换</t>
  </si>
  <si>
    <t>完成Swap in，旧策略A Swap out</t>
  </si>
  <si>
    <t>新模型</t>
  </si>
  <si>
    <t>旧模型</t>
  </si>
  <si>
    <t>通过</t>
  </si>
  <si>
    <t>拒绝</t>
  </si>
  <si>
    <t>All in</t>
  </si>
  <si>
    <t>Swap out</t>
  </si>
  <si>
    <t>Swap in</t>
  </si>
  <si>
    <t>All out</t>
  </si>
  <si>
    <t>1.1 通过率不变，风险下降</t>
  </si>
  <si>
    <t>GMV%</t>
  </si>
  <si>
    <t>Approval Rate%</t>
  </si>
  <si>
    <t>EL%</t>
  </si>
  <si>
    <t>Credit limit$</t>
  </si>
  <si>
    <t>1.2 风险不变，通过率上升</t>
  </si>
  <si>
    <t>三. A/B测试测算</t>
  </si>
  <si>
    <t>设计A/B测试对比现有策略（A组）与优化后策略（B组）的效果</t>
  </si>
  <si>
    <t>测试背景</t>
  </si>
  <si>
    <t>当前采用统一利率18%，未根据客户风险等级差异化定价。优质客户流失严重（竞品利率可低至12%），同时低风险客户的收益贡献不足。业务部门提出假设：基于信用评分建立差异化定价模型，优质客户低利率留客，高风险客户高利率覆盖风险，可提升整体收益率。</t>
  </si>
  <si>
    <t>A组(对照组)</t>
  </si>
  <si>
    <t>B组(测试组)</t>
  </si>
  <si>
    <t>差异</t>
  </si>
  <si>
    <t>测试样本量</t>
  </si>
  <si>
    <t>整体收益率</t>
  </si>
  <si>
    <t>+1.5个百分点</t>
  </si>
  <si>
    <t>通过率</t>
  </si>
  <si>
    <t>-3个百分点</t>
  </si>
  <si>
    <t>持平</t>
  </si>
  <si>
    <t>优质客户占比</t>
  </si>
  <si>
    <t>+5个百分点</t>
  </si>
  <si>
    <t>优质客户复贷率</t>
  </si>
  <si>
    <t>+10个百分点</t>
  </si>
  <si>
    <t>平均ARPU</t>
  </si>
  <si>
    <t>3000元</t>
  </si>
  <si>
    <t>3300元</t>
  </si>
  <si>
    <t>四、贷前准入与信用评估 — 评分卡A卡效果测算</t>
  </si>
  <si>
    <t>1. 评分卡模型性能指标</t>
  </si>
  <si>
    <t>值</t>
  </si>
  <si>
    <t>达标线</t>
  </si>
  <si>
    <t>KS值</t>
  </si>
  <si>
    <t>AUC</t>
  </si>
  <si>
    <t>Gini系数</t>
  </si>
  <si>
    <t>PSI(近3月)</t>
  </si>
  <si>
    <t/>
  </si>
  <si>
    <t>2. 分数段分布与通过率测算</t>
  </si>
  <si>
    <t>评分段</t>
  </si>
  <si>
    <t>人数占比</t>
  </si>
  <si>
    <t>坏账率</t>
  </si>
  <si>
    <t>是否通过</t>
  </si>
  <si>
    <t>好客占比</t>
  </si>
  <si>
    <t>[750, 850]</t>
  </si>
  <si>
    <t>[650, 750)</t>
  </si>
  <si>
    <t>[550, 650)</t>
  </si>
  <si>
    <t>[450, 550)</t>
  </si>
  <si>
    <t>[350, 450)</t>
  </si>
  <si>
    <t>&lt;350</t>
  </si>
  <si>
    <t>整体通过率</t>
  </si>
  <si>
    <t>通过客群加权坏账率</t>
  </si>
  <si>
    <t>结论: 通过A/B测试，B组策略在保持相同通过率(60%)的前提下，坏账率从3.54%降至2.66%，</t>
  </si>
  <si>
    <t>每10万笔申请可减少约88个坏账客户，建议全面切换至B组策略。</t>
  </si>
  <si>
    <r>
      <rPr>
        <b/>
        <sz val="14"/>
        <color rgb="FF1F3864"/>
        <rFont val="微软雅黑"/>
        <charset val="134"/>
      </rPr>
      <t>五、模型中</t>
    </r>
    <r>
      <rPr>
        <b/>
        <sz val="14"/>
        <color rgb="FF1F3864"/>
        <rFont val="Arial"/>
        <charset val="134"/>
      </rPr>
      <t>PSI</t>
    </r>
    <r>
      <rPr>
        <b/>
        <sz val="14"/>
        <color rgb="FF1F3864"/>
        <rFont val="微软雅黑"/>
        <charset val="134"/>
      </rPr>
      <t>的计算逻辑</t>
    </r>
  </si>
  <si>
    <t>Risk level</t>
  </si>
  <si>
    <t>base distribution%</t>
  </si>
  <si>
    <t>VS Mob1%</t>
  </si>
  <si>
    <t>VS Mob2</t>
  </si>
  <si>
    <t>Mob1 PSI</t>
  </si>
  <si>
    <t>Mob2 PSI</t>
  </si>
  <si>
    <t>A</t>
  </si>
  <si>
    <t>B</t>
  </si>
  <si>
    <t>C</t>
  </si>
  <si>
    <t>D</t>
  </si>
  <si>
    <t>E</t>
  </si>
  <si>
    <r>
      <rPr>
        <sz val="11"/>
        <color theme="1"/>
        <rFont val="宋体"/>
        <charset val="134"/>
      </rPr>
      <t>小于</t>
    </r>
    <r>
      <rPr>
        <sz val="11"/>
        <color theme="1"/>
        <rFont val="Arial"/>
        <charset val="134"/>
      </rPr>
      <t>0.1</t>
    </r>
  </si>
  <si>
    <r>
      <rPr>
        <sz val="11"/>
        <color theme="1"/>
        <rFont val="宋体"/>
        <charset val="134"/>
      </rPr>
      <t>无需更新模型</t>
    </r>
  </si>
  <si>
    <t>0.1-0.25</t>
  </si>
  <si>
    <r>
      <rPr>
        <sz val="11"/>
        <color theme="1"/>
        <rFont val="宋体"/>
        <charset val="134"/>
      </rPr>
      <t>检查一下特征</t>
    </r>
  </si>
  <si>
    <r>
      <rPr>
        <sz val="11"/>
        <color theme="1"/>
        <rFont val="宋体"/>
        <charset val="134"/>
      </rPr>
      <t>大于</t>
    </r>
    <r>
      <rPr>
        <sz val="11"/>
        <color theme="1"/>
        <rFont val="Arial"/>
        <charset val="134"/>
      </rPr>
      <t>0.25</t>
    </r>
  </si>
  <si>
    <r>
      <rPr>
        <sz val="11"/>
        <color theme="1"/>
        <rFont val="宋体"/>
        <charset val="134"/>
      </rPr>
      <t>需要更新模型</t>
    </r>
  </si>
  <si>
    <r>
      <rPr>
        <b/>
        <sz val="14"/>
        <color rgb="FF1F3864"/>
        <rFont val="微软雅黑"/>
        <charset val="134"/>
      </rPr>
      <t>六、</t>
    </r>
    <r>
      <rPr>
        <b/>
        <sz val="14"/>
        <color rgb="FF1F3864"/>
        <rFont val="Arial"/>
        <charset val="134"/>
      </rPr>
      <t>IV&amp;KS</t>
    </r>
    <r>
      <rPr>
        <b/>
        <sz val="14"/>
        <color rgb="FF1F3864"/>
        <rFont val="微软雅黑"/>
        <charset val="134"/>
      </rPr>
      <t>计算逻辑</t>
    </r>
  </si>
  <si>
    <r>
      <rPr>
        <b/>
        <sz val="11"/>
        <color rgb="FF2E75B6"/>
        <rFont val="Arial"/>
        <charset val="134"/>
      </rPr>
      <t>1.IV&amp;WOE</t>
    </r>
    <r>
      <rPr>
        <b/>
        <sz val="11"/>
        <color rgb="FF2E75B6"/>
        <rFont val="微软雅黑"/>
        <charset val="134"/>
      </rPr>
      <t>的计算逻辑</t>
    </r>
  </si>
  <si>
    <t>IV(information value)</t>
  </si>
  <si>
    <r>
      <rPr>
        <b/>
        <sz val="12"/>
        <color rgb="FF0F1115"/>
        <rFont val="宋体"/>
        <charset val="134"/>
      </rPr>
      <t>衡量特征对目标变量的预测能力</t>
    </r>
  </si>
  <si>
    <r>
      <rPr>
        <b/>
        <sz val="10.5"/>
        <color rgb="FF0F1115"/>
        <rFont val="Arial"/>
        <charset val="134"/>
      </rPr>
      <t>IV = Σ[(</t>
    </r>
    <r>
      <rPr>
        <b/>
        <sz val="10.5"/>
        <color rgb="FF0F1115"/>
        <rFont val="宋体"/>
        <charset val="134"/>
      </rPr>
      <t>好客户占比</t>
    </r>
    <r>
      <rPr>
        <b/>
        <sz val="10.5"/>
        <color rgb="FF0F1115"/>
        <rFont val="Arial"/>
        <charset val="134"/>
      </rPr>
      <t xml:space="preserve"> - </t>
    </r>
    <r>
      <rPr>
        <b/>
        <sz val="10.5"/>
        <color rgb="FF0F1115"/>
        <rFont val="宋体"/>
        <charset val="134"/>
      </rPr>
      <t>坏客户占比</t>
    </r>
    <r>
      <rPr>
        <b/>
        <sz val="10.5"/>
        <color rgb="FF0F1115"/>
        <rFont val="Arial"/>
        <charset val="134"/>
      </rPr>
      <t>) × WOE]</t>
    </r>
  </si>
  <si>
    <t>WOE(weigh of evidence)</t>
  </si>
  <si>
    <r>
      <rPr>
        <b/>
        <sz val="12"/>
        <color rgb="FF0F1115"/>
        <rFont val="宋体"/>
        <charset val="134"/>
      </rPr>
      <t>衡量每个分箱中好坏客户分布的差异</t>
    </r>
  </si>
  <si>
    <r>
      <rPr>
        <b/>
        <sz val="10.5"/>
        <color rgb="FF0F1115"/>
        <rFont val="Arial"/>
        <charset val="134"/>
      </rPr>
      <t>WOE = ln(</t>
    </r>
    <r>
      <rPr>
        <b/>
        <sz val="10.5"/>
        <color rgb="FF0F1115"/>
        <rFont val="宋体"/>
        <charset val="134"/>
      </rPr>
      <t>好客户占比</t>
    </r>
    <r>
      <rPr>
        <b/>
        <sz val="10.5"/>
        <color rgb="FF0F1115"/>
        <rFont val="Arial"/>
        <charset val="134"/>
      </rPr>
      <t xml:space="preserve"> / </t>
    </r>
    <r>
      <rPr>
        <b/>
        <sz val="10.5"/>
        <color rgb="FF0F1115"/>
        <rFont val="宋体"/>
        <charset val="134"/>
      </rPr>
      <t>坏客户占比</t>
    </r>
    <r>
      <rPr>
        <b/>
        <sz val="10.5"/>
        <color rgb="FF0F1115"/>
        <rFont val="Arial"/>
        <charset val="134"/>
      </rPr>
      <t>) = ln((%Good_i) / (%Bad_i))</t>
    </r>
  </si>
  <si>
    <r>
      <rPr>
        <b/>
        <sz val="12"/>
        <color rgb="FFFF0000"/>
        <rFont val="宋体"/>
        <charset val="134"/>
      </rPr>
      <t>分箱的</t>
    </r>
    <r>
      <rPr>
        <b/>
        <sz val="12"/>
        <color rgb="FFFF0000"/>
        <rFont val="Arial"/>
        <charset val="134"/>
      </rPr>
      <t>WOE</t>
    </r>
    <r>
      <rPr>
        <b/>
        <sz val="12"/>
        <color rgb="FFFF0000"/>
        <rFont val="宋体"/>
        <charset val="134"/>
      </rPr>
      <t>值通常需要具有良好的排序性（单调性）</t>
    </r>
  </si>
  <si>
    <r>
      <rPr>
        <b/>
        <sz val="11.25"/>
        <color rgb="FF0F1115"/>
        <rFont val="Arial"/>
        <charset val="134"/>
      </rPr>
      <t>IV</t>
    </r>
    <r>
      <rPr>
        <b/>
        <sz val="11.25"/>
        <color rgb="FF0F1115"/>
        <rFont val="宋体"/>
        <charset val="134"/>
      </rPr>
      <t>值范围</t>
    </r>
  </si>
  <si>
    <r>
      <rPr>
        <b/>
        <sz val="11.25"/>
        <color rgb="FF0F1115"/>
        <rFont val="宋体"/>
        <charset val="134"/>
      </rPr>
      <t>预测能力</t>
    </r>
  </si>
  <si>
    <r>
      <rPr>
        <b/>
        <sz val="11.25"/>
        <color rgb="FF0F1115"/>
        <rFont val="宋体"/>
        <charset val="134"/>
      </rPr>
      <t>建议</t>
    </r>
  </si>
  <si>
    <t>&lt; 0.02</t>
  </si>
  <si>
    <r>
      <rPr>
        <sz val="11.25"/>
        <color rgb="FF0F1115"/>
        <rFont val="宋体"/>
        <charset val="134"/>
      </rPr>
      <t>无预测能力</t>
    </r>
  </si>
  <si>
    <r>
      <rPr>
        <sz val="11.25"/>
        <color rgb="FF0F1115"/>
        <rFont val="宋体"/>
        <charset val="134"/>
      </rPr>
      <t>不建议使用</t>
    </r>
  </si>
  <si>
    <t>0.02 - 0.1</t>
  </si>
  <si>
    <r>
      <rPr>
        <sz val="11.25"/>
        <color rgb="FF0F1115"/>
        <rFont val="宋体"/>
        <charset val="134"/>
      </rPr>
      <t>弱预测能力</t>
    </r>
  </si>
  <si>
    <r>
      <rPr>
        <sz val="11.25"/>
        <color rgb="FF0F1115"/>
        <rFont val="宋体"/>
        <charset val="134"/>
      </rPr>
      <t>谨慎使用</t>
    </r>
  </si>
  <si>
    <t>0.1 - 0.3</t>
  </si>
  <si>
    <r>
      <rPr>
        <sz val="11.25"/>
        <color rgb="FF0F1115"/>
        <rFont val="宋体"/>
        <charset val="134"/>
      </rPr>
      <t>中等预测能力</t>
    </r>
  </si>
  <si>
    <r>
      <rPr>
        <sz val="11.25"/>
        <color rgb="FF0F1115"/>
        <rFont val="宋体"/>
        <charset val="134"/>
      </rPr>
      <t>可以入模</t>
    </r>
  </si>
  <si>
    <t>&gt; 0.3</t>
  </si>
  <si>
    <r>
      <rPr>
        <sz val="11.25"/>
        <color rgb="FF0F1115"/>
        <rFont val="宋体"/>
        <charset val="134"/>
      </rPr>
      <t>强预测能力</t>
    </r>
  </si>
  <si>
    <r>
      <rPr>
        <sz val="11.25"/>
        <color rgb="FF0F1115"/>
        <rFont val="宋体"/>
        <charset val="134"/>
      </rPr>
      <t>强烈推荐</t>
    </r>
  </si>
  <si>
    <r>
      <rPr>
        <b/>
        <sz val="11"/>
        <color rgb="FF2E75B6"/>
        <rFont val="Arial"/>
        <charset val="134"/>
      </rPr>
      <t xml:space="preserve">2. </t>
    </r>
    <r>
      <rPr>
        <b/>
        <sz val="11"/>
        <color rgb="FF2E75B6"/>
        <rFont val="微软雅黑"/>
        <charset val="134"/>
      </rPr>
      <t>具体的计算逻辑</t>
    </r>
  </si>
  <si>
    <t>disburse_month</t>
  </si>
  <si>
    <t>risk_level</t>
  </si>
  <si>
    <r>
      <rPr>
        <b/>
        <sz val="10"/>
        <color theme="0"/>
        <rFont val="Arial"/>
        <charset val="134"/>
      </rPr>
      <t>EL</t>
    </r>
    <r>
      <rPr>
        <b/>
        <sz val="11"/>
        <color theme="0"/>
        <rFont val="宋体"/>
        <charset val="134"/>
      </rPr>
      <t>分子</t>
    </r>
  </si>
  <si>
    <r>
      <rPr>
        <b/>
        <sz val="10"/>
        <color theme="0"/>
        <rFont val="Arial"/>
        <charset val="134"/>
      </rPr>
      <t>EL</t>
    </r>
    <r>
      <rPr>
        <b/>
        <sz val="11"/>
        <color theme="0"/>
        <rFont val="宋体"/>
        <charset val="134"/>
      </rPr>
      <t>分母</t>
    </r>
  </si>
  <si>
    <r>
      <rPr>
        <b/>
        <sz val="11"/>
        <color theme="0"/>
        <rFont val="宋体"/>
        <charset val="134"/>
      </rPr>
      <t>好客户用户数</t>
    </r>
  </si>
  <si>
    <r>
      <rPr>
        <b/>
        <sz val="11"/>
        <color theme="0"/>
        <rFont val="宋体"/>
        <charset val="134"/>
      </rPr>
      <t>坏客户用户数</t>
    </r>
  </si>
  <si>
    <r>
      <rPr>
        <b/>
        <sz val="11"/>
        <color theme="0"/>
        <rFont val="宋体"/>
        <charset val="134"/>
      </rPr>
      <t>好客户占比</t>
    </r>
  </si>
  <si>
    <r>
      <rPr>
        <b/>
        <sz val="11"/>
        <color theme="0"/>
        <rFont val="宋体"/>
        <charset val="134"/>
      </rPr>
      <t>坏客户占比</t>
    </r>
  </si>
  <si>
    <t>WOE</t>
  </si>
  <si>
    <t>IV Part</t>
  </si>
  <si>
    <t>IV</t>
  </si>
  <si>
    <r>
      <rPr>
        <b/>
        <sz val="11"/>
        <color theme="1"/>
        <rFont val="宋体"/>
        <charset val="134"/>
      </rPr>
      <t>正数</t>
    </r>
    <r>
      <rPr>
        <b/>
        <sz val="11"/>
        <color theme="1"/>
        <rFont val="Arial"/>
        <charset val="134"/>
      </rPr>
      <t xml:space="preserve"> WOE</t>
    </r>
    <r>
      <rPr>
        <b/>
        <sz val="11"/>
        <color theme="1"/>
        <rFont val="宋体"/>
        <charset val="134"/>
      </rPr>
      <t>：这组风险低、质量好</t>
    </r>
    <r>
      <rPr>
        <b/>
        <sz val="11"/>
        <color theme="1"/>
        <rFont val="Arial"/>
        <charset val="134"/>
      </rPr>
      <t xml:space="preserve">
</t>
    </r>
    <r>
      <rPr>
        <b/>
        <sz val="11"/>
        <color theme="1"/>
        <rFont val="宋体"/>
        <charset val="134"/>
      </rPr>
      <t>负数</t>
    </r>
    <r>
      <rPr>
        <b/>
        <sz val="11"/>
        <color theme="1"/>
        <rFont val="Arial"/>
        <charset val="134"/>
      </rPr>
      <t xml:space="preserve"> WOE</t>
    </r>
    <r>
      <rPr>
        <b/>
        <sz val="11"/>
        <color theme="1"/>
        <rFont val="宋体"/>
        <charset val="134"/>
      </rPr>
      <t>：这组风险高、质量差</t>
    </r>
  </si>
  <si>
    <t>放款月份</t>
  </si>
  <si>
    <t>风险等级</t>
  </si>
  <si>
    <t>好客户占比</t>
  </si>
  <si>
    <t>坏客户占比</t>
  </si>
  <si>
    <t>好客户累计</t>
  </si>
  <si>
    <t>坏客户累计</t>
  </si>
  <si>
    <r>
      <rPr>
        <sz val="14"/>
        <color rgb="FF1F4E79"/>
        <rFont val="Arial"/>
        <charset val="134"/>
      </rPr>
      <t>1.10 Lift</t>
    </r>
    <r>
      <rPr>
        <sz val="14"/>
        <color rgb="FF1F4E79"/>
        <rFont val="微软雅黑"/>
        <charset val="134"/>
      </rPr>
      <t>值</t>
    </r>
  </si>
  <si>
    <r>
      <rPr>
        <i/>
        <sz val="9"/>
        <rFont val="Arial"/>
        <charset val="134"/>
      </rPr>
      <t>Lift</t>
    </r>
    <r>
      <rPr>
        <i/>
        <sz val="9"/>
        <rFont val="微软雅黑"/>
        <charset val="134"/>
      </rPr>
      <t>值</t>
    </r>
    <r>
      <rPr>
        <i/>
        <sz val="9"/>
        <rFont val="Arial"/>
        <charset val="134"/>
      </rPr>
      <t xml:space="preserve"> = </t>
    </r>
    <r>
      <rPr>
        <i/>
        <sz val="9"/>
        <rFont val="微软雅黑"/>
        <charset val="134"/>
      </rPr>
      <t>分箱的</t>
    </r>
    <r>
      <rPr>
        <i/>
        <sz val="9"/>
        <rFont val="Arial"/>
        <charset val="134"/>
      </rPr>
      <t>bad rate%/</t>
    </r>
    <r>
      <rPr>
        <i/>
        <sz val="9"/>
        <rFont val="微软雅黑"/>
        <charset val="134"/>
      </rPr>
      <t>整体的</t>
    </r>
    <r>
      <rPr>
        <i/>
        <sz val="9"/>
        <rFont val="Arial"/>
        <charset val="134"/>
      </rPr>
      <t>bad rate%</t>
    </r>
  </si>
  <si>
    <r>
      <rPr>
        <b/>
        <sz val="11"/>
        <color theme="1"/>
        <rFont val="Arial"/>
        <charset val="134"/>
      </rPr>
      <t>1.1 Lift</t>
    </r>
    <r>
      <rPr>
        <b/>
        <sz val="11"/>
        <color theme="1"/>
        <rFont val="宋体"/>
        <charset val="134"/>
      </rPr>
      <t>定义</t>
    </r>
  </si>
  <si>
    <r>
      <rPr>
        <sz val="11"/>
        <color rgb="FF2E75B6"/>
        <rFont val="Arial"/>
        <charset val="134"/>
      </rPr>
      <t xml:space="preserve">Lift </t>
    </r>
    <r>
      <rPr>
        <sz val="11"/>
        <color rgb="FF2E75B6"/>
        <rFont val="微软雅黑"/>
        <charset val="134"/>
      </rPr>
      <t>衡量的是：在使用模型</t>
    </r>
    <r>
      <rPr>
        <sz val="11"/>
        <color rgb="FF2E75B6"/>
        <rFont val="Arial"/>
        <charset val="134"/>
      </rPr>
      <t>/</t>
    </r>
    <r>
      <rPr>
        <sz val="11"/>
        <color rgb="FF2E75B6"/>
        <rFont val="微软雅黑"/>
        <charset val="134"/>
      </rPr>
      <t>策略的情况下，捕获目标用户（如欺诈者、高风险客户）的能力，相比于随机选取有多大提升。</t>
    </r>
  </si>
  <si>
    <r>
      <rPr>
        <sz val="10"/>
        <color theme="1"/>
        <rFont val="Arial"/>
        <charset val="134"/>
      </rPr>
      <t>·  Lift &gt; 1</t>
    </r>
    <r>
      <rPr>
        <sz val="10"/>
        <color theme="1"/>
        <rFont val="微软雅黑"/>
        <charset val="134"/>
      </rPr>
      <t>：比随机好，越大越好</t>
    </r>
  </si>
  <si>
    <r>
      <rPr>
        <sz val="10"/>
        <color theme="1"/>
        <rFont val="Arial"/>
        <charset val="134"/>
      </rPr>
      <t>·  Lift = 1</t>
    </r>
    <r>
      <rPr>
        <sz val="10"/>
        <color theme="1"/>
        <rFont val="微软雅黑"/>
        <charset val="134"/>
      </rPr>
      <t>：和随机一样</t>
    </r>
  </si>
  <si>
    <r>
      <rPr>
        <sz val="10"/>
        <color theme="1"/>
        <rFont val="Arial"/>
        <charset val="134"/>
      </rPr>
      <t>·  Lift &lt; 1</t>
    </r>
    <r>
      <rPr>
        <sz val="10"/>
        <color theme="1"/>
        <rFont val="微软雅黑"/>
        <charset val="134"/>
      </rPr>
      <t>：还不如随机</t>
    </r>
  </si>
  <si>
    <r>
      <rPr>
        <b/>
        <sz val="11"/>
        <rFont val="Arial"/>
        <charset val="134"/>
      </rPr>
      <t>2.Lift</t>
    </r>
    <r>
      <rPr>
        <b/>
        <sz val="9"/>
        <rFont val="宋体"/>
        <charset val="134"/>
      </rPr>
      <t>曲线</t>
    </r>
  </si>
  <si>
    <t>模型标签</t>
  </si>
  <si>
    <t>分位数</t>
  </si>
  <si>
    <t>占比</t>
  </si>
  <si>
    <r>
      <rPr>
        <sz val="9.5"/>
        <color rgb="FFFFFFFF"/>
        <rFont val="Arial"/>
        <charset val="134"/>
      </rPr>
      <t>Lift</t>
    </r>
    <r>
      <rPr>
        <i/>
        <sz val="9"/>
        <rFont val="宋体"/>
        <charset val="134"/>
      </rPr>
      <t>值</t>
    </r>
  </si>
  <si>
    <t>300-350</t>
  </si>
  <si>
    <t>351-400</t>
  </si>
  <si>
    <t>401-450</t>
  </si>
  <si>
    <t>451-500</t>
  </si>
  <si>
    <t>501-550</t>
  </si>
  <si>
    <t>551-600</t>
  </si>
  <si>
    <t>601-650</t>
  </si>
  <si>
    <t>651-700</t>
  </si>
  <si>
    <t>700-750</t>
  </si>
  <si>
    <t>751-950</t>
  </si>
  <si>
    <r>
      <rPr>
        <b/>
        <sz val="11"/>
        <rFont val="Arial"/>
        <charset val="134"/>
      </rPr>
      <t>3.Lift</t>
    </r>
    <r>
      <rPr>
        <b/>
        <sz val="11"/>
        <rFont val="宋体"/>
        <charset val="134"/>
      </rPr>
      <t>值的应用</t>
    </r>
  </si>
  <si>
    <t>背景:某消费金融机构贷前Mob6@30+为3.3%，从风险角度来看，老板觉得风险太高，想看看减少不同规模，对应的风险和利润情况</t>
  </si>
  <si>
    <t>思路:按照评分从低到高进行排序，然后进行分组，计算不同组别的Lift值，只要Lift大于1的都可以拒绝，</t>
  </si>
  <si>
    <r>
      <rPr>
        <sz val="11"/>
        <color theme="1"/>
        <rFont val="宋体"/>
        <charset val="134"/>
        <scheme val="minor"/>
      </rPr>
      <t xml:space="preserve">         </t>
    </r>
    <r>
      <rPr>
        <sz val="11"/>
        <rFont val="宋体"/>
        <charset val="134"/>
      </rPr>
      <t>如果真的都拒绝了，可能会影响业务的正常发展，这就是风险和业务发展以及利润的平衡艺术</t>
    </r>
  </si>
  <si>
    <t>所以对不同组的风险，lift值，GMV占比，以及收益罗列清楚，给出从低分段到高分段不同压降对业务规模和利润，以及风险的影响</t>
  </si>
  <si>
    <t>方案1：拒绝E类用户，GMV下降10%的情况下(往前推就是反应在通过率下降多少)：</t>
  </si>
  <si>
    <t>EL下降18.8%,利润下降9.2%</t>
  </si>
  <si>
    <t>方案2：拒绝E/D类用户，GMV下降30%的情况下：</t>
  </si>
  <si>
    <t>EL下降42.6%,利润下降30.8%</t>
  </si>
  <si>
    <t>Mob6@30+</t>
  </si>
  <si>
    <t>UE%</t>
  </si>
  <si>
    <r>
      <rPr>
        <sz val="9.5"/>
        <color rgb="FFFFFFFF"/>
        <rFont val="Arial"/>
        <charset val="134"/>
      </rPr>
      <t>Lift</t>
    </r>
    <r>
      <rPr>
        <sz val="9.5"/>
        <color rgb="FFFFFFFF"/>
        <rFont val="微软雅黑"/>
        <charset val="134"/>
      </rPr>
      <t>值</t>
    </r>
  </si>
  <si>
    <r>
      <rPr>
        <sz val="9"/>
        <color theme="1"/>
        <rFont val="Arial"/>
        <charset val="134"/>
      </rPr>
      <t>A</t>
    </r>
    <r>
      <rPr>
        <sz val="9"/>
        <color theme="1"/>
        <rFont val="微软雅黑"/>
        <charset val="134"/>
      </rPr>
      <t>级</t>
    </r>
  </si>
  <si>
    <r>
      <rPr>
        <sz val="9"/>
        <color theme="1"/>
        <rFont val="Arial"/>
        <charset val="134"/>
      </rPr>
      <t>B</t>
    </r>
    <r>
      <rPr>
        <sz val="9"/>
        <color theme="1"/>
        <rFont val="微软雅黑"/>
        <charset val="134"/>
      </rPr>
      <t>级</t>
    </r>
  </si>
  <si>
    <t>规模下降</t>
  </si>
  <si>
    <t>输入参数</t>
  </si>
  <si>
    <r>
      <rPr>
        <sz val="9"/>
        <color theme="1"/>
        <rFont val="Arial"/>
        <charset val="134"/>
      </rPr>
      <t>C</t>
    </r>
    <r>
      <rPr>
        <sz val="9"/>
        <color theme="1"/>
        <rFont val="微软雅黑"/>
        <charset val="134"/>
      </rPr>
      <t>级</t>
    </r>
  </si>
  <si>
    <t>利润下降</t>
  </si>
  <si>
    <r>
      <rPr>
        <sz val="9"/>
        <color theme="1"/>
        <rFont val="Arial"/>
        <charset val="134"/>
      </rPr>
      <t>D</t>
    </r>
    <r>
      <rPr>
        <sz val="9"/>
        <color theme="1"/>
        <rFont val="微软雅黑"/>
        <charset val="134"/>
      </rPr>
      <t>级</t>
    </r>
  </si>
  <si>
    <r>
      <rPr>
        <sz val="9"/>
        <color theme="1"/>
        <rFont val="Arial"/>
        <charset val="134"/>
      </rPr>
      <t>E</t>
    </r>
    <r>
      <rPr>
        <sz val="9"/>
        <color theme="1"/>
        <rFont val="微软雅黑"/>
        <charset val="134"/>
      </rPr>
      <t>级</t>
    </r>
  </si>
  <si>
    <t>0.策略开发流程</t>
  </si>
  <si>
    <t>1.准入规则</t>
  </si>
  <si>
    <t>2.冷启动</t>
  </si>
  <si>
    <t>3.Swap in&amp;out</t>
  </si>
  <si>
    <t>4.AB Test</t>
  </si>
  <si>
    <t>5.评分卡模型测算</t>
  </si>
  <si>
    <t>6.1 PSI 计算</t>
  </si>
  <si>
    <t>6.2 IV&amp;KS计算</t>
  </si>
  <si>
    <t>7. Lift值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</si>
</sst>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_ * #,##0.00_ ;_ * \-#,##0.00_ ;_ * &quot;-&quot;??.0_ ;_ @_ "/>
    <numFmt numFmtId="178" formatCode="_ * #,##0.0_ ;_ * \-#,##0.0_ ;_ * &quot;-&quot;??_ ;_ @_ "/>
    <numFmt numFmtId="179" formatCode="yyyy&quot;年&quot;m&quot;月&quot;d&quot;日&quot;;@"/>
    <numFmt numFmtId="180" formatCode="_ * #,##0_ ;_ * \-#,##0_ ;_ * &quot;-&quot;??_ ;_ @_ "/>
    <numFmt numFmtId="181" formatCode="0.00_);[Red]\(0.00\)"/>
    <numFmt numFmtId="182" formatCode="0.00_ "/>
    <numFmt numFmtId="183" formatCode="yyyy/m/d;@"/>
  </numFmts>
  <fonts count="9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4"/>
      <color rgb="FF1F4E79"/>
      <name val="Arial"/>
      <charset val="134"/>
    </font>
    <font>
      <i/>
      <sz val="9"/>
      <name val="Arial"/>
      <charset val="134"/>
    </font>
    <font>
      <b/>
      <sz val="11"/>
      <color theme="1"/>
      <name val="Arial"/>
      <charset val="134"/>
    </font>
    <font>
      <sz val="11"/>
      <color rgb="FF2E75B6"/>
      <name val="Arial"/>
      <charset val="134"/>
    </font>
    <font>
      <sz val="10"/>
      <color theme="1"/>
      <name val="Arial"/>
      <charset val="134"/>
    </font>
    <font>
      <b/>
      <sz val="11"/>
      <name val="Arial"/>
      <charset val="134"/>
    </font>
    <font>
      <sz val="9.5"/>
      <color rgb="FFFFFFFF"/>
      <name val="宋体"/>
      <charset val="134"/>
    </font>
    <font>
      <sz val="9.5"/>
      <color rgb="FFFFFFFF"/>
      <name val="Arial"/>
      <charset val="134"/>
    </font>
    <font>
      <i/>
      <sz val="9"/>
      <name val="宋体"/>
      <charset val="134"/>
    </font>
    <font>
      <b/>
      <sz val="11"/>
      <color theme="1"/>
      <name val="宋体"/>
      <charset val="134"/>
      <scheme val="minor"/>
    </font>
    <font>
      <sz val="9.5"/>
      <color rgb="FFFFFFFF"/>
      <name val="微软雅黑"/>
      <charset val="134"/>
    </font>
    <font>
      <b/>
      <sz val="11"/>
      <color rgb="FFFF0000"/>
      <name val="宋体"/>
      <charset val="134"/>
    </font>
    <font>
      <sz val="11"/>
      <color rgb="FFFF0000"/>
      <name val="Arial"/>
      <charset val="134"/>
    </font>
    <font>
      <sz val="9"/>
      <color theme="1"/>
      <name val="Arial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4"/>
      <color rgb="FF1F3864"/>
      <name val="Arial"/>
      <charset val="134"/>
    </font>
    <font>
      <b/>
      <sz val="11"/>
      <color rgb="FF2E75B6"/>
      <name val="Arial"/>
      <charset val="134"/>
    </font>
    <font>
      <b/>
      <sz val="12"/>
      <color rgb="FF0F1115"/>
      <name val="Arial"/>
      <charset val="134"/>
    </font>
    <font>
      <b/>
      <sz val="10.5"/>
      <color rgb="FF0F1115"/>
      <name val="Arial"/>
      <charset val="134"/>
    </font>
    <font>
      <b/>
      <sz val="12"/>
      <color rgb="FFFF0000"/>
      <name val="Arial"/>
      <charset val="134"/>
    </font>
    <font>
      <sz val="11.25"/>
      <color rgb="FF0F1115"/>
      <name val="Arial"/>
      <charset val="134"/>
    </font>
    <font>
      <b/>
      <sz val="11.25"/>
      <color rgb="FF0F1115"/>
      <name val="Arial"/>
      <charset val="134"/>
    </font>
    <font>
      <b/>
      <sz val="10"/>
      <color rgb="FFFFFFFF"/>
      <name val="Arial"/>
      <charset val="134"/>
    </font>
    <font>
      <b/>
      <sz val="10"/>
      <color theme="0"/>
      <name val="Arial"/>
      <charset val="134"/>
    </font>
    <font>
      <b/>
      <sz val="11"/>
      <color theme="0"/>
      <name val="Arial"/>
      <charset val="134"/>
    </font>
    <font>
      <sz val="10"/>
      <color rgb="FF333333"/>
      <name val="Arial"/>
      <charset val="134"/>
    </font>
    <font>
      <b/>
      <sz val="10"/>
      <color rgb="FFFFFFFF"/>
      <name val="宋体"/>
      <charset val="134"/>
    </font>
    <font>
      <sz val="10"/>
      <color rgb="FF2D3748"/>
      <name val="Arial"/>
      <charset val="134"/>
    </font>
    <font>
      <b/>
      <sz val="10"/>
      <color rgb="FF333333"/>
      <name val="Arial"/>
      <charset val="134"/>
    </font>
    <font>
      <b/>
      <sz val="14"/>
      <color rgb="FF1F3864"/>
      <name val="微软雅黑"/>
      <charset val="134"/>
    </font>
    <font>
      <b/>
      <sz val="11"/>
      <color rgb="FF2E75B6"/>
      <name val="微软雅黑"/>
      <charset val="134"/>
    </font>
    <font>
      <b/>
      <sz val="10"/>
      <color rgb="FFFFFFFF"/>
      <name val="微软雅黑"/>
      <charset val="134"/>
    </font>
    <font>
      <sz val="10"/>
      <color rgb="FF333333"/>
      <name val="微软雅黑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Arial"/>
      <charset val="134"/>
    </font>
    <font>
      <b/>
      <sz val="14"/>
      <color rgb="FF2E74B5"/>
      <name val="Arial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sz val="10"/>
      <color theme="1"/>
      <name val="微软雅黑"/>
      <charset val="134"/>
    </font>
    <font>
      <b/>
      <sz val="11"/>
      <color rgb="FF1F4E79"/>
      <name val="微软雅黑"/>
      <charset val="134"/>
    </font>
    <font>
      <b/>
      <sz val="9.5"/>
      <color rgb="FFFFFFFF"/>
      <name val="微软雅黑"/>
      <charset val="134"/>
    </font>
    <font>
      <b/>
      <sz val="9.5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微软雅黑"/>
      <charset val="134"/>
    </font>
    <font>
      <sz val="9"/>
      <color rgb="FF2E75B6"/>
      <name val="微软雅黑"/>
      <charset val="134"/>
    </font>
    <font>
      <b/>
      <sz val="14"/>
      <color rgb="FF2E74B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.25"/>
      <color rgb="FF0F1115"/>
      <name val="宋体"/>
      <charset val="134"/>
    </font>
    <font>
      <sz val="10"/>
      <color theme="1"/>
      <name val="宋体"/>
      <charset val="134"/>
    </font>
    <font>
      <b/>
      <sz val="11"/>
      <color theme="0"/>
      <name val="宋体"/>
      <charset val="134"/>
    </font>
    <font>
      <sz val="11"/>
      <color rgb="FF2E75B6"/>
      <name val="微软雅黑"/>
      <charset val="134"/>
    </font>
    <font>
      <sz val="11.25"/>
      <color rgb="FF0F1115"/>
      <name val="宋体"/>
      <charset val="134"/>
    </font>
    <font>
      <sz val="7"/>
      <color rgb="FF2E75B6"/>
      <name val="Times New Roman"/>
      <charset val="134"/>
    </font>
    <font>
      <sz val="11"/>
      <color rgb="FF333333"/>
      <name val="微软雅黑"/>
      <charset val="134"/>
    </font>
    <font>
      <b/>
      <sz val="10.5"/>
      <color rgb="FF0F1115"/>
      <name val="宋体"/>
      <charset val="134"/>
    </font>
    <font>
      <sz val="7"/>
      <color theme="1"/>
      <name val="Arial"/>
      <charset val="134"/>
    </font>
    <font>
      <b/>
      <sz val="14"/>
      <color rgb="FF2E74B5"/>
      <name val="微软雅黑"/>
      <charset val="134"/>
    </font>
    <font>
      <sz val="11"/>
      <color rgb="FFFF0000"/>
      <name val="宋体"/>
      <charset val="134"/>
    </font>
    <font>
      <b/>
      <sz val="9"/>
      <name val="宋体"/>
      <charset val="134"/>
    </font>
    <font>
      <b/>
      <sz val="12"/>
      <color rgb="FF0F1115"/>
      <name val="宋体"/>
      <charset val="134"/>
    </font>
    <font>
      <i/>
      <sz val="9"/>
      <name val="微软雅黑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4"/>
      <color rgb="FF1F4E79"/>
      <name val="微软雅黑"/>
      <charset val="134"/>
    </font>
    <font>
      <b/>
      <sz val="11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E0F7F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2F7FD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0" fillId="19" borderId="29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0" fontId="61" fillId="0" borderId="30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20" borderId="32" applyNumberFormat="0" applyAlignment="0" applyProtection="0">
      <alignment vertical="center"/>
    </xf>
    <xf numFmtId="0" fontId="64" fillId="15" borderId="33" applyNumberFormat="0" applyAlignment="0" applyProtection="0">
      <alignment vertical="center"/>
    </xf>
    <xf numFmtId="0" fontId="65" fillId="15" borderId="32" applyNumberFormat="0" applyAlignment="0" applyProtection="0">
      <alignment vertical="center"/>
    </xf>
    <xf numFmtId="0" fontId="66" fillId="21" borderId="34" applyNumberFormat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8" fillId="0" borderId="36" applyNumberFormat="0" applyFill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</cellStyleXfs>
  <cellXfs count="2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8" fillId="2" borderId="3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left" vertical="center" wrapText="1"/>
    </xf>
    <xf numFmtId="9" fontId="1" fillId="0" borderId="3" xfId="0" applyNumberFormat="1" applyFont="1" applyBorder="1"/>
    <xf numFmtId="176" fontId="3" fillId="0" borderId="3" xfId="0" applyNumberFormat="1" applyFont="1" applyBorder="1" applyAlignment="1">
      <alignment horizontal="left" vertical="center" wrapText="1"/>
    </xf>
    <xf numFmtId="177" fontId="3" fillId="0" borderId="3" xfId="0" applyNumberFormat="1" applyFont="1" applyBorder="1" applyAlignment="1">
      <alignment horizontal="left" vertical="center" wrapText="1"/>
    </xf>
    <xf numFmtId="176" fontId="10" fillId="0" borderId="0" xfId="3" applyNumberFormat="1" applyFont="1" applyAlignment="1">
      <alignment horizontal="left" vertical="center" wrapText="1"/>
    </xf>
    <xf numFmtId="0" fontId="0" fillId="0" borderId="0" xfId="0" applyFont="1"/>
    <xf numFmtId="0" fontId="11" fillId="0" borderId="0" xfId="0" applyFont="1"/>
    <xf numFmtId="0" fontId="12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13" fillId="0" borderId="0" xfId="0" applyFont="1"/>
    <xf numFmtId="176" fontId="14" fillId="0" borderId="0" xfId="3" applyNumberFormat="1" applyFont="1" applyAlignment="1"/>
    <xf numFmtId="0" fontId="15" fillId="0" borderId="5" xfId="0" applyFont="1" applyBorder="1" applyAlignment="1">
      <alignment horizontal="center" vertical="top" wrapText="1"/>
    </xf>
    <xf numFmtId="9" fontId="15" fillId="0" borderId="5" xfId="0" applyNumberFormat="1" applyFont="1" applyBorder="1" applyAlignment="1">
      <alignment horizontal="center" vertical="top" wrapText="1"/>
    </xf>
    <xf numFmtId="10" fontId="15" fillId="0" borderId="5" xfId="0" applyNumberFormat="1" applyFont="1" applyBorder="1" applyAlignment="1">
      <alignment horizontal="center" vertical="top" wrapText="1"/>
    </xf>
    <xf numFmtId="176" fontId="15" fillId="0" borderId="5" xfId="3" applyNumberFormat="1" applyFont="1" applyBorder="1" applyAlignment="1">
      <alignment horizontal="center" vertical="center" wrapText="1"/>
    </xf>
    <xf numFmtId="178" fontId="15" fillId="0" borderId="5" xfId="0" applyNumberFormat="1" applyFont="1" applyBorder="1" applyAlignment="1">
      <alignment horizontal="center" vertical="center" wrapText="1"/>
    </xf>
    <xf numFmtId="176" fontId="1" fillId="0" borderId="0" xfId="0" applyNumberFormat="1" applyFont="1"/>
    <xf numFmtId="0" fontId="15" fillId="3" borderId="5" xfId="0" applyFont="1" applyFill="1" applyBorder="1" applyAlignment="1">
      <alignment horizontal="center" vertical="top" wrapText="1"/>
    </xf>
    <xf numFmtId="9" fontId="15" fillId="3" borderId="5" xfId="0" applyNumberFormat="1" applyFont="1" applyFill="1" applyBorder="1" applyAlignment="1">
      <alignment horizontal="center" vertical="top" wrapText="1"/>
    </xf>
    <xf numFmtId="10" fontId="15" fillId="3" borderId="5" xfId="0" applyNumberFormat="1" applyFont="1" applyFill="1" applyBorder="1" applyAlignment="1">
      <alignment horizontal="center" vertical="top" wrapText="1"/>
    </xf>
    <xf numFmtId="176" fontId="15" fillId="3" borderId="5" xfId="3" applyNumberFormat="1" applyFont="1" applyFill="1" applyBorder="1" applyAlignment="1">
      <alignment horizontal="center" vertical="center" wrapText="1"/>
    </xf>
    <xf numFmtId="178" fontId="15" fillId="3" borderId="5" xfId="0" applyNumberFormat="1" applyFont="1" applyFill="1" applyBorder="1" applyAlignment="1">
      <alignment horizontal="center" vertical="center" wrapText="1"/>
    </xf>
    <xf numFmtId="0" fontId="16" fillId="0" borderId="0" xfId="0" applyFont="1"/>
    <xf numFmtId="176" fontId="1" fillId="0" borderId="0" xfId="3" applyNumberFormat="1" applyFont="1" applyAlignment="1"/>
    <xf numFmtId="0" fontId="17" fillId="0" borderId="0" xfId="0" applyFont="1"/>
    <xf numFmtId="10" fontId="4" fillId="0" borderId="0" xfId="3" applyNumberFormat="1" applyFont="1" applyAlignment="1"/>
    <xf numFmtId="10" fontId="4" fillId="0" borderId="0" xfId="3" applyNumberFormat="1" applyFont="1" applyAlignment="1">
      <alignment horizontal="center" vertical="center"/>
    </xf>
    <xf numFmtId="178" fontId="4" fillId="0" borderId="0" xfId="3" applyNumberFormat="1" applyFont="1" applyAlignment="1">
      <alignment horizontal="center" vertical="center"/>
    </xf>
    <xf numFmtId="9" fontId="1" fillId="0" borderId="0" xfId="0" applyNumberFormat="1" applyFont="1"/>
    <xf numFmtId="43" fontId="1" fillId="0" borderId="0" xfId="0" applyNumberFormat="1" applyFont="1"/>
    <xf numFmtId="10" fontId="1" fillId="0" borderId="0" xfId="0" applyNumberFormat="1" applyFont="1"/>
    <xf numFmtId="10" fontId="1" fillId="0" borderId="0" xfId="3" applyNumberFormat="1" applyFont="1" applyAlignment="1"/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3" fillId="4" borderId="0" xfId="0" applyFont="1" applyFill="1" applyAlignment="1">
      <alignment vertical="center" wrapText="1"/>
    </xf>
    <xf numFmtId="0" fontId="24" fillId="5" borderId="3" xfId="0" applyFont="1" applyFill="1" applyBorder="1" applyAlignment="1">
      <alignment horizontal="left" vertical="center" wrapText="1"/>
    </xf>
    <xf numFmtId="0" fontId="23" fillId="4" borderId="3" xfId="0" applyFont="1" applyFill="1" applyBorder="1" applyAlignment="1">
      <alignment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179" fontId="28" fillId="7" borderId="3" xfId="0" applyNumberFormat="1" applyFont="1" applyFill="1" applyBorder="1" applyAlignment="1">
      <alignment horizontal="left" vertical="center" wrapText="1"/>
    </xf>
    <xf numFmtId="176" fontId="28" fillId="7" borderId="3" xfId="3" applyNumberFormat="1" applyFont="1" applyFill="1" applyBorder="1" applyAlignment="1">
      <alignment horizontal="left" vertical="center" wrapText="1"/>
    </xf>
    <xf numFmtId="180" fontId="28" fillId="7" borderId="3" xfId="3" applyNumberFormat="1" applyFont="1" applyFill="1" applyBorder="1" applyAlignment="1">
      <alignment horizontal="left" vertical="center" wrapText="1"/>
    </xf>
    <xf numFmtId="180" fontId="28" fillId="7" borderId="3" xfId="0" applyNumberFormat="1" applyFont="1" applyFill="1" applyBorder="1" applyAlignment="1">
      <alignment horizontal="left" vertical="center" wrapText="1"/>
    </xf>
    <xf numFmtId="180" fontId="1" fillId="8" borderId="3" xfId="0" applyNumberFormat="1" applyFont="1" applyFill="1" applyBorder="1" applyAlignment="1">
      <alignment vertical="center"/>
    </xf>
    <xf numFmtId="176" fontId="1" fillId="8" borderId="3" xfId="3" applyNumberFormat="1" applyFont="1" applyFill="1" applyBorder="1" applyAlignment="1" applyProtection="1">
      <alignment vertical="center"/>
    </xf>
    <xf numFmtId="177" fontId="1" fillId="8" borderId="3" xfId="3" applyNumberFormat="1" applyFont="1" applyFill="1" applyBorder="1" applyAlignment="1" applyProtection="1">
      <alignment vertical="center"/>
    </xf>
    <xf numFmtId="176" fontId="28" fillId="4" borderId="3" xfId="3" applyNumberFormat="1" applyFont="1" applyFill="1" applyBorder="1" applyAlignment="1">
      <alignment horizontal="left" vertical="center" wrapText="1"/>
    </xf>
    <xf numFmtId="180" fontId="28" fillId="4" borderId="3" xfId="3" applyNumberFormat="1" applyFont="1" applyFill="1" applyBorder="1" applyAlignment="1">
      <alignment horizontal="left" vertical="center" wrapText="1"/>
    </xf>
    <xf numFmtId="180" fontId="28" fillId="4" borderId="3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25" fillId="9" borderId="6" xfId="0" applyFont="1" applyFill="1" applyBorder="1" applyAlignment="1">
      <alignment horizontal="center" vertical="top" wrapText="1"/>
    </xf>
    <xf numFmtId="0" fontId="25" fillId="9" borderId="7" xfId="0" applyFont="1" applyFill="1" applyBorder="1" applyAlignment="1">
      <alignment horizontal="center" vertical="top" wrapText="1"/>
    </xf>
    <xf numFmtId="0" fontId="29" fillId="9" borderId="7" xfId="0" applyFont="1" applyFill="1" applyBorder="1" applyAlignment="1">
      <alignment horizontal="center" vertical="top" wrapText="1"/>
    </xf>
    <xf numFmtId="17" fontId="30" fillId="10" borderId="8" xfId="0" applyNumberFormat="1" applyFont="1" applyFill="1" applyBorder="1" applyAlignment="1">
      <alignment horizontal="center" vertical="top" wrapText="1"/>
    </xf>
    <xf numFmtId="0" fontId="30" fillId="10" borderId="9" xfId="0" applyFont="1" applyFill="1" applyBorder="1" applyAlignment="1">
      <alignment horizontal="center" vertical="top" wrapText="1"/>
    </xf>
    <xf numFmtId="10" fontId="30" fillId="10" borderId="9" xfId="0" applyNumberFormat="1" applyFont="1" applyFill="1" applyBorder="1" applyAlignment="1">
      <alignment horizontal="center" vertical="top" wrapText="1"/>
    </xf>
    <xf numFmtId="181" fontId="30" fillId="10" borderId="9" xfId="0" applyNumberFormat="1" applyFont="1" applyFill="1" applyBorder="1" applyAlignment="1">
      <alignment horizontal="center" vertical="top" wrapText="1"/>
    </xf>
    <xf numFmtId="17" fontId="30" fillId="4" borderId="8" xfId="0" applyNumberFormat="1" applyFont="1" applyFill="1" applyBorder="1" applyAlignment="1">
      <alignment horizontal="center" vertical="top" wrapText="1"/>
    </xf>
    <xf numFmtId="0" fontId="30" fillId="4" borderId="9" xfId="0" applyFont="1" applyFill="1" applyBorder="1" applyAlignment="1">
      <alignment horizontal="center" vertical="top" wrapText="1"/>
    </xf>
    <xf numFmtId="10" fontId="30" fillId="4" borderId="9" xfId="0" applyNumberFormat="1" applyFont="1" applyFill="1" applyBorder="1" applyAlignment="1">
      <alignment horizontal="center" vertical="top" wrapText="1"/>
    </xf>
    <xf numFmtId="182" fontId="1" fillId="0" borderId="0" xfId="0" applyNumberFormat="1" applyFont="1" applyAlignment="1">
      <alignment horizontal="center" vertical="center"/>
    </xf>
    <xf numFmtId="2" fontId="25" fillId="6" borderId="3" xfId="0" applyNumberFormat="1" applyFont="1" applyFill="1" applyBorder="1" applyAlignment="1">
      <alignment horizontal="center" vertical="center" wrapText="1"/>
    </xf>
    <xf numFmtId="0" fontId="25" fillId="6" borderId="10" xfId="0" applyFont="1" applyFill="1" applyBorder="1" applyAlignment="1">
      <alignment horizontal="center" vertical="center" wrapText="1"/>
    </xf>
    <xf numFmtId="2" fontId="25" fillId="6" borderId="11" xfId="0" applyNumberFormat="1" applyFont="1" applyFill="1" applyBorder="1" applyAlignment="1">
      <alignment horizontal="center" vertical="center" wrapText="1"/>
    </xf>
    <xf numFmtId="0" fontId="25" fillId="6" borderId="12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left" vertical="center" wrapText="1"/>
    </xf>
    <xf numFmtId="176" fontId="28" fillId="7" borderId="10" xfId="3" applyNumberFormat="1" applyFont="1" applyFill="1" applyBorder="1" applyAlignment="1">
      <alignment horizontal="left" vertical="center" wrapText="1"/>
    </xf>
    <xf numFmtId="177" fontId="28" fillId="7" borderId="13" xfId="0" applyNumberFormat="1" applyFont="1" applyFill="1" applyBorder="1" applyAlignment="1">
      <alignment horizontal="left" vertical="center" wrapText="1"/>
    </xf>
    <xf numFmtId="177" fontId="28" fillId="7" borderId="14" xfId="0" applyNumberFormat="1" applyFont="1" applyFill="1" applyBorder="1" applyAlignment="1">
      <alignment horizontal="left" vertical="center" wrapText="1"/>
    </xf>
    <xf numFmtId="0" fontId="28" fillId="4" borderId="3" xfId="0" applyFont="1" applyFill="1" applyBorder="1" applyAlignment="1">
      <alignment horizontal="left" vertical="center" wrapText="1"/>
    </xf>
    <xf numFmtId="176" fontId="28" fillId="4" borderId="10" xfId="3" applyNumberFormat="1" applyFont="1" applyFill="1" applyBorder="1" applyAlignment="1">
      <alignment horizontal="left" vertical="center" wrapText="1"/>
    </xf>
    <xf numFmtId="177" fontId="28" fillId="4" borderId="13" xfId="0" applyNumberFormat="1" applyFont="1" applyFill="1" applyBorder="1" applyAlignment="1">
      <alignment horizontal="left" vertical="center" wrapText="1"/>
    </xf>
    <xf numFmtId="177" fontId="28" fillId="4" borderId="14" xfId="0" applyNumberFormat="1" applyFont="1" applyFill="1" applyBorder="1" applyAlignment="1">
      <alignment horizontal="left" vertical="center" wrapText="1"/>
    </xf>
    <xf numFmtId="177" fontId="28" fillId="4" borderId="15" xfId="0" applyNumberFormat="1" applyFont="1" applyFill="1" applyBorder="1" applyAlignment="1">
      <alignment horizontal="left" vertical="center" wrapText="1"/>
    </xf>
    <xf numFmtId="177" fontId="28" fillId="4" borderId="16" xfId="0" applyNumberFormat="1" applyFont="1" applyFill="1" applyBorder="1" applyAlignment="1">
      <alignment horizontal="left" vertical="center" wrapText="1"/>
    </xf>
    <xf numFmtId="0" fontId="31" fillId="4" borderId="0" xfId="0" applyFont="1" applyFill="1" applyBorder="1" applyAlignment="1">
      <alignment horizontal="left" vertical="center" wrapText="1"/>
    </xf>
    <xf numFmtId="176" fontId="31" fillId="4" borderId="0" xfId="3" applyNumberFormat="1" applyFont="1" applyFill="1" applyBorder="1" applyAlignment="1">
      <alignment horizontal="left" vertical="center" wrapText="1"/>
    </xf>
    <xf numFmtId="177" fontId="31" fillId="4" borderId="0" xfId="0" applyNumberFormat="1" applyFont="1" applyFill="1" applyBorder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/>
    <xf numFmtId="0" fontId="34" fillId="6" borderId="17" xfId="0" applyFont="1" applyFill="1" applyBorder="1" applyAlignment="1">
      <alignment horizontal="center" vertical="center" wrapText="1"/>
    </xf>
    <xf numFmtId="2" fontId="34" fillId="6" borderId="17" xfId="0" applyNumberFormat="1" applyFont="1" applyFill="1" applyBorder="1" applyAlignment="1">
      <alignment horizontal="center" vertical="center" wrapText="1"/>
    </xf>
    <xf numFmtId="0" fontId="35" fillId="7" borderId="17" xfId="0" applyFont="1" applyFill="1" applyBorder="1" applyAlignment="1">
      <alignment horizontal="left" vertical="center" wrapText="1"/>
    </xf>
    <xf numFmtId="2" fontId="35" fillId="7" borderId="17" xfId="0" applyNumberFormat="1" applyFont="1" applyFill="1" applyBorder="1" applyAlignment="1">
      <alignment horizontal="left" vertical="center" wrapText="1"/>
    </xf>
    <xf numFmtId="0" fontId="35" fillId="4" borderId="17" xfId="0" applyFont="1" applyFill="1" applyBorder="1" applyAlignment="1">
      <alignment horizontal="left" vertical="center" wrapText="1"/>
    </xf>
    <xf numFmtId="2" fontId="35" fillId="4" borderId="17" xfId="0" applyNumberFormat="1" applyFont="1" applyFill="1" applyBorder="1" applyAlignment="1">
      <alignment horizontal="left" vertical="center" wrapText="1"/>
    </xf>
    <xf numFmtId="176" fontId="35" fillId="7" borderId="17" xfId="0" applyNumberFormat="1" applyFont="1" applyFill="1" applyBorder="1" applyAlignment="1">
      <alignment horizontal="left" vertical="center" wrapText="1"/>
    </xf>
    <xf numFmtId="176" fontId="35" fillId="7" borderId="17" xfId="3" applyNumberFormat="1" applyFont="1" applyFill="1" applyBorder="1" applyAlignment="1" applyProtection="1">
      <alignment horizontal="left" vertical="center" wrapText="1"/>
    </xf>
    <xf numFmtId="10" fontId="35" fillId="7" borderId="17" xfId="3" applyNumberFormat="1" applyFont="1" applyFill="1" applyBorder="1" applyAlignment="1" applyProtection="1">
      <alignment horizontal="left" vertical="center" wrapText="1"/>
    </xf>
    <xf numFmtId="10" fontId="0" fillId="0" borderId="0" xfId="3" applyNumberFormat="1" applyAlignment="1"/>
    <xf numFmtId="176" fontId="35" fillId="4" borderId="17" xfId="0" applyNumberFormat="1" applyFont="1" applyFill="1" applyBorder="1" applyAlignment="1">
      <alignment horizontal="left" vertical="center" wrapText="1"/>
    </xf>
    <xf numFmtId="176" fontId="35" fillId="4" borderId="17" xfId="3" applyNumberFormat="1" applyFont="1" applyFill="1" applyBorder="1" applyAlignment="1" applyProtection="1">
      <alignment horizontal="left" vertical="center" wrapText="1"/>
    </xf>
    <xf numFmtId="0" fontId="36" fillId="0" borderId="0" xfId="0" applyFont="1"/>
    <xf numFmtId="176" fontId="37" fillId="0" borderId="0" xfId="0" applyNumberFormat="1" applyFont="1"/>
    <xf numFmtId="10" fontId="37" fillId="0" borderId="0" xfId="0" applyNumberFormat="1" applyFont="1"/>
    <xf numFmtId="0" fontId="38" fillId="0" borderId="0" xfId="0" applyFont="1"/>
    <xf numFmtId="0" fontId="39" fillId="0" borderId="0" xfId="0" applyFont="1"/>
    <xf numFmtId="0" fontId="33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34" fillId="6" borderId="3" xfId="0" applyFont="1" applyFill="1" applyBorder="1" applyAlignment="1">
      <alignment horizontal="center" vertical="center" wrapText="1"/>
    </xf>
    <xf numFmtId="2" fontId="34" fillId="6" borderId="3" xfId="0" applyNumberFormat="1" applyFont="1" applyFill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left" vertical="center" wrapText="1"/>
    </xf>
    <xf numFmtId="180" fontId="35" fillId="7" borderId="3" xfId="0" applyNumberFormat="1" applyFont="1" applyFill="1" applyBorder="1" applyAlignment="1">
      <alignment horizontal="left" vertical="top" wrapText="1"/>
    </xf>
    <xf numFmtId="0" fontId="35" fillId="7" borderId="3" xfId="0" applyFont="1" applyFill="1" applyBorder="1" applyAlignment="1">
      <alignment horizontal="left" vertical="top" wrapText="1"/>
    </xf>
    <xf numFmtId="0" fontId="35" fillId="4" borderId="3" xfId="0" applyFont="1" applyFill="1" applyBorder="1" applyAlignment="1">
      <alignment horizontal="left" vertical="center" wrapText="1"/>
    </xf>
    <xf numFmtId="176" fontId="35" fillId="4" borderId="3" xfId="3" applyNumberFormat="1" applyFont="1" applyFill="1" applyBorder="1" applyAlignment="1">
      <alignment horizontal="center" vertical="center" wrapText="1"/>
    </xf>
    <xf numFmtId="176" fontId="35" fillId="7" borderId="3" xfId="3" applyNumberFormat="1" applyFont="1" applyFill="1" applyBorder="1" applyAlignment="1">
      <alignment horizontal="center" vertical="center" wrapText="1"/>
    </xf>
    <xf numFmtId="2" fontId="35" fillId="7" borderId="3" xfId="0" applyNumberFormat="1" applyFont="1" applyFill="1" applyBorder="1" applyAlignment="1">
      <alignment horizontal="center" vertical="center" wrapText="1"/>
    </xf>
    <xf numFmtId="9" fontId="35" fillId="7" borderId="3" xfId="0" applyNumberFormat="1" applyFont="1" applyFill="1" applyBorder="1" applyAlignment="1">
      <alignment horizontal="left" vertical="center" wrapText="1"/>
    </xf>
    <xf numFmtId="180" fontId="35" fillId="7" borderId="3" xfId="0" applyNumberFormat="1" applyFont="1" applyFill="1" applyBorder="1" applyAlignment="1">
      <alignment horizontal="left" vertical="center" wrapText="1"/>
    </xf>
    <xf numFmtId="2" fontId="35" fillId="4" borderId="3" xfId="0" applyNumberFormat="1" applyFont="1" applyFill="1" applyBorder="1" applyAlignment="1">
      <alignment horizontal="left" vertical="center" wrapText="1"/>
    </xf>
    <xf numFmtId="2" fontId="35" fillId="7" borderId="3" xfId="0" applyNumberFormat="1" applyFont="1" applyFill="1" applyBorder="1" applyAlignment="1">
      <alignment horizontal="left" vertical="center" wrapText="1"/>
    </xf>
    <xf numFmtId="9" fontId="35" fillId="4" borderId="3" xfId="0" applyNumberFormat="1" applyFont="1" applyFill="1" applyBorder="1" applyAlignment="1">
      <alignment horizontal="left" vertical="center" wrapText="1"/>
    </xf>
    <xf numFmtId="0" fontId="0" fillId="8" borderId="0" xfId="0" applyFill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0" fillId="8" borderId="3" xfId="0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0" fontId="0" fillId="12" borderId="3" xfId="0" applyFill="1" applyBorder="1" applyAlignment="1">
      <alignment vertical="center"/>
    </xf>
    <xf numFmtId="0" fontId="40" fillId="8" borderId="3" xfId="0" applyFont="1" applyFill="1" applyBorder="1" applyAlignment="1">
      <alignment vertical="center"/>
    </xf>
    <xf numFmtId="0" fontId="0" fillId="12" borderId="0" xfId="0" applyFill="1" applyAlignment="1">
      <alignment vertical="center"/>
    </xf>
    <xf numFmtId="0" fontId="40" fillId="8" borderId="0" xfId="0" applyFont="1" applyFill="1" applyAlignment="1">
      <alignment vertical="center"/>
    </xf>
    <xf numFmtId="0" fontId="41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0" fillId="8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176" fontId="0" fillId="8" borderId="3" xfId="3" applyNumberFormat="1" applyFill="1" applyBorder="1" applyAlignment="1">
      <alignment horizontal="center" vertical="center"/>
    </xf>
    <xf numFmtId="176" fontId="40" fillId="8" borderId="3" xfId="3" applyNumberFormat="1" applyFont="1" applyFill="1" applyBorder="1" applyAlignment="1">
      <alignment horizontal="center" vertical="center"/>
    </xf>
    <xf numFmtId="176" fontId="11" fillId="8" borderId="3" xfId="3" applyNumberFormat="1" applyFont="1" applyFill="1" applyBorder="1" applyAlignment="1">
      <alignment horizontal="center" vertical="center"/>
    </xf>
    <xf numFmtId="180" fontId="0" fillId="8" borderId="3" xfId="3" applyNumberFormat="1" applyFill="1" applyBorder="1" applyAlignment="1">
      <alignment horizontal="center" vertical="center"/>
    </xf>
    <xf numFmtId="180" fontId="40" fillId="8" borderId="3" xfId="3" applyNumberFormat="1" applyFont="1" applyFill="1" applyBorder="1" applyAlignment="1">
      <alignment horizontal="center" vertical="center"/>
    </xf>
    <xf numFmtId="180" fontId="11" fillId="8" borderId="3" xfId="3" applyNumberFormat="1" applyFont="1" applyFill="1" applyBorder="1" applyAlignment="1">
      <alignment horizontal="center" vertical="center"/>
    </xf>
    <xf numFmtId="176" fontId="11" fillId="14" borderId="3" xfId="3" applyNumberFormat="1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wrapText="1"/>
    </xf>
    <xf numFmtId="0" fontId="25" fillId="2" borderId="7" xfId="0" applyFont="1" applyFill="1" applyBorder="1" applyAlignment="1">
      <alignment horizontal="center" wrapText="1"/>
    </xf>
    <xf numFmtId="0" fontId="6" fillId="15" borderId="8" xfId="0" applyFont="1" applyFill="1" applyBorder="1" applyAlignment="1">
      <alignment horizontal="left" vertical="top" wrapText="1"/>
    </xf>
    <xf numFmtId="0" fontId="6" fillId="15" borderId="9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center" vertical="top" wrapText="1"/>
    </xf>
    <xf numFmtId="0" fontId="25" fillId="2" borderId="1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left" vertical="center"/>
    </xf>
    <xf numFmtId="0" fontId="1" fillId="0" borderId="18" xfId="0" applyFont="1" applyBorder="1"/>
    <xf numFmtId="0" fontId="1" fillId="0" borderId="12" xfId="0" applyFont="1" applyBorder="1"/>
    <xf numFmtId="0" fontId="1" fillId="0" borderId="15" xfId="0" applyFont="1" applyBorder="1" applyAlignment="1">
      <alignment horizontal="left" vertical="center"/>
    </xf>
    <xf numFmtId="0" fontId="1" fillId="0" borderId="19" xfId="0" applyFont="1" applyBorder="1"/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/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1" fillId="0" borderId="21" xfId="0" applyFont="1" applyBorder="1"/>
    <xf numFmtId="0" fontId="1" fillId="0" borderId="25" xfId="0" applyFont="1" applyBorder="1"/>
    <xf numFmtId="0" fontId="1" fillId="0" borderId="26" xfId="0" applyFont="1" applyBorder="1"/>
    <xf numFmtId="183" fontId="25" fillId="6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/>
    <xf numFmtId="0" fontId="17" fillId="0" borderId="3" xfId="0" applyFont="1" applyBorder="1"/>
    <xf numFmtId="0" fontId="42" fillId="0" borderId="0" xfId="0" applyFont="1"/>
    <xf numFmtId="0" fontId="43" fillId="0" borderId="0" xfId="0" applyFont="1"/>
    <xf numFmtId="0" fontId="1" fillId="0" borderId="0" xfId="0" applyFont="1" applyAlignment="1">
      <alignment horizontal="left" vertical="top" wrapText="1"/>
    </xf>
    <xf numFmtId="0" fontId="25" fillId="16" borderId="6" xfId="0" applyFont="1" applyFill="1" applyBorder="1" applyAlignment="1">
      <alignment horizontal="center" wrapText="1"/>
    </xf>
    <xf numFmtId="0" fontId="25" fillId="16" borderId="7" xfId="0" applyFont="1" applyFill="1" applyBorder="1" applyAlignment="1">
      <alignment horizontal="center" wrapText="1"/>
    </xf>
    <xf numFmtId="0" fontId="6" fillId="17" borderId="8" xfId="0" applyFont="1" applyFill="1" applyBorder="1" applyAlignment="1">
      <alignment horizontal="justify" wrapText="1"/>
    </xf>
    <xf numFmtId="0" fontId="6" fillId="17" borderId="9" xfId="0" applyFont="1" applyFill="1" applyBorder="1" applyAlignment="1">
      <alignment horizontal="justify" wrapText="1"/>
    </xf>
    <xf numFmtId="0" fontId="6" fillId="4" borderId="8" xfId="0" applyFont="1" applyFill="1" applyBorder="1" applyAlignment="1">
      <alignment horizontal="justify" wrapText="1"/>
    </xf>
    <xf numFmtId="0" fontId="6" fillId="4" borderId="9" xfId="0" applyFont="1" applyFill="1" applyBorder="1" applyAlignment="1">
      <alignment horizontal="justify" wrapText="1"/>
    </xf>
    <xf numFmtId="0" fontId="1" fillId="0" borderId="0" xfId="0" applyFont="1" applyAlignment="1">
      <alignment horizontal="left" indent="1"/>
    </xf>
    <xf numFmtId="180" fontId="1" fillId="0" borderId="3" xfId="0" applyNumberFormat="1" applyFont="1" applyBorder="1"/>
    <xf numFmtId="180" fontId="1" fillId="0" borderId="3" xfId="3" applyNumberFormat="1" applyFont="1" applyBorder="1" applyAlignment="1"/>
    <xf numFmtId="176" fontId="1" fillId="0" borderId="3" xfId="3" applyNumberFormat="1" applyFont="1" applyBorder="1" applyAlignment="1"/>
    <xf numFmtId="0" fontId="4" fillId="0" borderId="3" xfId="0" applyFont="1" applyBorder="1" applyAlignment="1">
      <alignment vertical="center"/>
    </xf>
    <xf numFmtId="180" fontId="1" fillId="0" borderId="10" xfId="0" applyNumberFormat="1" applyFont="1" applyBorder="1" applyAlignment="1">
      <alignment horizontal="center"/>
    </xf>
    <xf numFmtId="180" fontId="1" fillId="0" borderId="27" xfId="0" applyNumberFormat="1" applyFont="1" applyBorder="1" applyAlignment="1">
      <alignment horizontal="center"/>
    </xf>
    <xf numFmtId="180" fontId="1" fillId="0" borderId="28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4" fillId="0" borderId="0" xfId="0" applyFont="1"/>
    <xf numFmtId="9" fontId="14" fillId="0" borderId="3" xfId="0" applyNumberFormat="1" applyFont="1" applyBorder="1"/>
    <xf numFmtId="0" fontId="4" fillId="0" borderId="0" xfId="0" applyFont="1" applyBorder="1"/>
    <xf numFmtId="180" fontId="4" fillId="0" borderId="0" xfId="0" applyNumberFormat="1" applyFont="1" applyBorder="1"/>
    <xf numFmtId="180" fontId="1" fillId="0" borderId="0" xfId="0" applyNumberFormat="1" applyFont="1" applyBorder="1"/>
    <xf numFmtId="180" fontId="4" fillId="0" borderId="0" xfId="3" applyNumberFormat="1" applyFont="1" applyBorder="1" applyAlignment="1"/>
    <xf numFmtId="176" fontId="4" fillId="0" borderId="0" xfId="3" applyNumberFormat="1" applyFont="1" applyBorder="1" applyAlignment="1"/>
    <xf numFmtId="0" fontId="1" fillId="0" borderId="0" xfId="0" applyFont="1" applyBorder="1"/>
    <xf numFmtId="0" fontId="44" fillId="0" borderId="0" xfId="0" applyFont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25" fillId="6" borderId="4" xfId="0" applyFont="1" applyFill="1" applyBorder="1" applyAlignment="1">
      <alignment horizontal="center" vertical="top" wrapText="1"/>
    </xf>
    <xf numFmtId="0" fontId="6" fillId="7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46" fillId="4" borderId="5" xfId="0" applyFont="1" applyFill="1" applyBorder="1" applyAlignment="1">
      <alignment vertical="top" wrapText="1"/>
    </xf>
    <xf numFmtId="0" fontId="47" fillId="0" borderId="0" xfId="0" applyFont="1"/>
    <xf numFmtId="0" fontId="37" fillId="0" borderId="0" xfId="0" applyFont="1"/>
    <xf numFmtId="0" fontId="48" fillId="2" borderId="4" xfId="0" applyFont="1" applyFill="1" applyBorder="1" applyAlignment="1">
      <alignment horizontal="center" vertical="top" wrapText="1"/>
    </xf>
    <xf numFmtId="0" fontId="49" fillId="18" borderId="4" xfId="0" applyFont="1" applyFill="1" applyBorder="1" applyAlignment="1">
      <alignment horizontal="center" vertical="top" wrapText="1"/>
    </xf>
    <xf numFmtId="0" fontId="49" fillId="11" borderId="4" xfId="0" applyFont="1" applyFill="1" applyBorder="1" applyAlignment="1">
      <alignment horizontal="center" vertical="top" wrapText="1"/>
    </xf>
    <xf numFmtId="0" fontId="50" fillId="0" borderId="5" xfId="0" applyFont="1" applyBorder="1" applyAlignment="1">
      <alignment horizontal="center" vertical="top" wrapText="1"/>
    </xf>
    <xf numFmtId="10" fontId="50" fillId="0" borderId="5" xfId="0" applyNumberFormat="1" applyFont="1" applyBorder="1" applyAlignment="1">
      <alignment horizontal="center" vertical="top" wrapText="1"/>
    </xf>
    <xf numFmtId="0" fontId="51" fillId="3" borderId="5" xfId="0" applyFont="1" applyFill="1" applyBorder="1" applyAlignment="1">
      <alignment horizontal="center" vertical="top" wrapText="1"/>
    </xf>
    <xf numFmtId="10" fontId="51" fillId="3" borderId="5" xfId="0" applyNumberFormat="1" applyFont="1" applyFill="1" applyBorder="1" applyAlignment="1">
      <alignment horizontal="center" vertical="top" wrapText="1"/>
    </xf>
    <xf numFmtId="176" fontId="0" fillId="0" borderId="3" xfId="3" applyNumberFormat="1" applyBorder="1" applyAlignment="1"/>
    <xf numFmtId="0" fontId="51" fillId="0" borderId="5" xfId="0" applyFont="1" applyBorder="1" applyAlignment="1">
      <alignment horizontal="center" vertical="top" wrapText="1"/>
    </xf>
    <xf numFmtId="10" fontId="51" fillId="0" borderId="5" xfId="0" applyNumberFormat="1" applyFont="1" applyBorder="1" applyAlignment="1">
      <alignment horizontal="center" vertical="top" wrapText="1"/>
    </xf>
    <xf numFmtId="176" fontId="11" fillId="0" borderId="3" xfId="3" applyNumberFormat="1" applyFont="1" applyBorder="1" applyAlignment="1"/>
    <xf numFmtId="0" fontId="52" fillId="0" borderId="3" xfId="0" applyFont="1" applyBorder="1" applyAlignment="1">
      <alignment horizontal="center" vertical="center" wrapText="1"/>
    </xf>
    <xf numFmtId="0" fontId="53" fillId="0" borderId="0" xfId="0" applyFont="1"/>
    <xf numFmtId="0" fontId="54" fillId="0" borderId="0" xfId="0" applyFont="1"/>
    <xf numFmtId="0" fontId="0" fillId="8" borderId="0" xfId="0" applyFill="1"/>
    <xf numFmtId="0" fontId="11" fillId="0" borderId="0" xfId="0" applyFont="1" quotePrefix="1"/>
    <xf numFmtId="0" fontId="4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'7. Lift值'!$F$12</c:f>
              <c:strCache>
                <c:ptCount val="1"/>
                <c:pt idx="0">
                  <c:v>Lift值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'7. Lift值'!$F$13:$F$22</c:f>
              <c:numCache>
                <c:formatCode>_ * #,##0.00_ ;_ * \-#,##0.00_ ;_ * "-"??.0_ ;_ @_ </c:formatCode>
                <c:ptCount val="10"/>
                <c:pt idx="0">
                  <c:v>3.04568527918782</c:v>
                </c:pt>
                <c:pt idx="1">
                  <c:v>2.03045685279188</c:v>
                </c:pt>
                <c:pt idx="2">
                  <c:v>1.52284263959391</c:v>
                </c:pt>
                <c:pt idx="3">
                  <c:v>1.31979695431472</c:v>
                </c:pt>
                <c:pt idx="4">
                  <c:v>0.913705583756345</c:v>
                </c:pt>
                <c:pt idx="5">
                  <c:v>0.50761421319797</c:v>
                </c:pt>
                <c:pt idx="6">
                  <c:v>0.253807106598985</c:v>
                </c:pt>
                <c:pt idx="7">
                  <c:v>0.203045685279188</c:v>
                </c:pt>
                <c:pt idx="8">
                  <c:v>0.152284263959391</c:v>
                </c:pt>
                <c:pt idx="9">
                  <c:v>0.050761421319797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6713899"/>
        <c:axId val="80292163"/>
      </c:lineChart>
      <c:catAx>
        <c:axId val="8567138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92163"/>
        <c:crosses val="autoZero"/>
        <c:auto val="1"/>
        <c:lblAlgn val="ctr"/>
        <c:lblOffset val="100"/>
        <c:noMultiLvlLbl val="0"/>
      </c:catAx>
      <c:valAx>
        <c:axId val="802921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.00_ ;_ * \-#,##0.00_ ;_ * &quot;-&quot;??.0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7138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864310-9687-4c85-a294-a445a8408c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347980</xdr:colOff>
      <xdr:row>15</xdr:row>
      <xdr:rowOff>12700</xdr:rowOff>
    </xdr:from>
    <xdr:to>
      <xdr:col>6</xdr:col>
      <xdr:colOff>513080</xdr:colOff>
      <xdr:row>37</xdr:row>
      <xdr:rowOff>120650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7580" y="2978150"/>
          <a:ext cx="3213100" cy="4019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222250</xdr:colOff>
      <xdr:row>43</xdr:row>
      <xdr:rowOff>76200</xdr:rowOff>
    </xdr:from>
    <xdr:to>
      <xdr:col>7</xdr:col>
      <xdr:colOff>381000</xdr:colOff>
      <xdr:row>44</xdr:row>
      <xdr:rowOff>104775</xdr:rowOff>
    </xdr:to>
    <xdr:sp>
      <xdr:nvSpPr>
        <xdr:cNvPr id="2" name="右箭头 1"/>
        <xdr:cNvSpPr/>
      </xdr:nvSpPr>
      <xdr:spPr>
        <a:xfrm>
          <a:off x="4933950" y="7883525"/>
          <a:ext cx="800100" cy="21590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158750</xdr:colOff>
      <xdr:row>7</xdr:row>
      <xdr:rowOff>38100</xdr:rowOff>
    </xdr:from>
    <xdr:to>
      <xdr:col>14</xdr:col>
      <xdr:colOff>114300</xdr:colOff>
      <xdr:row>22</xdr:row>
      <xdr:rowOff>107950</xdr:rowOff>
    </xdr:to>
    <xdr:graphicFrame>
      <xdr:nvGraphicFramePr>
        <xdr:cNvPr id="3" name="图表 2"/>
        <xdr:cNvGraphicFramePr/>
      </xdr:nvGraphicFramePr>
      <xdr:xfrm>
        <a:off x="5511800" y="1371600"/>
        <a:ext cx="46545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Mob6@30+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"/>
  <sheetViews>
    <sheetView zoomScale="85" zoomScaleNormal="85" workbookViewId="0">
      <selection activeCell="D31" sqref="D31"/>
    </sheetView>
  </sheetViews>
  <sheetFormatPr defaultColWidth="8.72727272727273" defaultRowHeight="14"/>
  <sheetData>
    <row r="1" ht="20" spans="1:16">
      <c r="A1" s="95" t="s">
        <v>0</v>
      </c>
    </row>
    <row r="2" ht="18" spans="1:16">
      <c r="A2" s="177" t="s">
        <v>1</v>
      </c>
    </row>
    <row r="3" spans="1:16">
      <c r="B3" t="s">
        <v>2</v>
      </c>
    </row>
    <row r="4" spans="1:16">
      <c r="C4" t="s">
        <v>3</v>
      </c>
    </row>
    <row r="5" spans="1:16">
      <c r="C5" t="s">
        <v>4</v>
      </c>
    </row>
    <row r="7" spans="1:16">
      <c r="B7" t="s">
        <v>5</v>
      </c>
    </row>
    <row r="8" ht="16.5" spans="1:16">
      <c r="C8" s="224" t="s">
        <v>6</v>
      </c>
    </row>
    <row r="9" ht="16.5" spans="1:16">
      <c r="C9" s="224" t="s">
        <v>7</v>
      </c>
    </row>
    <row r="10" ht="16.5" spans="1:16">
      <c r="C10" s="224" t="s">
        <v>8</v>
      </c>
    </row>
    <row r="11" ht="16.5" spans="1:16">
      <c r="C11" s="224" t="s">
        <v>9</v>
      </c>
    </row>
    <row r="13" ht="17.5" spans="1:16">
      <c r="A13" s="225" t="s">
        <v>10</v>
      </c>
    </row>
    <row r="15" spans="1:16">
      <c r="A15" s="226"/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</row>
    <row r="16" spans="1:16">
      <c r="A16" s="226"/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</row>
    <row r="17" spans="1:16">
      <c r="A17" s="226"/>
      <c r="B17" s="226"/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</row>
    <row r="18" spans="1:16">
      <c r="A18" s="226"/>
      <c r="B18" s="226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</row>
    <row r="19" spans="1:16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</row>
    <row r="20" spans="1:16">
      <c r="A20" s="226"/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</row>
    <row r="21" spans="1:16">
      <c r="A21" s="226"/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</row>
    <row r="22" spans="1:16">
      <c r="A22" s="226"/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</row>
    <row r="23" spans="1:16">
      <c r="A23" s="226"/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</row>
    <row r="24" spans="1:16">
      <c r="A24" s="226"/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</row>
    <row r="25" spans="1:16">
      <c r="A25" s="226"/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</row>
    <row r="26" spans="1:16">
      <c r="A26" s="226"/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</row>
    <row r="27" spans="1:16">
      <c r="A27" s="226"/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</row>
    <row r="28" spans="1:16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</row>
    <row r="29" spans="1:16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</row>
    <row r="30" spans="1:16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</row>
    <row r="31" spans="1:16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</row>
    <row r="32" spans="1:16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</row>
    <row r="33" spans="1:16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</row>
    <row r="34" spans="1:16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</row>
    <row r="35" spans="1:16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</row>
    <row r="36" spans="1:1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</row>
    <row r="37" spans="1:16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</row>
    <row r="38" spans="1:16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</row>
    <row r="39" spans="1:16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</row>
    <row r="40" spans="1:16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</row>
    <row r="41" ht="17.5" spans="1:16">
      <c r="A41" s="225" t="s">
        <v>11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</row>
    <row r="42" spans="1:16"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</row>
    <row r="43" spans="1:16">
      <c r="A43" t="s">
        <v>12</v>
      </c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</row>
    <row r="44" spans="1:16"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</row>
    <row r="45" spans="1:16">
      <c r="A45" s="5" t="s">
        <v>13</v>
      </c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</row>
    <row r="46" spans="1:16">
      <c r="B46" t="s">
        <v>14</v>
      </c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</row>
    <row r="47" spans="1:16">
      <c r="B47" t="s">
        <v>15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</row>
    <row r="48" spans="1:16">
      <c r="B48" t="s">
        <v>16</v>
      </c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</row>
    <row r="49" spans="1:16"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</row>
    <row r="50" spans="1:16">
      <c r="A50" s="5" t="s">
        <v>17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</row>
    <row r="51" spans="1:16">
      <c r="B51" t="s">
        <v>18</v>
      </c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</row>
    <row r="52" spans="1:16">
      <c r="B52" t="s">
        <v>19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</row>
    <row r="53" spans="1:16">
      <c r="B53" t="s">
        <v>20</v>
      </c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</row>
    <row r="54" spans="1:16"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</row>
    <row r="55" spans="1:16"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</row>
    <row r="56" spans="1:16">
      <c r="A56" s="5" t="s">
        <v>21</v>
      </c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</row>
    <row r="57" spans="1:16">
      <c r="B57" t="s">
        <v>22</v>
      </c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</row>
    <row r="58" spans="1:16">
      <c r="B58" t="s">
        <v>23</v>
      </c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</row>
    <row r="59" spans="1:16">
      <c r="B59" t="s">
        <v>24</v>
      </c>
    </row>
    <row r="61" spans="1:16">
      <c r="A61" s="5" t="s">
        <v>25</v>
      </c>
    </row>
    <row r="62" spans="1:16">
      <c r="B62" t="s">
        <v>26</v>
      </c>
    </row>
    <row r="63" spans="1:16">
      <c r="B63" t="s">
        <v>27</v>
      </c>
    </row>
    <row r="64" spans="1:16">
      <c r="C64" t="s">
        <v>28</v>
      </c>
    </row>
    <row r="65" spans="3:3">
      <c r="C65" t="s">
        <v>29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zoomScale="85" zoomScaleNormal="85" topLeftCell="A31" workbookViewId="0">
      <selection activeCell="E31" sqref="E31"/>
    </sheetView>
  </sheetViews>
  <sheetFormatPr defaultColWidth="15.8181818181818" defaultRowHeight="14"/>
  <cols>
    <col min="1" max="16384" width="15.8181818181818" style="1" customWidth="1"/>
  </cols>
  <sheetData>
    <row r="1" ht="20.75" spans="1:13">
      <c r="A1" s="95" t="s">
        <v>30</v>
      </c>
      <c r="B1"/>
      <c r="C1"/>
      <c r="D1"/>
      <c r="E1"/>
      <c r="F1"/>
      <c r="G1"/>
      <c r="H1"/>
    </row>
    <row r="2" ht="15.25" spans="1:13">
      <c r="A2" s="206" t="s">
        <v>31</v>
      </c>
      <c r="B2" s="206" t="s">
        <v>32</v>
      </c>
      <c r="C2" s="206" t="s">
        <v>33</v>
      </c>
      <c r="D2" s="206" t="s">
        <v>34</v>
      </c>
    </row>
    <row r="3" ht="29.75" spans="1:13">
      <c r="A3" s="207" t="s">
        <v>35</v>
      </c>
      <c r="B3" s="207" t="s">
        <v>36</v>
      </c>
      <c r="C3" s="207" t="s">
        <v>37</v>
      </c>
      <c r="D3" s="207" t="s">
        <v>38</v>
      </c>
      <c r="E3" s="1" t="s">
        <v>39</v>
      </c>
    </row>
    <row r="4" ht="29.75" spans="1:13">
      <c r="A4" s="208" t="s">
        <v>35</v>
      </c>
      <c r="B4" s="208" t="s">
        <v>40</v>
      </c>
      <c r="C4" s="208" t="s">
        <v>41</v>
      </c>
      <c r="D4" s="208" t="s">
        <v>42</v>
      </c>
      <c r="E4" s="1" t="s">
        <v>39</v>
      </c>
    </row>
    <row r="5" ht="15.25" spans="1:13">
      <c r="A5" s="207" t="s">
        <v>35</v>
      </c>
      <c r="B5" s="207" t="s">
        <v>43</v>
      </c>
      <c r="C5" s="207" t="s">
        <v>44</v>
      </c>
      <c r="D5" s="207" t="s">
        <v>45</v>
      </c>
      <c r="E5" s="1" t="s">
        <v>39</v>
      </c>
    </row>
    <row r="6" ht="15.25" spans="1:13">
      <c r="A6" s="208" t="s">
        <v>46</v>
      </c>
      <c r="B6" s="208" t="s">
        <v>47</v>
      </c>
      <c r="C6" s="208" t="s">
        <v>48</v>
      </c>
      <c r="D6" s="208" t="s">
        <v>49</v>
      </c>
    </row>
    <row r="7" ht="15.25" spans="1:13">
      <c r="A7" s="207" t="s">
        <v>46</v>
      </c>
      <c r="B7" s="207" t="s">
        <v>50</v>
      </c>
      <c r="C7" s="207" t="s">
        <v>51</v>
      </c>
      <c r="D7" s="207" t="s">
        <v>52</v>
      </c>
      <c r="E7" s="1" t="s">
        <v>53</v>
      </c>
      <c r="F7" s="35" t="s">
        <v>54</v>
      </c>
    </row>
    <row r="8" ht="15.25" spans="1:13">
      <c r="A8" s="208" t="s">
        <v>46</v>
      </c>
      <c r="B8" s="208" t="s">
        <v>55</v>
      </c>
      <c r="C8" s="209" t="s">
        <v>56</v>
      </c>
      <c r="D8" s="208" t="s">
        <v>57</v>
      </c>
    </row>
    <row r="9" ht="15.25" spans="1:13">
      <c r="A9" s="207" t="s">
        <v>58</v>
      </c>
      <c r="B9" s="207" t="s">
        <v>59</v>
      </c>
      <c r="C9" s="207" t="s">
        <v>60</v>
      </c>
      <c r="D9" s="207" t="s">
        <v>61</v>
      </c>
    </row>
    <row r="10" ht="27.75" spans="1:13">
      <c r="A10" s="208" t="s">
        <v>62</v>
      </c>
      <c r="B10" s="208" t="s">
        <v>63</v>
      </c>
      <c r="C10" s="208" t="s">
        <v>64</v>
      </c>
      <c r="D10" s="208" t="s">
        <v>65</v>
      </c>
    </row>
    <row r="14" ht="17.25" spans="1:13">
      <c r="A14" s="210" t="s">
        <v>66</v>
      </c>
      <c r="B14"/>
      <c r="C14"/>
      <c r="D14"/>
      <c r="E14"/>
      <c r="F14"/>
      <c r="G14"/>
      <c r="H14"/>
      <c r="I14" s="211" t="s">
        <v>67</v>
      </c>
      <c r="J14"/>
      <c r="K14"/>
      <c r="L14"/>
      <c r="M14"/>
    </row>
    <row r="15" ht="14.75" spans="1:13">
      <c r="A15" s="212" t="s">
        <v>68</v>
      </c>
      <c r="B15" s="213" t="s">
        <v>69</v>
      </c>
      <c r="C15" s="213" t="s">
        <v>70</v>
      </c>
      <c r="D15" s="214" t="s">
        <v>71</v>
      </c>
      <c r="E15" s="214" t="s">
        <v>72</v>
      </c>
      <c r="F15" s="212" t="s">
        <v>73</v>
      </c>
      <c r="G15" s="212" t="s">
        <v>74</v>
      </c>
      <c r="H15"/>
      <c r="I15"/>
      <c r="J15"/>
      <c r="K15"/>
      <c r="L15" t="s">
        <v>75</v>
      </c>
      <c r="M15"/>
    </row>
    <row r="16" ht="14.75" spans="1:13">
      <c r="A16" s="215" t="s">
        <v>76</v>
      </c>
      <c r="B16" s="216">
        <v>1</v>
      </c>
      <c r="C16" s="216" cm="1">
        <f t="array" ref="C16">SUMPRODUCT(B17:B20,C17:C20)</f>
        <v>0.65</v>
      </c>
      <c r="D16" s="216">
        <v>1</v>
      </c>
      <c r="E16" s="216" cm="1">
        <f t="array" ref="E16">SUMPRODUCT(D17:D20,E17:E20)</f>
        <v>0.4372</v>
      </c>
      <c r="F16" s="216">
        <f t="shared" ref="F16:F20" si="0">E16-C16</f>
        <v>-0.2128</v>
      </c>
      <c r="G16" s="215" t="s">
        <v>77</v>
      </c>
      <c r="H16"/>
      <c r="I16" s="212" t="s">
        <v>78</v>
      </c>
      <c r="J16" s="212" t="s">
        <v>79</v>
      </c>
      <c r="K16"/>
      <c r="L16" s="212" t="s">
        <v>78</v>
      </c>
      <c r="M16" s="212" t="s">
        <v>79</v>
      </c>
    </row>
    <row r="17" ht="14.75" spans="1:13">
      <c r="A17" s="217" t="s">
        <v>80</v>
      </c>
      <c r="B17" s="218">
        <v>0.1</v>
      </c>
      <c r="C17" s="218">
        <v>0.95</v>
      </c>
      <c r="D17" s="218">
        <v>0.08</v>
      </c>
      <c r="E17" s="218">
        <v>0.92</v>
      </c>
      <c r="F17" s="218">
        <f t="shared" si="0"/>
        <v>-0.0299999999999999</v>
      </c>
      <c r="G17" s="217" t="s">
        <v>81</v>
      </c>
      <c r="H17"/>
      <c r="I17" s="219">
        <f>(D17-B17)*C17</f>
        <v>-0.019</v>
      </c>
      <c r="J17" s="219">
        <f>(E17-C17)*D17</f>
        <v>-0.00239999999999999</v>
      </c>
      <c r="K17"/>
      <c r="L17" s="219">
        <f>I17/($I$21+$J$21)</f>
        <v>0.0892857142857143</v>
      </c>
      <c r="M17" s="219">
        <f>J17/($I$21+$J$21)</f>
        <v>0.0112781954887218</v>
      </c>
    </row>
    <row r="18" ht="14.75" spans="1:13">
      <c r="A18" s="220" t="s">
        <v>82</v>
      </c>
      <c r="B18" s="221">
        <v>0.3</v>
      </c>
      <c r="C18" s="221">
        <v>0.85</v>
      </c>
      <c r="D18" s="221">
        <v>0.25</v>
      </c>
      <c r="E18" s="221">
        <v>0.8</v>
      </c>
      <c r="F18" s="221">
        <f t="shared" si="0"/>
        <v>-0.0499999999999999</v>
      </c>
      <c r="G18" s="220" t="s">
        <v>81</v>
      </c>
      <c r="H18" s="227" t="s">
        <v>83</v>
      </c>
      <c r="I18" s="219">
        <f t="shared" ref="I17:I20" si="1">(D18-B18)*C18</f>
        <v>-0.0425</v>
      </c>
      <c r="J18" s="219">
        <f t="shared" ref="J17:J20" si="2">(E18-C18)*D18</f>
        <v>-0.0125</v>
      </c>
      <c r="K18"/>
      <c r="L18" s="219">
        <f>I18/($I$21+$J$21)</f>
        <v>0.199718045112782</v>
      </c>
      <c r="M18" s="219">
        <f>J18/($I$21+$J$21)</f>
        <v>0.0587406015037593</v>
      </c>
    </row>
    <row r="19" ht="14.75" spans="1:13">
      <c r="A19" s="217" t="s">
        <v>84</v>
      </c>
      <c r="B19" s="218">
        <v>0.4</v>
      </c>
      <c r="C19" s="218">
        <v>0.45</v>
      </c>
      <c r="D19" s="218">
        <v>0.37</v>
      </c>
      <c r="E19" s="218">
        <v>0.28</v>
      </c>
      <c r="F19" s="218">
        <f t="shared" si="0"/>
        <v>-0.17</v>
      </c>
      <c r="G19" s="217" t="s">
        <v>85</v>
      </c>
      <c r="H19"/>
      <c r="I19" s="219">
        <f t="shared" si="1"/>
        <v>-0.0135</v>
      </c>
      <c r="J19" s="219">
        <f t="shared" si="2"/>
        <v>-0.0629</v>
      </c>
      <c r="K19"/>
      <c r="L19" s="219">
        <f>I19/($I$21+$J$21)</f>
        <v>0.0634398496240602</v>
      </c>
      <c r="M19" s="219">
        <f>J19/($I$21+$J$21)</f>
        <v>0.295582706766917</v>
      </c>
    </row>
    <row r="20" ht="14.75" spans="1:13">
      <c r="A20" s="220" t="s">
        <v>86</v>
      </c>
      <c r="B20" s="221">
        <v>0.3</v>
      </c>
      <c r="C20" s="221">
        <v>0.4</v>
      </c>
      <c r="D20" s="221">
        <v>0.3</v>
      </c>
      <c r="E20" s="221">
        <v>0.2</v>
      </c>
      <c r="F20" s="221">
        <f t="shared" si="0"/>
        <v>-0.2</v>
      </c>
      <c r="G20" s="220" t="s">
        <v>85</v>
      </c>
      <c r="H20"/>
      <c r="I20" s="219">
        <f t="shared" si="1"/>
        <v>0</v>
      </c>
      <c r="J20" s="219">
        <f t="shared" si="2"/>
        <v>-0.06</v>
      </c>
      <c r="K20"/>
      <c r="L20" s="219">
        <f>I20/($I$21+$J$21)</f>
        <v>0</v>
      </c>
      <c r="M20" s="219">
        <f>J20/($I$21+$J$21)</f>
        <v>0.281954887218045</v>
      </c>
    </row>
    <row r="21" ht="14.75" spans="1:13">
      <c r="A21" s="217" t="s">
        <v>87</v>
      </c>
      <c r="B21" s="218"/>
      <c r="C21" s="218">
        <v>0.032</v>
      </c>
      <c r="D21" s="218"/>
      <c r="E21" s="218">
        <v>0.021</v>
      </c>
      <c r="F21" s="218">
        <v>-0.011</v>
      </c>
      <c r="G21" s="217" t="s">
        <v>88</v>
      </c>
      <c r="H21"/>
      <c r="I21" s="222">
        <f t="shared" ref="I21:M21" si="3">SUM(I17:I20)</f>
        <v>-0.075</v>
      </c>
      <c r="J21" s="222">
        <f t="shared" si="3"/>
        <v>-0.1378</v>
      </c>
      <c r="K21"/>
      <c r="L21" s="222">
        <f t="shared" si="3"/>
        <v>0.352443609022556</v>
      </c>
      <c r="M21" s="222">
        <f t="shared" si="3"/>
        <v>0.647556390977444</v>
      </c>
    </row>
    <row r="22" ht="14.75" spans="1:13">
      <c r="A22" s="220" t="s">
        <v>89</v>
      </c>
      <c r="B22" s="221"/>
      <c r="C22" s="221">
        <v>0.045</v>
      </c>
      <c r="D22" s="221"/>
      <c r="E22" s="221">
        <v>0.028</v>
      </c>
      <c r="F22" s="221">
        <v>-0.017</v>
      </c>
      <c r="G22" s="220" t="s">
        <v>90</v>
      </c>
      <c r="H22"/>
      <c r="I22"/>
      <c r="J22"/>
      <c r="K22"/>
      <c r="L22"/>
      <c r="M22"/>
    </row>
    <row r="23" spans="1:13">
      <c r="L23" s="33" t="s">
        <v>91</v>
      </c>
    </row>
    <row r="24" spans="1:13">
      <c r="L24" s="35" t="s">
        <v>92</v>
      </c>
    </row>
    <row r="25" spans="1:13">
      <c r="L25" s="35" t="s">
        <v>93</v>
      </c>
    </row>
    <row r="27" ht="29.75" spans="1:13">
      <c r="A27" s="223" t="s">
        <v>94</v>
      </c>
      <c r="B27"/>
      <c r="C27"/>
      <c r="D27"/>
    </row>
    <row r="28" ht="14.75" spans="1:13">
      <c r="A28" s="212" t="s">
        <v>68</v>
      </c>
      <c r="B28" s="212" t="s">
        <v>95</v>
      </c>
      <c r="C28" s="212" t="s">
        <v>96</v>
      </c>
      <c r="D28" s="212" t="s">
        <v>97</v>
      </c>
    </row>
    <row r="29" ht="145" spans="1:13">
      <c r="A29" s="223" t="s">
        <v>98</v>
      </c>
      <c r="B29" s="223" t="s">
        <v>99</v>
      </c>
      <c r="C29" s="223" t="s">
        <v>100</v>
      </c>
      <c r="D29" s="223" t="s">
        <v>101</v>
      </c>
    </row>
    <row r="30" ht="43.5" spans="1:13">
      <c r="A30" s="223" t="s">
        <v>102</v>
      </c>
      <c r="B30" s="223" t="s">
        <v>103</v>
      </c>
      <c r="C30" s="223"/>
      <c r="D30" s="223" t="s">
        <v>104</v>
      </c>
    </row>
    <row r="31" ht="116" spans="1:13">
      <c r="A31" s="223" t="s">
        <v>105</v>
      </c>
      <c r="B31" s="223" t="s">
        <v>106</v>
      </c>
      <c r="C31" s="223" t="s">
        <v>107</v>
      </c>
      <c r="D31" s="223" t="s">
        <v>108</v>
      </c>
    </row>
    <row r="32" ht="43.5" spans="1:13">
      <c r="A32" s="223" t="s">
        <v>109</v>
      </c>
      <c r="B32" s="223" t="s">
        <v>110</v>
      </c>
      <c r="C32" s="223"/>
      <c r="D32" s="223" t="s">
        <v>111</v>
      </c>
    </row>
    <row r="33" ht="188.5" spans="1:4">
      <c r="A33" s="223" t="s">
        <v>112</v>
      </c>
      <c r="B33" s="223" t="s">
        <v>113</v>
      </c>
      <c r="C33" s="223" t="s">
        <v>114</v>
      </c>
      <c r="D33" s="223" t="s">
        <v>115</v>
      </c>
    </row>
  </sheetData>
  <mergeCells count="1">
    <mergeCell ref="A1:H1"/>
  </mergeCells>
  <conditionalFormatting sqref="L17:M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{376614ca-6213-4226-96ea-2a14a3b91ec5}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6614ca-6213-4226-96ea-2a14a3b91e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L17:M20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zoomScale="70" zoomScaleNormal="70" topLeftCell="A11" workbookViewId="0">
      <selection activeCell="D31" sqref="D31"/>
    </sheetView>
  </sheetViews>
  <sheetFormatPr defaultColWidth="15.8181818181818" defaultRowHeight="14"/>
  <cols>
    <col min="1" max="1" width="14.3636363636364" style="1" customWidth="1"/>
    <col min="2" max="2" width="15.8181818181818" style="1" customWidth="1"/>
    <col min="3" max="12" width="13.7636363636364" style="1" customWidth="1"/>
    <col min="13" max="13" width="6.22727272727273" style="1" customWidth="1"/>
    <col min="14" max="14" width="7.78181818181818" style="1" customWidth="1"/>
    <col min="15" max="15" width="8.27272727272727" style="1" customWidth="1"/>
    <col min="16" max="16" width="9.34545454545455" style="1" customWidth="1"/>
    <col min="17" max="17" width="11.0363636363636" style="1" customWidth="1"/>
    <col min="18" max="16384" width="15.8181818181818" style="1" customWidth="1"/>
  </cols>
  <sheetData>
    <row r="1" ht="20" spans="2:5">
      <c r="B1" s="43" t="s">
        <v>116</v>
      </c>
    </row>
    <row r="2" ht="20" spans="2:5">
      <c r="B2" s="177" t="s">
        <v>117</v>
      </c>
    </row>
    <row r="3" spans="2:5">
      <c r="B3" s="178" t="s">
        <v>118</v>
      </c>
      <c r="C3" s="178"/>
      <c r="D3" s="178"/>
      <c r="E3" s="178"/>
    </row>
    <row r="4" ht="16.5" spans="2:5">
      <c r="B4" s="1" t="s">
        <v>119</v>
      </c>
    </row>
    <row r="5" ht="16.5" spans="2:5">
      <c r="B5" s="1" t="s">
        <v>120</v>
      </c>
    </row>
    <row r="6" ht="16.5" spans="2:5">
      <c r="B6" s="1" t="s">
        <v>121</v>
      </c>
    </row>
    <row r="7" ht="18" spans="2:5">
      <c r="B7" s="43"/>
    </row>
    <row r="8" ht="20.75" spans="2:5">
      <c r="B8" s="177" t="s">
        <v>122</v>
      </c>
    </row>
    <row r="9" ht="15.25" spans="2:5">
      <c r="B9" s="179" t="s">
        <v>123</v>
      </c>
      <c r="C9" s="180" t="s">
        <v>124</v>
      </c>
      <c r="D9" s="180" t="s">
        <v>125</v>
      </c>
      <c r="E9" s="180" t="s">
        <v>126</v>
      </c>
    </row>
    <row r="10" ht="44.25" spans="2:5">
      <c r="B10" s="181" t="s">
        <v>127</v>
      </c>
      <c r="C10" s="182" t="s">
        <v>128</v>
      </c>
      <c r="D10" s="182" t="s">
        <v>129</v>
      </c>
      <c r="E10" s="182" t="s">
        <v>130</v>
      </c>
    </row>
    <row r="11" ht="58.75" spans="2:5">
      <c r="B11" s="183" t="s">
        <v>131</v>
      </c>
      <c r="C11" s="184" t="s">
        <v>132</v>
      </c>
      <c r="D11" s="184" t="s">
        <v>133</v>
      </c>
      <c r="E11" s="184" t="s">
        <v>134</v>
      </c>
    </row>
    <row r="12" ht="44.25" spans="2:5">
      <c r="B12" s="181" t="s">
        <v>135</v>
      </c>
      <c r="C12" s="182" t="s">
        <v>136</v>
      </c>
      <c r="D12" s="182" t="s">
        <v>137</v>
      </c>
      <c r="E12" s="182" t="s">
        <v>134</v>
      </c>
    </row>
    <row r="13" ht="44.25" spans="2:5">
      <c r="B13" s="183" t="s">
        <v>138</v>
      </c>
      <c r="C13" s="184" t="s">
        <v>139</v>
      </c>
      <c r="D13" s="184" t="s">
        <v>140</v>
      </c>
      <c r="E13" s="184" t="s">
        <v>141</v>
      </c>
    </row>
    <row r="14" ht="44.25" spans="2:5">
      <c r="B14" s="181" t="s">
        <v>142</v>
      </c>
      <c r="C14" s="182" t="s">
        <v>143</v>
      </c>
      <c r="D14" s="182" t="s">
        <v>144</v>
      </c>
      <c r="E14" s="182" t="s">
        <v>145</v>
      </c>
    </row>
    <row r="16" ht="20" spans="2:5">
      <c r="B16" s="177" t="s">
        <v>146</v>
      </c>
    </row>
    <row r="17" spans="1:17">
      <c r="B17" s="1" t="s">
        <v>147</v>
      </c>
    </row>
    <row r="18" spans="1:17">
      <c r="B18" s="185" t="s">
        <v>148</v>
      </c>
    </row>
    <row r="19" spans="1:17">
      <c r="B19" s="185" t="s">
        <v>149</v>
      </c>
    </row>
    <row r="20" spans="1:17">
      <c r="B20" s="185" t="s">
        <v>150</v>
      </c>
    </row>
    <row r="22" spans="1:17">
      <c r="B22" s="1" t="s">
        <v>151</v>
      </c>
      <c r="G22" s="39"/>
      <c r="H22" s="39"/>
      <c r="I22" s="39"/>
      <c r="J22" s="39"/>
      <c r="N22" s="5" t="s">
        <v>152</v>
      </c>
    </row>
    <row r="23" spans="1:17">
      <c r="B23" s="173"/>
      <c r="C23" s="173" t="s">
        <v>153</v>
      </c>
      <c r="D23" s="173" t="s">
        <v>154</v>
      </c>
      <c r="E23" s="173" t="s">
        <v>155</v>
      </c>
      <c r="F23" s="173" t="s">
        <v>156</v>
      </c>
      <c r="G23" s="173" t="s">
        <v>157</v>
      </c>
      <c r="H23" s="173" t="s">
        <v>158</v>
      </c>
      <c r="I23" s="173" t="s">
        <v>159</v>
      </c>
      <c r="J23" s="173" t="s">
        <v>160</v>
      </c>
      <c r="K23" s="173" t="s">
        <v>161</v>
      </c>
      <c r="L23" s="173" t="s">
        <v>162</v>
      </c>
      <c r="N23" s="173" t="s">
        <v>157</v>
      </c>
      <c r="O23" s="173" t="s">
        <v>158</v>
      </c>
      <c r="P23" s="173" t="s">
        <v>159</v>
      </c>
      <c r="Q23" s="173" t="s">
        <v>160</v>
      </c>
    </row>
    <row r="24" spans="1:17">
      <c r="B24" s="174" t="s">
        <v>163</v>
      </c>
      <c r="C24" s="186">
        <v>1000</v>
      </c>
      <c r="D24" s="186">
        <v>1000</v>
      </c>
      <c r="E24" s="186">
        <v>10000</v>
      </c>
      <c r="F24" s="187">
        <f>D24*E24</f>
        <v>10000000</v>
      </c>
      <c r="G24" s="186">
        <f>$F24*N24</f>
        <v>1800000</v>
      </c>
      <c r="H24" s="186">
        <f>$F24*O24*-1</f>
        <v>-600000</v>
      </c>
      <c r="I24" s="186">
        <f>$F24*P24*-1</f>
        <v>-600000</v>
      </c>
      <c r="J24" s="186">
        <f>$F24*Q24*-1</f>
        <v>-200000</v>
      </c>
      <c r="K24" s="186">
        <f>SUM(G24:J24)</f>
        <v>400000</v>
      </c>
      <c r="L24" s="188">
        <f>K24/F24</f>
        <v>0.04</v>
      </c>
      <c r="N24" s="12">
        <v>0.18</v>
      </c>
      <c r="O24" s="12">
        <v>0.06</v>
      </c>
      <c r="P24" s="12">
        <v>0.06</v>
      </c>
      <c r="Q24" s="12">
        <v>0.02</v>
      </c>
    </row>
    <row r="25" spans="1:17">
      <c r="B25" s="189" t="s">
        <v>164</v>
      </c>
      <c r="C25" s="190"/>
      <c r="D25" s="191"/>
      <c r="E25" s="191"/>
      <c r="F25" s="191"/>
      <c r="G25" s="191"/>
      <c r="H25" s="191"/>
      <c r="I25" s="191"/>
      <c r="J25" s="191"/>
      <c r="K25" s="191"/>
      <c r="L25" s="192"/>
      <c r="N25" s="193"/>
      <c r="O25" s="194"/>
      <c r="P25" s="194"/>
      <c r="Q25" s="195"/>
    </row>
    <row r="26" spans="1:17">
      <c r="A26" s="196" t="s">
        <v>165</v>
      </c>
      <c r="B26" s="174" t="s">
        <v>166</v>
      </c>
      <c r="C26" s="186">
        <v>250</v>
      </c>
      <c r="D26" s="186">
        <f>C26*100%</f>
        <v>250</v>
      </c>
      <c r="E26" s="186">
        <v>25000</v>
      </c>
      <c r="F26" s="187">
        <f>D26*E26</f>
        <v>6250000</v>
      </c>
      <c r="G26" s="186">
        <f>$F26*N26</f>
        <v>875000</v>
      </c>
      <c r="H26" s="186">
        <f t="shared" ref="H26:J26" si="0">$F26*O26*-1</f>
        <v>-375000</v>
      </c>
      <c r="I26" s="186">
        <f t="shared" si="0"/>
        <v>-125000</v>
      </c>
      <c r="J26" s="186">
        <f t="shared" si="0"/>
        <v>-125000</v>
      </c>
      <c r="K26" s="186">
        <f>SUM(G26:J26)</f>
        <v>250000</v>
      </c>
      <c r="L26" s="188">
        <f>K26/F26</f>
        <v>0.04</v>
      </c>
      <c r="N26" s="197">
        <v>0.14</v>
      </c>
      <c r="O26" s="188">
        <f>O$24</f>
        <v>0.06</v>
      </c>
      <c r="P26" s="197">
        <v>0.02</v>
      </c>
      <c r="Q26" s="188">
        <f t="shared" ref="Q26:Q29" si="1">Q$24</f>
        <v>0.02</v>
      </c>
    </row>
    <row r="27" spans="1:17">
      <c r="A27" s="196" t="s">
        <v>165</v>
      </c>
      <c r="B27" s="174" t="s">
        <v>167</v>
      </c>
      <c r="C27" s="186">
        <v>300</v>
      </c>
      <c r="D27" s="186">
        <f>C27*100%</f>
        <v>300</v>
      </c>
      <c r="E27" s="186">
        <v>15000</v>
      </c>
      <c r="F27" s="187">
        <f>D27*E27</f>
        <v>4500000</v>
      </c>
      <c r="G27" s="186">
        <f>$F27*N27</f>
        <v>765000</v>
      </c>
      <c r="H27" s="186">
        <f>$F27*O27*-1</f>
        <v>-270000</v>
      </c>
      <c r="I27" s="186">
        <f>$F27*P27*-1</f>
        <v>-180000</v>
      </c>
      <c r="J27" s="186">
        <f>$F27*Q27*-1</f>
        <v>-90000</v>
      </c>
      <c r="K27" s="186">
        <f>SUM(G27:J27)</f>
        <v>225000</v>
      </c>
      <c r="L27" s="188">
        <f>K27/F27</f>
        <v>0.05</v>
      </c>
      <c r="N27" s="197">
        <v>0.17</v>
      </c>
      <c r="O27" s="188">
        <f>O$24</f>
        <v>0.06</v>
      </c>
      <c r="P27" s="197">
        <v>0.04</v>
      </c>
      <c r="Q27" s="188">
        <f t="shared" si="1"/>
        <v>0.02</v>
      </c>
    </row>
    <row r="28" spans="1:17">
      <c r="A28" s="196" t="s">
        <v>168</v>
      </c>
      <c r="B28" s="174" t="s">
        <v>169</v>
      </c>
      <c r="C28" s="186">
        <v>200</v>
      </c>
      <c r="D28" s="186">
        <f>C28*80%</f>
        <v>160</v>
      </c>
      <c r="E28" s="186">
        <v>8000</v>
      </c>
      <c r="F28" s="187">
        <f>D28*E28</f>
        <v>1280000</v>
      </c>
      <c r="G28" s="186">
        <f>$F28*N28</f>
        <v>256000</v>
      </c>
      <c r="H28" s="186">
        <f>$F28*O28*-1</f>
        <v>-76800</v>
      </c>
      <c r="I28" s="186">
        <f>$F28*P28*-1</f>
        <v>-89600</v>
      </c>
      <c r="J28" s="186">
        <f>$F28*Q28*-1</f>
        <v>-25600</v>
      </c>
      <c r="K28" s="186">
        <f>SUM(G28:J28)</f>
        <v>64000</v>
      </c>
      <c r="L28" s="188">
        <f>K28/F28</f>
        <v>0.05</v>
      </c>
      <c r="N28" s="197">
        <v>0.2</v>
      </c>
      <c r="O28" s="188">
        <f>O$24</f>
        <v>0.06</v>
      </c>
      <c r="P28" s="197">
        <v>0.07</v>
      </c>
      <c r="Q28" s="188">
        <f t="shared" si="1"/>
        <v>0.02</v>
      </c>
    </row>
    <row r="29" spans="1:17">
      <c r="A29" s="196" t="s">
        <v>170</v>
      </c>
      <c r="B29" s="174" t="s">
        <v>171</v>
      </c>
      <c r="C29" s="186">
        <v>150</v>
      </c>
      <c r="D29" s="186">
        <f>C29*60%</f>
        <v>90</v>
      </c>
      <c r="E29" s="186">
        <v>5000</v>
      </c>
      <c r="F29" s="187">
        <f>D29*E29</f>
        <v>450000</v>
      </c>
      <c r="G29" s="186">
        <f>$F29*N29</f>
        <v>99000</v>
      </c>
      <c r="H29" s="186">
        <f>$F29*O29*-1</f>
        <v>-27000</v>
      </c>
      <c r="I29" s="186">
        <f>$F29*P29*-1</f>
        <v>-54000</v>
      </c>
      <c r="J29" s="186">
        <f>$F29*Q29*-1</f>
        <v>-9000</v>
      </c>
      <c r="K29" s="186">
        <f>SUM(G29:J29)</f>
        <v>9000</v>
      </c>
      <c r="L29" s="188">
        <f>K29/F29</f>
        <v>0.02</v>
      </c>
      <c r="N29" s="197">
        <v>0.22</v>
      </c>
      <c r="O29" s="188">
        <f>O$24</f>
        <v>0.06</v>
      </c>
      <c r="P29" s="197">
        <v>0.12</v>
      </c>
      <c r="Q29" s="188">
        <f t="shared" si="1"/>
        <v>0.02</v>
      </c>
    </row>
    <row r="30" spans="1:17">
      <c r="A30" s="196" t="s">
        <v>172</v>
      </c>
      <c r="B30" s="174" t="s">
        <v>173</v>
      </c>
      <c r="C30" s="186">
        <v>100</v>
      </c>
      <c r="D30" s="186">
        <v>0</v>
      </c>
      <c r="E30" s="186"/>
      <c r="F30" s="186"/>
      <c r="G30" s="186"/>
      <c r="H30" s="186"/>
      <c r="I30" s="186"/>
      <c r="J30" s="186"/>
      <c r="K30" s="174"/>
      <c r="L30" s="174"/>
      <c r="N30" s="12"/>
      <c r="O30" s="174"/>
      <c r="P30" s="12">
        <v>0.15</v>
      </c>
      <c r="Q30" s="174"/>
    </row>
    <row r="31" spans="1:17">
      <c r="B31" s="198" t="s">
        <v>174</v>
      </c>
      <c r="C31" s="199">
        <f>SUM(C26:C30)</f>
        <v>1000</v>
      </c>
      <c r="D31" s="199">
        <f>SUM(D26:D30)</f>
        <v>800</v>
      </c>
      <c r="E31" s="200"/>
      <c r="F31" s="201">
        <f>SUM(F26:F29)</f>
        <v>12480000</v>
      </c>
      <c r="G31" s="200"/>
      <c r="H31" s="200"/>
      <c r="I31" s="200"/>
      <c r="J31" s="200"/>
      <c r="K31" s="201">
        <f>SUM(K26:K29)</f>
        <v>548000</v>
      </c>
      <c r="L31" s="202" cm="1">
        <f t="array" ref="L31">SUMPRODUCT(L26:L29,$F26:$F29)/SUM($F26:$F29)</f>
        <v>0.0439102564102564</v>
      </c>
      <c r="M31" s="203"/>
      <c r="N31" s="202" cm="1">
        <f t="array" ref="N31">SUMPRODUCT(N26:N29,$F26:$F29)/SUM($F26:$F29)</f>
        <v>0.159855769230769</v>
      </c>
      <c r="O31" s="203"/>
      <c r="P31" s="202" cm="1">
        <f t="array" ref="P31">SUMPRODUCT(P26:P29,$F26:$F29)/SUM($F26:$F29)</f>
        <v>0.0359455128205128</v>
      </c>
      <c r="Q31" s="203"/>
    </row>
    <row r="32" spans="1:17">
      <c r="K32" s="34">
        <f>(K31-K24)/K24</f>
        <v>0.37</v>
      </c>
      <c r="N32" s="34">
        <f>(N24-N31)/N24</f>
        <v>0.111912393162393</v>
      </c>
      <c r="P32" s="34">
        <f>(P24-P31)/P24</f>
        <v>0.40090811965812</v>
      </c>
    </row>
    <row r="33" spans="2:8">
      <c r="B33" s="33" t="s">
        <v>175</v>
      </c>
    </row>
    <row r="34" spans="2:8">
      <c r="B34" s="1" t="s">
        <v>176</v>
      </c>
    </row>
    <row r="35" spans="2:8">
      <c r="B35" s="1" t="s">
        <v>177</v>
      </c>
    </row>
    <row r="36" spans="2:8">
      <c r="B36" s="1" t="s">
        <v>178</v>
      </c>
    </row>
    <row r="37" spans="2:8">
      <c r="B37" s="1" t="s">
        <v>179</v>
      </c>
    </row>
    <row r="38" spans="2:8">
      <c r="B38" s="1" t="s">
        <v>180</v>
      </c>
    </row>
    <row r="39" ht="15" spans="2:8">
      <c r="B39" s="204" t="s">
        <v>181</v>
      </c>
      <c r="C39" s="205"/>
      <c r="D39" s="205"/>
      <c r="E39" s="205"/>
      <c r="F39" s="205"/>
      <c r="G39" s="205"/>
      <c r="H39" s="205"/>
    </row>
    <row r="40" ht="15" spans="2:8">
      <c r="B40" s="204" t="s">
        <v>182</v>
      </c>
      <c r="C40" s="205"/>
      <c r="D40" s="205"/>
      <c r="E40" s="205"/>
      <c r="F40" s="205"/>
      <c r="G40" s="205"/>
      <c r="H40" s="205"/>
    </row>
    <row r="41" ht="15" spans="2:8">
      <c r="B41" s="204" t="s">
        <v>183</v>
      </c>
      <c r="C41" s="205"/>
      <c r="D41" s="205"/>
      <c r="E41" s="205"/>
      <c r="F41" s="205"/>
      <c r="G41" s="205"/>
      <c r="H41" s="205"/>
    </row>
    <row r="42" ht="15" spans="2:8">
      <c r="B42" s="204" t="s">
        <v>184</v>
      </c>
      <c r="C42" s="205"/>
      <c r="D42" s="205"/>
      <c r="E42" s="205"/>
      <c r="F42" s="205"/>
      <c r="G42" s="205"/>
      <c r="H42" s="205"/>
    </row>
  </sheetData>
  <mergeCells count="8">
    <mergeCell ref="B1:I1"/>
    <mergeCell ref="B3:E3"/>
    <mergeCell ref="C25:L25"/>
    <mergeCell ref="N25:Q25"/>
    <mergeCell ref="B39:H39"/>
    <mergeCell ref="B40:H40"/>
    <mergeCell ref="B41:H41"/>
    <mergeCell ref="B42:H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opLeftCell="A15" workbookViewId="0">
      <selection activeCell="D31" sqref="D31"/>
    </sheetView>
  </sheetViews>
  <sheetFormatPr defaultColWidth="8.72727272727273" defaultRowHeight="14" outlineLevelCol="6"/>
  <cols>
    <col min="1" max="1" width="18.5454545454545" style="1" customWidth="1"/>
    <col min="2" max="2" width="9.72727272727273" style="1" customWidth="1"/>
    <col min="3" max="3" width="39.9090909090909" style="1" customWidth="1"/>
    <col min="4" max="4" width="21.9090909090909" style="1" customWidth="1"/>
    <col min="5" max="16384" width="8.72727272727273" style="1"/>
  </cols>
  <sheetData>
    <row r="1" ht="20" spans="1:4">
      <c r="A1" s="43" t="s">
        <v>185</v>
      </c>
    </row>
    <row r="2" ht="17.25" spans="1:4">
      <c r="A2" s="44" t="s">
        <v>186</v>
      </c>
    </row>
    <row r="3" ht="14.75" spans="1:4">
      <c r="A3" s="151" t="s">
        <v>187</v>
      </c>
      <c r="B3" s="152" t="s">
        <v>188</v>
      </c>
      <c r="C3" s="152" t="s">
        <v>189</v>
      </c>
      <c r="D3" s="152" t="s">
        <v>190</v>
      </c>
    </row>
    <row r="4" ht="14.75" spans="1:4">
      <c r="A4" s="153" t="s">
        <v>191</v>
      </c>
      <c r="B4" s="154" t="s">
        <v>192</v>
      </c>
      <c r="C4" s="154" t="s">
        <v>193</v>
      </c>
      <c r="D4" s="154" t="s">
        <v>194</v>
      </c>
    </row>
    <row r="5" ht="14.75" spans="1:4">
      <c r="A5" s="155" t="s">
        <v>195</v>
      </c>
      <c r="B5" s="156" t="s">
        <v>196</v>
      </c>
      <c r="C5" s="156" t="s">
        <v>197</v>
      </c>
      <c r="D5" s="156" t="s">
        <v>198</v>
      </c>
    </row>
    <row r="6" ht="14.75" spans="1:4">
      <c r="A6" s="153" t="s">
        <v>199</v>
      </c>
      <c r="B6" s="154" t="s">
        <v>200</v>
      </c>
      <c r="C6" s="154" t="s">
        <v>201</v>
      </c>
      <c r="D6" s="154" t="s">
        <v>202</v>
      </c>
    </row>
    <row r="8" ht="16.5" spans="1:4">
      <c r="A8" s="44" t="s">
        <v>203</v>
      </c>
    </row>
    <row r="9" spans="1:4">
      <c r="A9" s="5" t="s">
        <v>204</v>
      </c>
    </row>
    <row r="10" ht="14.75" spans="1:4">
      <c r="A10" s="157" t="s">
        <v>205</v>
      </c>
      <c r="B10" s="157" t="s">
        <v>206</v>
      </c>
      <c r="C10" s="157" t="s">
        <v>207</v>
      </c>
      <c r="D10" s="157" t="s">
        <v>208</v>
      </c>
    </row>
    <row r="11" spans="1:4">
      <c r="A11" s="158" t="s">
        <v>209</v>
      </c>
      <c r="B11" s="159" t="s">
        <v>210</v>
      </c>
      <c r="C11" s="159" t="s">
        <v>211</v>
      </c>
      <c r="D11" s="160" t="s">
        <v>212</v>
      </c>
    </row>
    <row r="12" ht="14.75" spans="1:4">
      <c r="A12" s="161"/>
      <c r="B12" s="162"/>
      <c r="C12" s="163" t="s">
        <v>213</v>
      </c>
      <c r="D12" s="164"/>
    </row>
    <row r="13" spans="1:4">
      <c r="A13" s="158" t="s">
        <v>214</v>
      </c>
      <c r="B13" s="159" t="s">
        <v>215</v>
      </c>
      <c r="C13" s="159" t="s">
        <v>216</v>
      </c>
      <c r="D13" s="160" t="s">
        <v>217</v>
      </c>
    </row>
    <row r="14" ht="14.75" spans="1:4">
      <c r="A14" s="161"/>
      <c r="B14" s="162"/>
      <c r="C14" s="163" t="s">
        <v>213</v>
      </c>
      <c r="D14" s="164"/>
    </row>
    <row r="15" spans="1:4">
      <c r="A15" s="158" t="s">
        <v>218</v>
      </c>
      <c r="B15" s="159" t="s">
        <v>219</v>
      </c>
      <c r="C15" s="159" t="s">
        <v>220</v>
      </c>
      <c r="D15" s="160" t="s">
        <v>221</v>
      </c>
    </row>
    <row r="16" ht="14.75" spans="1:4">
      <c r="A16" s="161"/>
      <c r="B16" s="162"/>
      <c r="C16" s="163" t="s">
        <v>213</v>
      </c>
      <c r="D16" s="164"/>
    </row>
    <row r="17" spans="1:4">
      <c r="A17" s="165" t="s">
        <v>222</v>
      </c>
      <c r="B17" s="159" t="s">
        <v>223</v>
      </c>
      <c r="C17" s="159" t="s">
        <v>224</v>
      </c>
      <c r="D17" s="160" t="s">
        <v>225</v>
      </c>
    </row>
    <row r="18" ht="14.75" spans="1:4">
      <c r="A18" s="166"/>
      <c r="B18" s="162"/>
      <c r="C18" s="163" t="s">
        <v>213</v>
      </c>
      <c r="D18" s="164"/>
    </row>
    <row r="19" ht="14.75" spans="1:4">
      <c r="A19" s="167" t="s">
        <v>226</v>
      </c>
      <c r="B19" s="168"/>
      <c r="C19" s="168"/>
      <c r="D19" s="169"/>
    </row>
    <row r="20" ht="14.75" spans="1:4">
      <c r="A20" s="170" t="s">
        <v>227</v>
      </c>
      <c r="B20" s="171"/>
      <c r="C20" s="171" t="s">
        <v>228</v>
      </c>
      <c r="D20" s="172" t="s">
        <v>229</v>
      </c>
    </row>
    <row r="22" spans="1:4">
      <c r="A22" s="5" t="s">
        <v>230</v>
      </c>
    </row>
    <row r="23" spans="1:4">
      <c r="A23" s="1" t="s">
        <v>231</v>
      </c>
    </row>
    <row r="24" spans="1:4">
      <c r="A24" s="1" t="s">
        <v>232</v>
      </c>
    </row>
    <row r="26" spans="1:4">
      <c r="A26" s="5" t="s">
        <v>233</v>
      </c>
    </row>
    <row r="27" spans="1:4">
      <c r="A27" s="228" t="s">
        <v>234</v>
      </c>
    </row>
    <row r="28" ht="14.5" spans="1:4">
      <c r="A28" s="53" t="s">
        <v>235</v>
      </c>
      <c r="B28" s="173">
        <v>46023</v>
      </c>
      <c r="C28" s="173">
        <v>46054</v>
      </c>
    </row>
    <row r="29" spans="1:4">
      <c r="A29" s="174" t="s">
        <v>236</v>
      </c>
      <c r="B29" s="174"/>
      <c r="C29" s="174"/>
    </row>
    <row r="30" spans="1:4">
      <c r="A30" s="174" t="s">
        <v>237</v>
      </c>
      <c r="B30" s="174"/>
      <c r="C30" s="174"/>
    </row>
    <row r="31" spans="1:4">
      <c r="A31" s="174" t="s">
        <v>238</v>
      </c>
      <c r="B31" s="174"/>
      <c r="C31" s="174"/>
    </row>
    <row r="32" spans="1:4">
      <c r="A32" s="174" t="s">
        <v>239</v>
      </c>
      <c r="B32" s="174"/>
      <c r="C32" s="174"/>
    </row>
    <row r="33" spans="1:3">
      <c r="A33" s="174" t="s">
        <v>240</v>
      </c>
      <c r="B33" s="174"/>
      <c r="C33" s="174"/>
    </row>
    <row r="34" spans="1:3">
      <c r="A34" s="174" t="s">
        <v>241</v>
      </c>
      <c r="B34" s="174"/>
      <c r="C34" s="174"/>
    </row>
    <row r="35" spans="1:3">
      <c r="A35" s="174" t="s">
        <v>242</v>
      </c>
      <c r="B35" s="174"/>
      <c r="C35" s="174"/>
    </row>
    <row r="36" spans="1:3">
      <c r="A36" s="174" t="s">
        <v>243</v>
      </c>
      <c r="B36" s="174"/>
      <c r="C36" s="174"/>
    </row>
    <row r="37" spans="1:3">
      <c r="A37" s="174" t="s">
        <v>244</v>
      </c>
      <c r="B37" s="174"/>
      <c r="C37" s="174"/>
    </row>
    <row r="38" spans="1:3">
      <c r="A38" s="174" t="s">
        <v>245</v>
      </c>
      <c r="B38" s="174"/>
      <c r="C38" s="174"/>
    </row>
    <row r="39" spans="1:3">
      <c r="A39" s="174" t="s">
        <v>246</v>
      </c>
      <c r="B39" s="174"/>
      <c r="C39" s="174"/>
    </row>
    <row r="41" spans="1:3">
      <c r="A41" s="228" t="s">
        <v>247</v>
      </c>
    </row>
    <row r="42" ht="14.5" spans="1:3">
      <c r="A42" s="53" t="s">
        <v>235</v>
      </c>
      <c r="B42" s="173">
        <v>46023</v>
      </c>
      <c r="C42" s="173">
        <v>46054</v>
      </c>
    </row>
    <row r="43" spans="1:3">
      <c r="A43" s="174" t="s">
        <v>236</v>
      </c>
      <c r="B43" s="174"/>
      <c r="C43" s="174"/>
    </row>
    <row r="44" spans="1:3">
      <c r="A44" s="174" t="s">
        <v>237</v>
      </c>
      <c r="B44" s="174"/>
      <c r="C44" s="174"/>
    </row>
    <row r="45" spans="1:3">
      <c r="A45" s="174" t="s">
        <v>238</v>
      </c>
      <c r="B45" s="174"/>
      <c r="C45" s="174"/>
    </row>
    <row r="46" spans="1:3">
      <c r="A46" s="174" t="s">
        <v>239</v>
      </c>
      <c r="B46" s="174"/>
      <c r="C46" s="174"/>
    </row>
    <row r="47" spans="1:3">
      <c r="A47" s="174" t="s">
        <v>240</v>
      </c>
      <c r="B47" s="174"/>
      <c r="C47" s="174"/>
    </row>
    <row r="48" spans="1:3">
      <c r="A48" s="174" t="s">
        <v>241</v>
      </c>
      <c r="B48" s="174"/>
      <c r="C48" s="174"/>
    </row>
    <row r="49" spans="1:3">
      <c r="A49" s="174" t="s">
        <v>242</v>
      </c>
      <c r="B49" s="174"/>
      <c r="C49" s="174"/>
    </row>
    <row r="50" spans="1:3">
      <c r="A50" s="174" t="s">
        <v>248</v>
      </c>
      <c r="B50" s="174"/>
      <c r="C50" s="174"/>
    </row>
    <row r="51" spans="1:3">
      <c r="A51" s="174" t="s">
        <v>249</v>
      </c>
      <c r="B51" s="174"/>
      <c r="C51" s="174"/>
    </row>
    <row r="52" spans="1:3">
      <c r="A52" s="174" t="s">
        <v>244</v>
      </c>
      <c r="B52" s="174"/>
      <c r="C52" s="174"/>
    </row>
    <row r="53" spans="1:3">
      <c r="A53" s="175" t="s">
        <v>250</v>
      </c>
      <c r="B53" s="174"/>
      <c r="C53" s="174"/>
    </row>
    <row r="54" spans="1:3">
      <c r="A54" s="175" t="s">
        <v>251</v>
      </c>
      <c r="B54" s="174"/>
      <c r="C54" s="174"/>
    </row>
    <row r="55" spans="1:3">
      <c r="A55" s="174" t="s">
        <v>252</v>
      </c>
      <c r="B55" s="174"/>
      <c r="C55" s="174"/>
    </row>
    <row r="56" spans="1:3">
      <c r="A56" s="174" t="s">
        <v>253</v>
      </c>
      <c r="B56" s="174"/>
      <c r="C56" s="174"/>
    </row>
    <row r="57" spans="1:3">
      <c r="A57" s="174" t="s">
        <v>254</v>
      </c>
      <c r="B57" s="174"/>
      <c r="C57" s="174"/>
    </row>
    <row r="58" spans="1:3">
      <c r="A58" s="174" t="s">
        <v>255</v>
      </c>
      <c r="B58" s="174"/>
      <c r="C58" s="174"/>
    </row>
    <row r="59" spans="1:3">
      <c r="A59" s="174" t="s">
        <v>256</v>
      </c>
      <c r="B59" s="174"/>
      <c r="C59" s="174"/>
    </row>
    <row r="60" spans="1:3">
      <c r="A60" s="174" t="s">
        <v>257</v>
      </c>
      <c r="B60" s="174"/>
      <c r="C60" s="174"/>
    </row>
    <row r="61" spans="1:3">
      <c r="A61" s="174" t="s">
        <v>258</v>
      </c>
      <c r="B61" s="174"/>
      <c r="C61" s="174"/>
    </row>
    <row r="62" spans="1:3">
      <c r="A62" s="174" t="s">
        <v>259</v>
      </c>
      <c r="B62" s="174"/>
      <c r="C62" s="174"/>
    </row>
    <row r="63" spans="1:3">
      <c r="A63" s="174" t="s">
        <v>260</v>
      </c>
      <c r="B63" s="174"/>
      <c r="C63" s="174"/>
    </row>
    <row r="64" spans="1:3">
      <c r="A64" s="174" t="s">
        <v>261</v>
      </c>
      <c r="B64" s="174"/>
      <c r="C64" s="174"/>
    </row>
    <row r="65" spans="1:3">
      <c r="A65" s="174" t="s">
        <v>262</v>
      </c>
      <c r="B65" s="174"/>
      <c r="C65" s="174"/>
    </row>
    <row r="66" spans="1:3">
      <c r="A66" s="174" t="s">
        <v>263</v>
      </c>
      <c r="B66" s="174"/>
      <c r="C66" s="174"/>
    </row>
    <row r="67" spans="1:3">
      <c r="A67" s="174" t="s">
        <v>264</v>
      </c>
      <c r="B67" s="174"/>
      <c r="C67" s="174"/>
    </row>
    <row r="68" spans="1:3">
      <c r="A68" s="174" t="s">
        <v>265</v>
      </c>
      <c r="B68" s="174"/>
      <c r="C68" s="174"/>
    </row>
    <row r="69" spans="1:3">
      <c r="A69" s="174" t="s">
        <v>266</v>
      </c>
      <c r="B69" s="174"/>
      <c r="C69" s="174"/>
    </row>
    <row r="72" spans="1:3">
      <c r="A72" s="176" t="s">
        <v>267</v>
      </c>
    </row>
  </sheetData>
  <mergeCells count="8">
    <mergeCell ref="A1:G1"/>
    <mergeCell ref="A2:G2"/>
    <mergeCell ref="A8:G8"/>
    <mergeCell ref="A19:D19"/>
    <mergeCell ref="A11:A12"/>
    <mergeCell ref="A13:A14"/>
    <mergeCell ref="A15:A16"/>
    <mergeCell ref="A17:A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zoomScale="85" zoomScaleNormal="85" workbookViewId="0">
      <selection activeCell="D31" sqref="D31"/>
    </sheetView>
  </sheetViews>
  <sheetFormatPr defaultColWidth="8.72727272727273" defaultRowHeight="14"/>
  <cols>
    <col min="1" max="1" width="25.2727272727273" customWidth="1"/>
    <col min="2" max="3" width="9.54545454545454" customWidth="1"/>
    <col min="4" max="4" width="34.2727272727273" customWidth="1"/>
  </cols>
  <sheetData>
    <row r="1" ht="20" spans="1:11">
      <c r="A1" s="95" t="s">
        <v>268</v>
      </c>
    </row>
    <row r="2" ht="16.5" spans="1:11">
      <c r="A2" s="96" t="s">
        <v>269</v>
      </c>
    </row>
    <row r="3" ht="14.5" spans="1:11">
      <c r="A3" s="116" t="s">
        <v>270</v>
      </c>
      <c r="B3" s="117" t="s">
        <v>271</v>
      </c>
      <c r="C3" s="117" t="s">
        <v>272</v>
      </c>
      <c r="D3" s="116" t="s">
        <v>273</v>
      </c>
    </row>
    <row r="4" ht="14.5" spans="1:11">
      <c r="A4" s="118" t="s">
        <v>274</v>
      </c>
      <c r="B4" s="125">
        <v>0</v>
      </c>
      <c r="C4" s="126" t="s">
        <v>275</v>
      </c>
      <c r="D4" s="118" t="s">
        <v>276</v>
      </c>
    </row>
    <row r="5" ht="14.5" spans="1:11">
      <c r="A5" s="121" t="s">
        <v>277</v>
      </c>
      <c r="B5" s="127" t="s">
        <v>145</v>
      </c>
      <c r="C5" s="127" t="s">
        <v>278</v>
      </c>
      <c r="D5" s="121" t="s">
        <v>279</v>
      </c>
    </row>
    <row r="6" ht="29" spans="1:11">
      <c r="A6" s="118" t="s">
        <v>280</v>
      </c>
      <c r="B6" s="128" t="s">
        <v>281</v>
      </c>
      <c r="C6" s="128" t="s">
        <v>278</v>
      </c>
      <c r="D6" s="118" t="s">
        <v>282</v>
      </c>
    </row>
    <row r="7" ht="14.5" spans="1:11">
      <c r="A7" s="121" t="s">
        <v>283</v>
      </c>
      <c r="B7" s="129">
        <v>1</v>
      </c>
      <c r="C7" s="121" t="s">
        <v>278</v>
      </c>
      <c r="D7" s="121" t="s">
        <v>284</v>
      </c>
    </row>
    <row r="9" spans="1:11">
      <c r="A9" s="130"/>
      <c r="B9" s="131" t="s">
        <v>285</v>
      </c>
      <c r="C9" s="131"/>
      <c r="D9" s="131"/>
    </row>
    <row r="10" spans="1:11">
      <c r="A10" s="131" t="s">
        <v>286</v>
      </c>
      <c r="B10" s="132"/>
      <c r="C10" s="133" t="s">
        <v>287</v>
      </c>
      <c r="D10" s="133" t="s">
        <v>288</v>
      </c>
    </row>
    <row r="11" spans="1:11">
      <c r="A11" s="131"/>
      <c r="B11" s="134" t="s">
        <v>287</v>
      </c>
      <c r="C11" s="132" t="s">
        <v>289</v>
      </c>
      <c r="D11" s="135" t="s">
        <v>290</v>
      </c>
    </row>
    <row r="12" spans="1:11">
      <c r="A12" s="131"/>
      <c r="B12" s="134" t="s">
        <v>288</v>
      </c>
      <c r="C12" s="135" t="s">
        <v>291</v>
      </c>
      <c r="D12" s="132" t="s">
        <v>292</v>
      </c>
    </row>
    <row r="13" spans="1:11">
      <c r="A13" s="131"/>
      <c r="B13" s="136"/>
      <c r="C13" s="137"/>
      <c r="D13" s="130"/>
    </row>
    <row r="14" ht="16.5" spans="1:11">
      <c r="A14" s="96" t="s">
        <v>293</v>
      </c>
      <c r="I14" s="130"/>
      <c r="J14" s="130"/>
      <c r="K14" s="130"/>
    </row>
    <row r="15" spans="1:11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</row>
    <row r="16" spans="1:11">
      <c r="A16" s="138" t="s">
        <v>294</v>
      </c>
      <c r="B16" s="139"/>
      <c r="C16" s="130"/>
      <c r="D16" s="130"/>
      <c r="E16" s="130"/>
      <c r="F16" s="130"/>
      <c r="G16" s="138" t="s">
        <v>295</v>
      </c>
      <c r="H16" s="139"/>
      <c r="I16" s="130"/>
      <c r="J16" s="130"/>
      <c r="K16" s="130"/>
    </row>
    <row r="17" spans="1:11">
      <c r="A17" s="130"/>
      <c r="B17" s="131" t="s">
        <v>285</v>
      </c>
      <c r="C17" s="131"/>
      <c r="D17" s="131"/>
      <c r="E17" s="131"/>
      <c r="F17" s="130"/>
      <c r="G17" s="130"/>
      <c r="H17" s="131" t="s">
        <v>285</v>
      </c>
      <c r="I17" s="131"/>
      <c r="J17" s="131"/>
      <c r="K17" s="131"/>
    </row>
    <row r="18" spans="1:11">
      <c r="A18" s="131" t="s">
        <v>286</v>
      </c>
      <c r="B18" s="140"/>
      <c r="C18" s="141" t="s">
        <v>287</v>
      </c>
      <c r="D18" s="141" t="s">
        <v>288</v>
      </c>
      <c r="E18" s="142" t="s">
        <v>76</v>
      </c>
      <c r="F18" s="130"/>
      <c r="G18" s="131" t="s">
        <v>286</v>
      </c>
      <c r="H18" s="140"/>
      <c r="I18" s="141" t="s">
        <v>287</v>
      </c>
      <c r="J18" s="141" t="s">
        <v>288</v>
      </c>
      <c r="K18" s="142" t="s">
        <v>76</v>
      </c>
    </row>
    <row r="19" spans="1:11">
      <c r="A19" s="131"/>
      <c r="B19" s="143" t="s">
        <v>287</v>
      </c>
      <c r="C19" s="144">
        <v>0.2</v>
      </c>
      <c r="D19" s="145">
        <v>0.03</v>
      </c>
      <c r="E19" s="146">
        <f t="shared" ref="E19:E21" si="0">SUM(C19:D19)</f>
        <v>0.23</v>
      </c>
      <c r="F19" s="130"/>
      <c r="G19" s="131"/>
      <c r="H19" s="143" t="s">
        <v>287</v>
      </c>
      <c r="I19" s="144">
        <v>0.25</v>
      </c>
      <c r="J19" s="145">
        <v>0.05</v>
      </c>
      <c r="K19" s="146">
        <f t="shared" ref="K19:K21" si="1">SUM(I19:J19)</f>
        <v>0.3</v>
      </c>
    </row>
    <row r="20" spans="1:11">
      <c r="A20" s="131"/>
      <c r="B20" s="143" t="s">
        <v>288</v>
      </c>
      <c r="C20" s="145">
        <v>0.04</v>
      </c>
      <c r="D20" s="144">
        <f>1-C20-C19-D19</f>
        <v>0.73</v>
      </c>
      <c r="E20" s="146">
        <f t="shared" si="0"/>
        <v>0.77</v>
      </c>
      <c r="F20" s="130"/>
      <c r="G20" s="131"/>
      <c r="H20" s="143" t="s">
        <v>288</v>
      </c>
      <c r="I20" s="145">
        <v>0.05</v>
      </c>
      <c r="J20" s="144">
        <f>1-I20-I19-J19</f>
        <v>0.65</v>
      </c>
      <c r="K20" s="146">
        <f t="shared" si="1"/>
        <v>0.7</v>
      </c>
    </row>
    <row r="21" spans="1:11">
      <c r="A21" s="131"/>
      <c r="B21" s="142" t="s">
        <v>76</v>
      </c>
      <c r="C21" s="146">
        <f>SUM(C19:C20)</f>
        <v>0.24</v>
      </c>
      <c r="D21" s="146">
        <f>SUM(D19:D20)</f>
        <v>0.76</v>
      </c>
      <c r="E21" s="146">
        <f t="shared" si="0"/>
        <v>1</v>
      </c>
      <c r="F21" s="130"/>
      <c r="G21" s="131"/>
      <c r="H21" s="142" t="s">
        <v>76</v>
      </c>
      <c r="I21" s="146">
        <f>SUM(I19:I20)</f>
        <v>0.3</v>
      </c>
      <c r="J21" s="146">
        <f>SUM(J19:J20)</f>
        <v>0.7</v>
      </c>
      <c r="K21" s="146">
        <f t="shared" si="1"/>
        <v>1</v>
      </c>
    </row>
    <row r="22" spans="1:1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</row>
    <row r="23" spans="1:11">
      <c r="A23" s="138" t="s">
        <v>296</v>
      </c>
      <c r="B23" s="139"/>
      <c r="C23" s="130"/>
      <c r="D23" s="130"/>
      <c r="E23" s="130"/>
      <c r="F23" s="130"/>
      <c r="G23" s="138" t="s">
        <v>297</v>
      </c>
      <c r="H23" s="139"/>
      <c r="I23" s="130"/>
      <c r="J23" s="130"/>
      <c r="K23" s="130"/>
    </row>
    <row r="24" spans="1:11">
      <c r="A24" s="130"/>
      <c r="B24" s="131" t="s">
        <v>285</v>
      </c>
      <c r="C24" s="131"/>
      <c r="D24" s="131"/>
      <c r="E24" s="131"/>
      <c r="F24" s="130"/>
      <c r="G24" s="130"/>
      <c r="H24" s="131" t="s">
        <v>285</v>
      </c>
      <c r="I24" s="131"/>
      <c r="J24" s="131"/>
      <c r="K24" s="131"/>
    </row>
    <row r="25" spans="1:11">
      <c r="A25" s="131" t="s">
        <v>286</v>
      </c>
      <c r="B25" s="140"/>
      <c r="C25" s="141" t="s">
        <v>287</v>
      </c>
      <c r="D25" s="141" t="s">
        <v>288</v>
      </c>
      <c r="E25" s="142" t="s">
        <v>76</v>
      </c>
      <c r="F25" s="130"/>
      <c r="G25" s="131" t="s">
        <v>286</v>
      </c>
      <c r="H25" s="140"/>
      <c r="I25" s="141" t="s">
        <v>287</v>
      </c>
      <c r="J25" s="141" t="s">
        <v>288</v>
      </c>
      <c r="K25" s="142" t="s">
        <v>76</v>
      </c>
    </row>
    <row r="26" spans="1:11">
      <c r="A26" s="131"/>
      <c r="B26" s="143" t="s">
        <v>287</v>
      </c>
      <c r="C26" s="144">
        <v>0.05</v>
      </c>
      <c r="D26" s="145">
        <v>0.2</v>
      </c>
      <c r="E26" s="146" cm="1">
        <f t="array" ref="E26">SUMPRODUCT(C26:D26,C19:D19)</f>
        <v>0.016</v>
      </c>
      <c r="F26" s="130"/>
      <c r="G26" s="131"/>
      <c r="H26" s="143" t="s">
        <v>287</v>
      </c>
      <c r="I26" s="147">
        <v>8000</v>
      </c>
      <c r="J26" s="148">
        <v>3000</v>
      </c>
      <c r="K26" s="149" cm="1">
        <f t="array" ref="K26">SUMPRODUCT(I26:J26,I19:J19)</f>
        <v>2150</v>
      </c>
    </row>
    <row r="27" spans="1:11">
      <c r="A27" s="131"/>
      <c r="B27" s="143" t="s">
        <v>288</v>
      </c>
      <c r="C27" s="145">
        <v>0.1</v>
      </c>
      <c r="D27" s="144">
        <v>0.3</v>
      </c>
      <c r="E27" s="146" cm="1">
        <f t="array" ref="E27">SUMPRODUCT(C27:D27,C20:D20)</f>
        <v>0.223</v>
      </c>
      <c r="F27" s="130"/>
      <c r="G27" s="131"/>
      <c r="H27" s="143" t="s">
        <v>288</v>
      </c>
      <c r="I27" s="148">
        <v>5000</v>
      </c>
      <c r="J27" s="147">
        <v>2000</v>
      </c>
      <c r="K27" s="149" cm="1">
        <f t="array" ref="K27">SUMPRODUCT(I27:J27,I20:J20)</f>
        <v>1550</v>
      </c>
    </row>
    <row r="28" spans="1:11">
      <c r="A28" s="131"/>
      <c r="B28" s="142" t="s">
        <v>76</v>
      </c>
      <c r="C28" s="150" cm="1">
        <f t="array" ref="C28">SUMPRODUCT(C26:C27,C19:C20)</f>
        <v>0.014</v>
      </c>
      <c r="D28" s="146" cm="1">
        <f t="array" ref="D28">SUMPRODUCT(D26:D27,D19:D20)</f>
        <v>0.225</v>
      </c>
      <c r="E28" s="146" cm="1">
        <f t="array" ref="E28">SUMPRODUCT(C28:D28,C21:D21)</f>
        <v>0.17436</v>
      </c>
      <c r="F28" s="130"/>
      <c r="G28" s="131"/>
      <c r="H28" s="142" t="s">
        <v>76</v>
      </c>
      <c r="I28" s="149" cm="1">
        <f t="array" ref="I28">SUMPRODUCT(I26:I27,I19:I20)</f>
        <v>2250</v>
      </c>
      <c r="J28" s="149" cm="1">
        <f t="array" ref="J28">SUMPRODUCT(J26:J27,J19:J20)</f>
        <v>1450</v>
      </c>
      <c r="K28" s="149" cm="1">
        <f t="array" ref="K28">SUMPRODUCT(I28:J28,I21:J21)</f>
        <v>1690</v>
      </c>
    </row>
    <row r="29" spans="1:1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</row>
    <row r="30" spans="1:11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</row>
    <row r="31" spans="1:11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</row>
    <row r="32" ht="16.5" spans="1:11">
      <c r="A32" s="96" t="s">
        <v>298</v>
      </c>
      <c r="I32" s="130"/>
      <c r="J32" s="130"/>
      <c r="K32" s="130"/>
    </row>
    <row r="33" spans="1:11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</row>
    <row r="34" spans="1:11">
      <c r="A34" s="138" t="s">
        <v>294</v>
      </c>
      <c r="B34" s="139"/>
      <c r="C34" s="130"/>
      <c r="D34" s="130"/>
      <c r="E34" s="130"/>
      <c r="F34" s="130"/>
      <c r="G34" s="138" t="s">
        <v>295</v>
      </c>
      <c r="H34" s="139"/>
      <c r="I34" s="130"/>
      <c r="J34" s="130"/>
      <c r="K34" s="130"/>
    </row>
    <row r="35" spans="1:11">
      <c r="A35" s="130"/>
      <c r="B35" s="131" t="s">
        <v>285</v>
      </c>
      <c r="C35" s="131"/>
      <c r="D35" s="131"/>
      <c r="E35" s="131"/>
      <c r="F35" s="130"/>
      <c r="G35" s="130"/>
      <c r="H35" s="131" t="s">
        <v>285</v>
      </c>
      <c r="I35" s="131"/>
      <c r="J35" s="131"/>
      <c r="K35" s="131"/>
    </row>
    <row r="36" spans="1:11">
      <c r="A36" s="131" t="s">
        <v>286</v>
      </c>
      <c r="B36" s="140"/>
      <c r="C36" s="141" t="s">
        <v>287</v>
      </c>
      <c r="D36" s="141" t="s">
        <v>288</v>
      </c>
      <c r="E36" s="142" t="s">
        <v>76</v>
      </c>
      <c r="F36" s="130"/>
      <c r="G36" s="131" t="s">
        <v>286</v>
      </c>
      <c r="H36" s="140"/>
      <c r="I36" s="141" t="s">
        <v>287</v>
      </c>
      <c r="J36" s="141" t="s">
        <v>288</v>
      </c>
      <c r="K36" s="142" t="s">
        <v>76</v>
      </c>
    </row>
    <row r="37" spans="1:11">
      <c r="A37" s="131"/>
      <c r="B37" s="143" t="s">
        <v>287</v>
      </c>
      <c r="C37" s="144">
        <v>0.2</v>
      </c>
      <c r="D37" s="145">
        <v>0.03</v>
      </c>
      <c r="E37" s="146">
        <f t="shared" ref="E37:E39" si="2">SUM(C37:D37)</f>
        <v>0.23</v>
      </c>
      <c r="F37" s="130"/>
      <c r="G37" s="131"/>
      <c r="H37" s="143" t="s">
        <v>287</v>
      </c>
      <c r="I37" s="144">
        <v>0.25</v>
      </c>
      <c r="J37" s="145">
        <v>0.05</v>
      </c>
      <c r="K37" s="146">
        <f t="shared" ref="K37:K39" si="3">SUM(I37:J37)</f>
        <v>0.3</v>
      </c>
    </row>
    <row r="38" spans="1:11">
      <c r="A38" s="131"/>
      <c r="B38" s="143" t="s">
        <v>288</v>
      </c>
      <c r="C38" s="145">
        <v>0.04</v>
      </c>
      <c r="D38" s="144">
        <f>1-C38-C37-D37</f>
        <v>0.73</v>
      </c>
      <c r="E38" s="146">
        <f t="shared" si="2"/>
        <v>0.77</v>
      </c>
      <c r="F38" s="130"/>
      <c r="G38" s="131"/>
      <c r="H38" s="143" t="s">
        <v>288</v>
      </c>
      <c r="I38" s="145">
        <v>0.08</v>
      </c>
      <c r="J38" s="144">
        <f>1-I38-I37-J37</f>
        <v>0.62</v>
      </c>
      <c r="K38" s="146">
        <f t="shared" si="3"/>
        <v>0.7</v>
      </c>
    </row>
    <row r="39" spans="1:11">
      <c r="A39" s="131"/>
      <c r="B39" s="142" t="s">
        <v>76</v>
      </c>
      <c r="C39" s="146">
        <f>SUM(C37:C38)</f>
        <v>0.24</v>
      </c>
      <c r="D39" s="146">
        <f>SUM(D37:D38)</f>
        <v>0.76</v>
      </c>
      <c r="E39" s="146">
        <f t="shared" si="2"/>
        <v>1</v>
      </c>
      <c r="F39" s="130"/>
      <c r="G39" s="131"/>
      <c r="H39" s="142" t="s">
        <v>76</v>
      </c>
      <c r="I39" s="146">
        <f>SUM(I37:I38)</f>
        <v>0.33</v>
      </c>
      <c r="J39" s="146">
        <f>SUM(J37:J38)</f>
        <v>0.67</v>
      </c>
      <c r="K39" s="146">
        <f t="shared" si="3"/>
        <v>1</v>
      </c>
    </row>
    <row r="40" spans="1:1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</row>
    <row r="41" spans="1:11">
      <c r="A41" s="138" t="s">
        <v>296</v>
      </c>
      <c r="B41" s="139"/>
      <c r="C41" s="130"/>
      <c r="D41" s="130"/>
      <c r="E41" s="130"/>
      <c r="F41" s="130"/>
      <c r="G41" s="138" t="s">
        <v>297</v>
      </c>
      <c r="H41" s="139"/>
      <c r="I41" s="130"/>
      <c r="J41" s="130"/>
      <c r="K41" s="130"/>
    </row>
    <row r="42" spans="1:11">
      <c r="A42" s="130"/>
      <c r="B42" s="131" t="s">
        <v>285</v>
      </c>
      <c r="C42" s="131"/>
      <c r="D42" s="131"/>
      <c r="E42" s="131"/>
      <c r="F42" s="130"/>
      <c r="G42" s="130"/>
      <c r="H42" s="131" t="s">
        <v>285</v>
      </c>
      <c r="I42" s="131"/>
      <c r="J42" s="131"/>
      <c r="K42" s="131"/>
    </row>
    <row r="43" spans="1:11">
      <c r="A43" s="131" t="s">
        <v>286</v>
      </c>
      <c r="B43" s="140"/>
      <c r="C43" s="141" t="s">
        <v>287</v>
      </c>
      <c r="D43" s="141" t="s">
        <v>288</v>
      </c>
      <c r="E43" s="142" t="s">
        <v>76</v>
      </c>
      <c r="F43" s="130"/>
      <c r="G43" s="131" t="s">
        <v>286</v>
      </c>
      <c r="H43" s="140"/>
      <c r="I43" s="141" t="s">
        <v>287</v>
      </c>
      <c r="J43" s="141" t="s">
        <v>288</v>
      </c>
      <c r="K43" s="142" t="s">
        <v>76</v>
      </c>
    </row>
    <row r="44" spans="1:11">
      <c r="A44" s="131"/>
      <c r="B44" s="143" t="s">
        <v>287</v>
      </c>
      <c r="C44" s="144">
        <v>0.05</v>
      </c>
      <c r="D44" s="145">
        <v>0.2</v>
      </c>
      <c r="E44" s="146" cm="1">
        <f t="array" ref="E44">SUMPRODUCT(C44:D44,C37:D37)</f>
        <v>0.016</v>
      </c>
      <c r="F44" s="130"/>
      <c r="G44" s="131"/>
      <c r="H44" s="143" t="s">
        <v>287</v>
      </c>
      <c r="I44" s="147">
        <v>8000</v>
      </c>
      <c r="J44" s="148">
        <v>3000</v>
      </c>
      <c r="K44" s="149" cm="1">
        <f t="array" ref="K44">SUMPRODUCT(I44:J44,I37:J37)</f>
        <v>2150</v>
      </c>
    </row>
    <row r="45" spans="1:11">
      <c r="A45" s="131"/>
      <c r="B45" s="143" t="s">
        <v>288</v>
      </c>
      <c r="C45" s="145">
        <f>D37*D44/C38</f>
        <v>0.15</v>
      </c>
      <c r="D45" s="144">
        <v>0.3</v>
      </c>
      <c r="E45" s="146" cm="1">
        <f t="array" ref="E45">SUMPRODUCT(C45:D45,C38:D38)</f>
        <v>0.225</v>
      </c>
      <c r="F45" s="130"/>
      <c r="G45" s="131"/>
      <c r="H45" s="143" t="s">
        <v>288</v>
      </c>
      <c r="I45" s="148">
        <v>5000</v>
      </c>
      <c r="J45" s="147">
        <v>2000</v>
      </c>
      <c r="K45" s="149" cm="1">
        <f t="array" ref="K45">SUMPRODUCT(I45:J45,I38:J38)</f>
        <v>1640</v>
      </c>
    </row>
    <row r="46" spans="1:11">
      <c r="A46" s="131"/>
      <c r="B46" s="142" t="s">
        <v>76</v>
      </c>
      <c r="C46" s="150" cm="1">
        <f t="array" ref="C46">SUMPRODUCT(C44:C45,C37:C38)</f>
        <v>0.016</v>
      </c>
      <c r="D46" s="146" cm="1">
        <f t="array" ref="D46">SUMPRODUCT(D44:D45,D37:D38)</f>
        <v>0.225</v>
      </c>
      <c r="E46" s="146" cm="1">
        <f t="array" ref="E46">SUMPRODUCT(C46:D46,C39:D39)</f>
        <v>0.17484</v>
      </c>
      <c r="F46" s="130"/>
      <c r="G46" s="131"/>
      <c r="H46" s="142" t="s">
        <v>76</v>
      </c>
      <c r="I46" s="149" cm="1">
        <f t="array" ref="I46">SUMPRODUCT(I44:I45,I37:I38)</f>
        <v>2400</v>
      </c>
      <c r="J46" s="149" cm="1">
        <f t="array" ref="J46">SUMPRODUCT(J44:J45,J37:J38)</f>
        <v>1390</v>
      </c>
      <c r="K46" s="149" cm="1">
        <f t="array" ref="K46">SUMPRODUCT(I46:J46,I39:J39)</f>
        <v>1723.3</v>
      </c>
    </row>
  </sheetData>
  <mergeCells count="22">
    <mergeCell ref="A1:H1"/>
    <mergeCell ref="A2:H2"/>
    <mergeCell ref="B9:D9"/>
    <mergeCell ref="A14:H14"/>
    <mergeCell ref="B17:E17"/>
    <mergeCell ref="H17:K17"/>
    <mergeCell ref="B24:E24"/>
    <mergeCell ref="H24:K24"/>
    <mergeCell ref="A32:H32"/>
    <mergeCell ref="B35:E35"/>
    <mergeCell ref="H35:K35"/>
    <mergeCell ref="B42:E42"/>
    <mergeCell ref="H42:K42"/>
    <mergeCell ref="A10:A12"/>
    <mergeCell ref="A18:A21"/>
    <mergeCell ref="A25:A28"/>
    <mergeCell ref="A36:A39"/>
    <mergeCell ref="A43:A46"/>
    <mergeCell ref="G18:G21"/>
    <mergeCell ref="G25:G28"/>
    <mergeCell ref="G36:G39"/>
    <mergeCell ref="G43:G4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D31" sqref="D31"/>
    </sheetView>
  </sheetViews>
  <sheetFormatPr defaultColWidth="8.72727272727273" defaultRowHeight="16.5" outlineLevelCol="7"/>
  <cols>
    <col min="1" max="1" width="17.7272727272727" style="112" customWidth="1"/>
    <col min="2" max="3" width="15.1818181818182" style="112" customWidth="1"/>
    <col min="4" max="4" width="12.4545454545455" style="112" customWidth="1"/>
    <col min="5" max="16384" width="8.72727272727273" style="112"/>
  </cols>
  <sheetData>
    <row r="1" ht="20" spans="1:8">
      <c r="A1" s="95" t="s">
        <v>299</v>
      </c>
    </row>
    <row r="2" spans="1:8">
      <c r="A2" s="96" t="s">
        <v>300</v>
      </c>
    </row>
    <row r="3" spans="1:8">
      <c r="A3" s="113" t="s">
        <v>301</v>
      </c>
    </row>
    <row r="4" ht="54" customHeight="1" spans="1:8">
      <c r="A4" s="114" t="s">
        <v>302</v>
      </c>
      <c r="B4" s="115"/>
      <c r="C4" s="115"/>
      <c r="D4" s="115"/>
      <c r="E4" s="115"/>
      <c r="F4" s="115"/>
      <c r="G4" s="115"/>
      <c r="H4" s="115"/>
    </row>
    <row r="6" spans="1:8">
      <c r="A6" s="116" t="s">
        <v>68</v>
      </c>
      <c r="B6" s="117" t="s">
        <v>303</v>
      </c>
      <c r="C6" s="117" t="s">
        <v>304</v>
      </c>
      <c r="D6" s="116" t="s">
        <v>305</v>
      </c>
    </row>
    <row r="7" spans="1:8">
      <c r="A7" s="118" t="s">
        <v>306</v>
      </c>
      <c r="B7" s="119">
        <v>10000</v>
      </c>
      <c r="C7" s="119">
        <f>B7</f>
        <v>10000</v>
      </c>
      <c r="D7" s="120">
        <f>B7-C7</f>
        <v>0</v>
      </c>
    </row>
    <row r="8" spans="1:8">
      <c r="A8" s="121" t="s">
        <v>307</v>
      </c>
      <c r="B8" s="122">
        <v>0.15</v>
      </c>
      <c r="C8" s="122">
        <v>0.165</v>
      </c>
      <c r="D8" s="121" t="s">
        <v>308</v>
      </c>
    </row>
    <row r="9" spans="1:8">
      <c r="A9" s="118" t="s">
        <v>309</v>
      </c>
      <c r="B9" s="123">
        <v>0.65</v>
      </c>
      <c r="C9" s="123">
        <v>0.62</v>
      </c>
      <c r="D9" s="118" t="s">
        <v>310</v>
      </c>
    </row>
    <row r="10" spans="1:8">
      <c r="A10" s="121" t="s">
        <v>296</v>
      </c>
      <c r="B10" s="122">
        <v>0.021</v>
      </c>
      <c r="C10" s="122">
        <v>0.021</v>
      </c>
      <c r="D10" s="121" t="s">
        <v>311</v>
      </c>
    </row>
    <row r="11" spans="1:8">
      <c r="A11" s="118" t="s">
        <v>312</v>
      </c>
      <c r="B11" s="123">
        <v>0.3</v>
      </c>
      <c r="C11" s="123">
        <v>0.35</v>
      </c>
      <c r="D11" s="118" t="s">
        <v>313</v>
      </c>
    </row>
    <row r="12" spans="1:8">
      <c r="A12" s="121" t="s">
        <v>314</v>
      </c>
      <c r="B12" s="122">
        <v>0.25</v>
      </c>
      <c r="C12" s="122">
        <v>0.35</v>
      </c>
      <c r="D12" s="121" t="s">
        <v>315</v>
      </c>
    </row>
    <row r="13" spans="1:8">
      <c r="A13" s="118" t="s">
        <v>316</v>
      </c>
      <c r="B13" s="124" t="s">
        <v>317</v>
      </c>
      <c r="C13" s="124" t="s">
        <v>318</v>
      </c>
      <c r="D13" s="121" t="s">
        <v>315</v>
      </c>
    </row>
  </sheetData>
  <mergeCells count="3">
    <mergeCell ref="A1:H1"/>
    <mergeCell ref="A2:H2"/>
    <mergeCell ref="A4:H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zoomScale="85" zoomScaleNormal="85" workbookViewId="0">
      <selection activeCell="D31" sqref="D31"/>
    </sheetView>
  </sheetViews>
  <sheetFormatPr defaultColWidth="9" defaultRowHeight="14" outlineLevelCol="7"/>
  <cols>
    <col min="1" max="1" width="27" customWidth="1"/>
    <col min="2" max="2" width="11.9090909090909" customWidth="1"/>
    <col min="3" max="5" width="12" customWidth="1"/>
    <col min="6" max="6" width="26" customWidth="1"/>
  </cols>
  <sheetData>
    <row r="1" customFormat="1" ht="35" customHeight="1" spans="1:7">
      <c r="A1" s="95" t="s">
        <v>319</v>
      </c>
    </row>
    <row r="2" customFormat="1"/>
    <row r="3" customFormat="1" ht="16.5" customHeight="1" spans="1:7">
      <c r="A3" s="96" t="s">
        <v>320</v>
      </c>
    </row>
    <row r="4" ht="14.5" customHeight="1" spans="1:7">
      <c r="A4" s="97" t="s">
        <v>68</v>
      </c>
      <c r="B4" s="98" t="s">
        <v>321</v>
      </c>
      <c r="C4" s="98" t="s">
        <v>322</v>
      </c>
      <c r="D4" s="97" t="str">
        <f t="shared" ref="D4:D6" si="0">IF(B4&gt;=C4,"达标","未达标")</f>
        <v>达标</v>
      </c>
    </row>
    <row r="5" ht="14.5" customHeight="1" spans="1:7">
      <c r="A5" s="99" t="s">
        <v>323</v>
      </c>
      <c r="B5" s="100">
        <v>0.72</v>
      </c>
      <c r="C5" s="100">
        <v>0.35</v>
      </c>
      <c r="D5" s="99" t="str">
        <f t="shared" si="0"/>
        <v>达标</v>
      </c>
    </row>
    <row r="6" ht="14.5" customHeight="1" spans="1:7">
      <c r="A6" s="101" t="s">
        <v>324</v>
      </c>
      <c r="B6" s="102">
        <v>0.44</v>
      </c>
      <c r="C6" s="102">
        <v>0.7</v>
      </c>
      <c r="D6" s="101" t="str">
        <f t="shared" si="0"/>
        <v>未达标</v>
      </c>
    </row>
    <row r="7" ht="14.5" customHeight="1" spans="1:7">
      <c r="A7" s="99" t="s">
        <v>325</v>
      </c>
      <c r="B7" s="100">
        <v>0.15</v>
      </c>
      <c r="C7" s="100">
        <v>0.4</v>
      </c>
      <c r="D7" s="99" t="str">
        <f>IF(B7&lt;=C7,"达标","未达标")</f>
        <v>达标</v>
      </c>
    </row>
    <row r="8" ht="14.5" customHeight="1" spans="1:7">
      <c r="A8" s="101" t="s">
        <v>326</v>
      </c>
      <c r="B8" s="101"/>
      <c r="C8" s="101">
        <v>0.2</v>
      </c>
      <c r="D8" s="101" t="s">
        <v>327</v>
      </c>
    </row>
    <row r="9" customFormat="1"/>
    <row r="10" customFormat="1" ht="16.5" customHeight="1" spans="1:7">
      <c r="A10" s="96" t="s">
        <v>328</v>
      </c>
    </row>
    <row r="11" ht="14.5" customHeight="1" spans="1:7">
      <c r="A11" s="97" t="s">
        <v>329</v>
      </c>
      <c r="B11" s="97" t="s">
        <v>330</v>
      </c>
      <c r="C11" s="97" t="s">
        <v>331</v>
      </c>
      <c r="D11" s="97" t="s">
        <v>332</v>
      </c>
      <c r="E11" s="97" t="s">
        <v>309</v>
      </c>
      <c r="F11" s="97" t="s">
        <v>333</v>
      </c>
    </row>
    <row r="12" ht="14.5" customHeight="1" spans="1:7">
      <c r="A12" s="99" t="s">
        <v>334</v>
      </c>
      <c r="B12" s="103">
        <v>0.08</v>
      </c>
      <c r="C12" s="103">
        <v>0.005</v>
      </c>
      <c r="D12" s="99" t="s">
        <v>287</v>
      </c>
      <c r="E12" s="104">
        <f>B12</f>
        <v>0.08</v>
      </c>
      <c r="F12" s="105">
        <f>1-C12</f>
        <v>0.995</v>
      </c>
      <c r="G12" s="106"/>
    </row>
    <row r="13" ht="14.5" customHeight="1" spans="1:7">
      <c r="A13" s="101" t="s">
        <v>335</v>
      </c>
      <c r="B13" s="107">
        <v>0.22</v>
      </c>
      <c r="C13" s="107">
        <v>0.012</v>
      </c>
      <c r="D13" s="101" t="s">
        <v>287</v>
      </c>
      <c r="E13" s="108">
        <f t="shared" ref="E12:E14" si="1">B13</f>
        <v>0.22</v>
      </c>
      <c r="F13" s="105">
        <f>1-(B12/SUM(B12+B13)*C12+B13/SUM(B12+B13)*C13)</f>
        <v>0.989866666666667</v>
      </c>
    </row>
    <row r="14" ht="14.5" customHeight="1" spans="1:7">
      <c r="A14" s="99" t="s">
        <v>336</v>
      </c>
      <c r="B14" s="103">
        <v>0.3</v>
      </c>
      <c r="C14" s="103">
        <v>0.028</v>
      </c>
      <c r="D14" s="99" t="s">
        <v>287</v>
      </c>
      <c r="E14" s="104">
        <f t="shared" si="1"/>
        <v>0.3</v>
      </c>
      <c r="F14" s="105">
        <f>1-(B12/(B12+B13+B14)*C12+B13/(B12+B13+B14)*C13+B14/(B12+B13+B14)*C14)</f>
        <v>0.980933333333333</v>
      </c>
    </row>
    <row r="15" ht="14.5" customHeight="1" spans="1:7">
      <c r="A15" s="101" t="s">
        <v>337</v>
      </c>
      <c r="B15" s="107">
        <v>0.25</v>
      </c>
      <c r="C15" s="107">
        <v>0.065</v>
      </c>
      <c r="D15" s="101" t="s">
        <v>288</v>
      </c>
      <c r="E15" s="108">
        <v>0</v>
      </c>
      <c r="F15" s="104"/>
    </row>
    <row r="16" ht="14.5" customHeight="1" spans="1:7">
      <c r="A16" s="99" t="s">
        <v>338</v>
      </c>
      <c r="B16" s="103">
        <v>0.1</v>
      </c>
      <c r="C16" s="103">
        <v>0.12</v>
      </c>
      <c r="D16" s="99" t="s">
        <v>288</v>
      </c>
      <c r="E16" s="104">
        <v>0</v>
      </c>
      <c r="F16" s="104"/>
    </row>
    <row r="17" ht="14.5" customHeight="1" spans="1:6">
      <c r="A17" s="101" t="s">
        <v>339</v>
      </c>
      <c r="B17" s="107">
        <v>0.05</v>
      </c>
      <c r="C17" s="107">
        <v>0.2</v>
      </c>
      <c r="D17" s="101" t="s">
        <v>288</v>
      </c>
      <c r="E17" s="108">
        <v>0</v>
      </c>
      <c r="F17" s="108"/>
    </row>
    <row r="18" customFormat="1"/>
    <row r="19" customFormat="1" spans="1:6">
      <c r="A19" s="109" t="s">
        <v>340</v>
      </c>
      <c r="B19" s="110">
        <f>SUM(E12:E17)</f>
        <v>0.6</v>
      </c>
    </row>
    <row r="20" customFormat="1" spans="1:6">
      <c r="A20" s="109" t="s">
        <v>341</v>
      </c>
      <c r="B20" s="111" cm="1">
        <f t="array" ref="B20">SUMPRODUCT(B12:B14,C12:C14)/B19</f>
        <v>0.0190666666666667</v>
      </c>
    </row>
    <row r="21" customFormat="1"/>
    <row r="22" customFormat="1" spans="1:6">
      <c r="A22" t="s">
        <v>327</v>
      </c>
    </row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 spans="1:1">
      <c r="A42" t="s">
        <v>342</v>
      </c>
    </row>
    <row r="43" customFormat="1" spans="1:1">
      <c r="A43" t="s">
        <v>343</v>
      </c>
    </row>
  </sheetData>
  <mergeCells count="3">
    <mergeCell ref="A1:H1"/>
    <mergeCell ref="A3:H3"/>
    <mergeCell ref="A10:H10"/>
  </mergeCells>
  <conditionalFormatting sqref="B12:B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{e135e748-78d8-47d0-891e-cde86cd373ca}</x14:id>
        </ext>
      </extLst>
    </cfRule>
  </conditionalFormatting>
  <conditionalFormatting sqref="C12:C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{f1b0d8d4-4f83-4406-a50c-bd1d620f7081}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5e748-78d8-47d0-891e-cde86cd373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B12:B17</xm:sqref>
        </x14:conditionalFormatting>
        <x14:conditionalFormatting xmlns:xm="http://schemas.microsoft.com/office/excel/2006/main">
          <x14:cfRule type="dataBar" id="{f1b0d8d4-4f83-4406-a50c-bd1d620f70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C12:C17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31" sqref="D31"/>
    </sheetView>
  </sheetViews>
  <sheetFormatPr defaultColWidth="8.72727272727273" defaultRowHeight="14" outlineLevelCol="7"/>
  <cols>
    <col min="1" max="1" width="11.8181818181818" style="1" customWidth="1"/>
    <col min="2" max="2" width="17.8181818181818" style="1" customWidth="1"/>
    <col min="3" max="3" width="10.6363636363636" style="1" customWidth="1"/>
    <col min="4" max="4" width="8.90909090909091" style="1" customWidth="1"/>
    <col min="5" max="6" width="9.45454545454546" style="1" customWidth="1"/>
    <col min="7" max="7" width="14" style="1"/>
    <col min="8" max="16384" width="8.72727272727273" style="1"/>
  </cols>
  <sheetData>
    <row r="1" ht="20" spans="1:6">
      <c r="A1" s="43" t="s">
        <v>344</v>
      </c>
    </row>
    <row r="2" ht="18" spans="1:6">
      <c r="A2" s="43"/>
    </row>
    <row r="4" ht="14.75"/>
    <row r="5" spans="1:6">
      <c r="A5" s="53" t="s">
        <v>345</v>
      </c>
      <c r="B5" s="78" t="s">
        <v>346</v>
      </c>
      <c r="C5" s="78" t="s">
        <v>347</v>
      </c>
      <c r="D5" s="79" t="s">
        <v>348</v>
      </c>
      <c r="E5" s="80" t="s">
        <v>349</v>
      </c>
      <c r="F5" s="81" t="s">
        <v>350</v>
      </c>
    </row>
    <row r="6" spans="1:6">
      <c r="A6" s="82" t="s">
        <v>351</v>
      </c>
      <c r="B6" s="57">
        <v>0.2</v>
      </c>
      <c r="C6" s="57">
        <v>0.18</v>
      </c>
      <c r="D6" s="83">
        <v>0.21</v>
      </c>
      <c r="E6" s="84">
        <f>LN(B6/C6)*(B6-C6)</f>
        <v>0.00210721031315653</v>
      </c>
      <c r="F6" s="85">
        <f>LN(B6/D6)*(B6-D6)</f>
        <v>0.000487901641694319</v>
      </c>
    </row>
    <row r="7" spans="1:6">
      <c r="A7" s="86" t="s">
        <v>352</v>
      </c>
      <c r="B7" s="63">
        <v>0.3</v>
      </c>
      <c r="C7" s="63">
        <v>0.25</v>
      </c>
      <c r="D7" s="87">
        <v>0.33</v>
      </c>
      <c r="E7" s="88">
        <f>LN(B7/C7)*(B7-C7)</f>
        <v>0.00911607783969773</v>
      </c>
      <c r="F7" s="89">
        <f>LN(B7/D7)*(B7-D7)</f>
        <v>0.00285930539412975</v>
      </c>
    </row>
    <row r="8" spans="1:6">
      <c r="A8" s="82" t="s">
        <v>353</v>
      </c>
      <c r="B8" s="57">
        <v>0.35</v>
      </c>
      <c r="C8" s="57">
        <v>0.32</v>
      </c>
      <c r="D8" s="83">
        <v>0.29</v>
      </c>
      <c r="E8" s="84">
        <f>LN(B8/C8)*(B8-C8)</f>
        <v>0.00268836476069061</v>
      </c>
      <c r="F8" s="85">
        <f>LN(B8/D8)*(B8-D8)</f>
        <v>0.0112831338901764</v>
      </c>
    </row>
    <row r="9" spans="1:6">
      <c r="A9" s="86" t="s">
        <v>354</v>
      </c>
      <c r="B9" s="63">
        <v>0.1</v>
      </c>
      <c r="C9" s="63">
        <v>0.15</v>
      </c>
      <c r="D9" s="87">
        <v>0.14</v>
      </c>
      <c r="E9" s="88">
        <f>LN(B9/C9)*(B9-C9)</f>
        <v>0.0202732554054082</v>
      </c>
      <c r="F9" s="89">
        <f>LN(B9/D9)*(B9-D9)</f>
        <v>0.0134588894648485</v>
      </c>
    </row>
    <row r="10" ht="14.75" spans="1:6">
      <c r="A10" s="86" t="s">
        <v>355</v>
      </c>
      <c r="B10" s="63">
        <v>0.05</v>
      </c>
      <c r="C10" s="63">
        <v>0.1</v>
      </c>
      <c r="D10" s="87">
        <v>0.03</v>
      </c>
      <c r="E10" s="90">
        <f>LN(B10/C10)*(B10-C10)</f>
        <v>0.0346573590279973</v>
      </c>
      <c r="F10" s="91">
        <f>LN(B10/D10)*(B10-D10)</f>
        <v>0.0102165124753198</v>
      </c>
    </row>
    <row r="11" spans="1:6">
      <c r="A11" s="92"/>
      <c r="B11" s="93">
        <f>SUM(B6:B10)</f>
        <v>1</v>
      </c>
      <c r="C11" s="93">
        <f>SUM(C6:C10)</f>
        <v>1</v>
      </c>
      <c r="D11" s="93">
        <f>SUM(D6:D10)</f>
        <v>1</v>
      </c>
      <c r="E11" s="94">
        <f>SUM(E6:E10)</f>
        <v>0.0688422673469504</v>
      </c>
      <c r="F11" s="94">
        <f>SUM(F6:F10)</f>
        <v>0.0383057428661688</v>
      </c>
    </row>
    <row r="13" spans="1:6">
      <c r="A13" s="1" t="s">
        <v>356</v>
      </c>
      <c r="B13" s="1" t="s">
        <v>357</v>
      </c>
    </row>
    <row r="14" spans="1:6">
      <c r="A14" s="1" t="s">
        <v>358</v>
      </c>
      <c r="B14" s="1" t="s">
        <v>359</v>
      </c>
    </row>
    <row r="15" spans="1:6">
      <c r="A15" s="1" t="s">
        <v>360</v>
      </c>
      <c r="B15" s="1" t="s">
        <v>361</v>
      </c>
    </row>
  </sheetData>
  <mergeCells count="1">
    <mergeCell ref="A1:H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9"/>
  <sheetViews>
    <sheetView zoomScale="85" zoomScaleNormal="85" workbookViewId="0">
      <selection activeCell="D31" sqref="D31"/>
    </sheetView>
  </sheetViews>
  <sheetFormatPr defaultColWidth="8.72727272727273" defaultRowHeight="14"/>
  <cols>
    <col min="1" max="1" width="8.72727272727273" style="1"/>
    <col min="2" max="2" width="15.2727272727273" style="1" customWidth="1"/>
    <col min="3" max="3" width="13.6363636363636" style="1" customWidth="1"/>
    <col min="4" max="4" width="16.3545454545455" style="1" customWidth="1"/>
    <col min="5" max="5" width="10.3818181818182" style="1" customWidth="1"/>
    <col min="6" max="6" width="11.5454545454545" style="1" customWidth="1"/>
    <col min="7" max="8" width="13.1818181818182" style="1" customWidth="1"/>
    <col min="9" max="10" width="11.0909090909091" style="1" customWidth="1"/>
    <col min="11" max="11" width="7.81818181818182" style="1" customWidth="1"/>
    <col min="12" max="12" width="7.18181818181818" style="1" customWidth="1"/>
    <col min="13" max="13" width="6.45454545454545" style="1" customWidth="1"/>
    <col min="14" max="16384" width="8.72727272727273" style="1"/>
  </cols>
  <sheetData>
    <row r="1" ht="20" spans="2:12">
      <c r="B1" s="43" t="s">
        <v>362</v>
      </c>
    </row>
    <row r="2" ht="16.5" spans="2:12">
      <c r="B2" s="44" t="s">
        <v>363</v>
      </c>
      <c r="J2" s="45"/>
      <c r="K2" s="45"/>
      <c r="L2" s="45"/>
    </row>
    <row r="3" ht="15" spans="2:12">
      <c r="B3" s="46" t="s">
        <v>364</v>
      </c>
      <c r="C3" s="47" t="s">
        <v>365</v>
      </c>
      <c r="D3" s="46"/>
      <c r="E3" s="46"/>
      <c r="F3" s="46"/>
      <c r="G3" s="46"/>
      <c r="H3" s="45"/>
      <c r="I3" s="45"/>
    </row>
    <row r="4" spans="2:12">
      <c r="B4" s="46"/>
      <c r="C4" s="48" t="s">
        <v>366</v>
      </c>
      <c r="D4" s="46"/>
      <c r="E4" s="46"/>
      <c r="F4" s="46"/>
      <c r="G4" s="46"/>
      <c r="H4" s="45"/>
      <c r="I4" s="45"/>
    </row>
    <row r="5" ht="15" spans="2:12">
      <c r="B5" s="46" t="s">
        <v>367</v>
      </c>
      <c r="C5" s="47" t="s">
        <v>368</v>
      </c>
      <c r="D5" s="46"/>
      <c r="E5" s="46"/>
      <c r="F5" s="46"/>
      <c r="G5" s="46"/>
      <c r="H5" s="45"/>
      <c r="I5" s="45"/>
    </row>
    <row r="6" spans="2:12">
      <c r="B6" s="46"/>
      <c r="C6" s="48" t="s">
        <v>369</v>
      </c>
      <c r="D6" s="46"/>
      <c r="E6" s="46"/>
      <c r="F6" s="46"/>
      <c r="G6" s="46"/>
      <c r="H6" s="45"/>
      <c r="I6" s="45"/>
    </row>
    <row r="7" ht="15.5" spans="2:12">
      <c r="B7" s="45"/>
      <c r="C7" s="49" t="s">
        <v>370</v>
      </c>
      <c r="D7" s="45"/>
      <c r="E7" s="45"/>
      <c r="F7" s="45"/>
      <c r="G7" s="45"/>
      <c r="H7" s="45"/>
      <c r="I7" s="45"/>
    </row>
    <row r="8" ht="15.5" spans="2:12">
      <c r="B8" s="45"/>
      <c r="C8" s="49"/>
      <c r="D8" s="45"/>
      <c r="E8" s="45"/>
      <c r="F8" s="45"/>
      <c r="G8" s="45"/>
      <c r="H8" s="45"/>
      <c r="I8" s="45"/>
      <c r="J8" s="50"/>
      <c r="K8" s="50"/>
      <c r="L8" s="50"/>
    </row>
    <row r="9" ht="14.5" spans="2:12">
      <c r="B9" s="51" t="s">
        <v>371</v>
      </c>
      <c r="C9" s="51" t="s">
        <v>372</v>
      </c>
      <c r="D9" s="51" t="s">
        <v>373</v>
      </c>
      <c r="E9" s="45"/>
      <c r="F9" s="45"/>
      <c r="G9" s="45"/>
      <c r="H9" s="45"/>
      <c r="I9" s="45"/>
      <c r="J9" s="50"/>
      <c r="K9" s="50"/>
      <c r="L9" s="50"/>
    </row>
    <row r="10" ht="14.5" spans="2:12">
      <c r="B10" s="52" t="s">
        <v>374</v>
      </c>
      <c r="C10" s="52" t="s">
        <v>375</v>
      </c>
      <c r="D10" s="52" t="s">
        <v>376</v>
      </c>
      <c r="E10" s="45"/>
      <c r="F10" s="45"/>
      <c r="G10" s="45"/>
      <c r="H10" s="45"/>
      <c r="I10" s="45"/>
      <c r="J10" s="50"/>
      <c r="K10" s="50"/>
      <c r="L10" s="50"/>
    </row>
    <row r="11" ht="14.5" spans="2:12">
      <c r="B11" s="52" t="s">
        <v>377</v>
      </c>
      <c r="C11" s="52" t="s">
        <v>378</v>
      </c>
      <c r="D11" s="52" t="s">
        <v>379</v>
      </c>
      <c r="E11" s="45"/>
      <c r="F11" s="45"/>
      <c r="G11" s="45"/>
      <c r="H11" s="45"/>
      <c r="I11" s="45"/>
      <c r="J11" s="50"/>
      <c r="K11" s="50"/>
      <c r="L11" s="50"/>
    </row>
    <row r="12" ht="14.5" spans="2:12">
      <c r="B12" s="52" t="s">
        <v>380</v>
      </c>
      <c r="C12" s="52" t="s">
        <v>381</v>
      </c>
      <c r="D12" s="52" t="s">
        <v>382</v>
      </c>
      <c r="E12" s="45"/>
      <c r="F12" s="45"/>
      <c r="G12" s="45"/>
      <c r="H12" s="45"/>
      <c r="I12" s="45"/>
      <c r="J12" s="50"/>
      <c r="K12" s="50"/>
      <c r="L12" s="50"/>
    </row>
    <row r="13" ht="14.5" spans="2:12">
      <c r="B13" s="52" t="s">
        <v>383</v>
      </c>
      <c r="C13" s="52" t="s">
        <v>384</v>
      </c>
      <c r="D13" s="52" t="s">
        <v>385</v>
      </c>
      <c r="E13" s="45"/>
      <c r="F13" s="45"/>
      <c r="G13" s="45"/>
      <c r="H13" s="45"/>
      <c r="I13" s="45"/>
      <c r="J13" s="50"/>
      <c r="K13" s="50"/>
      <c r="L13" s="50"/>
    </row>
    <row r="14" ht="15.5" spans="2:12">
      <c r="B14" s="45"/>
      <c r="C14" s="49"/>
      <c r="D14" s="45"/>
      <c r="E14" s="45"/>
      <c r="F14" s="45"/>
      <c r="G14" s="45"/>
      <c r="H14" s="45"/>
      <c r="I14" s="45"/>
      <c r="J14" s="50"/>
      <c r="K14" s="50"/>
      <c r="L14" s="50"/>
    </row>
    <row r="15" ht="16.5" spans="2:12">
      <c r="B15" s="44" t="s">
        <v>386</v>
      </c>
      <c r="J15" s="50"/>
      <c r="K15" s="50"/>
      <c r="L15" s="50"/>
    </row>
    <row r="16" ht="15.5" spans="2:12">
      <c r="B16" s="45"/>
      <c r="C16" s="49"/>
      <c r="D16" s="45"/>
      <c r="E16" s="45"/>
      <c r="F16" s="45"/>
      <c r="G16" s="45"/>
      <c r="H16" s="45"/>
      <c r="I16" s="45"/>
      <c r="J16" s="50"/>
      <c r="K16" s="50"/>
      <c r="L16" s="50"/>
    </row>
    <row r="17" spans="2:13">
      <c r="B17" s="53" t="s">
        <v>387</v>
      </c>
      <c r="C17" s="53" t="s">
        <v>388</v>
      </c>
      <c r="D17" s="54" t="s">
        <v>296</v>
      </c>
      <c r="E17" s="54" t="s">
        <v>389</v>
      </c>
      <c r="F17" s="54" t="s">
        <v>390</v>
      </c>
      <c r="G17" s="55" t="s">
        <v>391</v>
      </c>
      <c r="H17" s="55" t="s">
        <v>392</v>
      </c>
      <c r="I17" s="55" t="s">
        <v>393</v>
      </c>
      <c r="J17" s="55" t="s">
        <v>394</v>
      </c>
      <c r="K17" s="54" t="s">
        <v>395</v>
      </c>
      <c r="L17" s="54" t="s">
        <v>396</v>
      </c>
      <c r="M17" s="54" t="s">
        <v>397</v>
      </c>
    </row>
    <row r="18" spans="2:13">
      <c r="B18" s="56">
        <v>45658</v>
      </c>
      <c r="C18" s="57" t="s">
        <v>351</v>
      </c>
      <c r="D18" s="57">
        <v>0.015</v>
      </c>
      <c r="E18" s="58">
        <v>200</v>
      </c>
      <c r="F18" s="59">
        <f>E18/D18</f>
        <v>13333.3333333333</v>
      </c>
      <c r="G18" s="59">
        <f>F18-E18</f>
        <v>13133.3333333333</v>
      </c>
      <c r="H18" s="60">
        <f>E18</f>
        <v>200</v>
      </c>
      <c r="I18" s="61">
        <f>G18/SUM(G18:G21)</f>
        <v>0.385954797312031</v>
      </c>
      <c r="J18" s="61">
        <f>H18/SUM(H18:H21)</f>
        <v>0.216450216450216</v>
      </c>
      <c r="K18" s="61">
        <f>LN(I18/J18)</f>
        <v>0.57835968330972</v>
      </c>
      <c r="L18" s="61">
        <f>(I18-J18)*K18</f>
        <v>0.0980346157067857</v>
      </c>
      <c r="M18" s="62"/>
    </row>
    <row r="19" spans="2:13">
      <c r="B19" s="56">
        <v>45689</v>
      </c>
      <c r="C19" s="63" t="s">
        <v>352</v>
      </c>
      <c r="D19" s="63">
        <v>0.02</v>
      </c>
      <c r="E19" s="64">
        <v>189</v>
      </c>
      <c r="F19" s="59">
        <f>E19/D19</f>
        <v>9450</v>
      </c>
      <c r="G19" s="65">
        <f>F19-E19</f>
        <v>9261</v>
      </c>
      <c r="H19" s="60">
        <f>E19</f>
        <v>189</v>
      </c>
      <c r="I19" s="61">
        <f>G19/SUM(G18:G21)</f>
        <v>0.272156906947212</v>
      </c>
      <c r="J19" s="61">
        <f>H19/SUM(H18:H21)</f>
        <v>0.204545454545455</v>
      </c>
      <c r="K19" s="61">
        <f>LN(I19/J19)</f>
        <v>0.285588541350468</v>
      </c>
      <c r="L19" s="61">
        <f>(I19-J19)*K19</f>
        <v>0.0193090560700044</v>
      </c>
      <c r="M19" s="62"/>
    </row>
    <row r="20" spans="2:13">
      <c r="B20" s="56">
        <v>45717</v>
      </c>
      <c r="C20" s="57" t="s">
        <v>353</v>
      </c>
      <c r="D20" s="57">
        <v>0.035</v>
      </c>
      <c r="E20" s="58">
        <v>235</v>
      </c>
      <c r="F20" s="59">
        <f>E20/D20</f>
        <v>6714.28571428571</v>
      </c>
      <c r="G20" s="59">
        <f>F20-E20</f>
        <v>6479.28571428571</v>
      </c>
      <c r="H20" s="60">
        <f>E20</f>
        <v>235</v>
      </c>
      <c r="I20" s="61">
        <f>G20/SUM(G18:G21)</f>
        <v>0.190409497810955</v>
      </c>
      <c r="J20" s="61">
        <f>H20/SUM(H18:H21)</f>
        <v>0.254329004329004</v>
      </c>
      <c r="K20" s="61">
        <f>LN(I20/J20)</f>
        <v>-0.289451716910587</v>
      </c>
      <c r="L20" s="61">
        <f>(I20-J20)*K20</f>
        <v>0.0185016109057268</v>
      </c>
      <c r="M20" s="62"/>
    </row>
    <row r="21" spans="2:13">
      <c r="B21" s="56">
        <v>45748</v>
      </c>
      <c r="C21" s="63" t="s">
        <v>354</v>
      </c>
      <c r="D21" s="63">
        <v>0.055</v>
      </c>
      <c r="E21" s="64">
        <v>300</v>
      </c>
      <c r="F21" s="59">
        <f>E21/D21</f>
        <v>5454.54545454545</v>
      </c>
      <c r="G21" s="65">
        <f>F21-E21</f>
        <v>5154.54545454545</v>
      </c>
      <c r="H21" s="60">
        <f>E21</f>
        <v>300</v>
      </c>
      <c r="I21" s="61">
        <f>G21/SUM(G18:G21)</f>
        <v>0.151478797929803</v>
      </c>
      <c r="J21" s="61">
        <f>H21/SUM(H18:H21)</f>
        <v>0.324675324675325</v>
      </c>
      <c r="K21" s="61">
        <f>LN(I21/J21)</f>
        <v>-0.762380014498887</v>
      </c>
      <c r="L21" s="61">
        <f>(I21-J21)*K21</f>
        <v>0.132041570571408</v>
      </c>
      <c r="M21" s="62">
        <f>SUM(L18:L21)</f>
        <v>0.267886853253925</v>
      </c>
    </row>
    <row r="23" ht="36" customHeight="1" spans="2:13">
      <c r="B23" s="66" t="s">
        <v>398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</row>
    <row r="24" ht="14.75" spans="2:13">
      <c r="B24" s="67" t="s">
        <v>399</v>
      </c>
      <c r="C24" s="68" t="s">
        <v>400</v>
      </c>
      <c r="D24" s="68" t="s">
        <v>401</v>
      </c>
      <c r="E24" s="68" t="s">
        <v>402</v>
      </c>
      <c r="F24" s="68" t="s">
        <v>403</v>
      </c>
      <c r="G24" s="69" t="s">
        <v>404</v>
      </c>
      <c r="H24" s="68" t="s">
        <v>323</v>
      </c>
    </row>
    <row r="25" ht="14.75" spans="2:13">
      <c r="B25" s="70">
        <v>45658</v>
      </c>
      <c r="C25" s="71" t="s">
        <v>351</v>
      </c>
      <c r="D25" s="72">
        <v>0.101838388034898</v>
      </c>
      <c r="E25" s="72">
        <v>0.0411522633744856</v>
      </c>
      <c r="F25" s="72">
        <f>SUM(D$25:D25)</f>
        <v>0.101838388034898</v>
      </c>
      <c r="G25" s="72">
        <f>SUM(E$25:E25)</f>
        <v>0.0411522633744856</v>
      </c>
      <c r="H25" s="73">
        <f>ABS(G25-F25)</f>
        <v>0.0606861246604124</v>
      </c>
    </row>
    <row r="26" ht="14.75" spans="2:13">
      <c r="B26" s="74">
        <v>45658</v>
      </c>
      <c r="C26" s="75" t="s">
        <v>352</v>
      </c>
      <c r="D26" s="76">
        <v>0.302780085860684</v>
      </c>
      <c r="E26" s="76">
        <v>0.165432098765432</v>
      </c>
      <c r="F26" s="72">
        <f>SUM(D$25:D26)</f>
        <v>0.404618473895582</v>
      </c>
      <c r="G26" s="72">
        <f>SUM(E$25:E26)</f>
        <v>0.206584362139918</v>
      </c>
      <c r="H26" s="73">
        <f>ABS(G26-F26)</f>
        <v>0.198034111755664</v>
      </c>
    </row>
    <row r="27" ht="14.75" spans="2:13">
      <c r="B27" s="70">
        <v>45658</v>
      </c>
      <c r="C27" s="71" t="s">
        <v>353</v>
      </c>
      <c r="D27" s="72">
        <v>0.343563910815676</v>
      </c>
      <c r="E27" s="72">
        <v>0.31358024691358</v>
      </c>
      <c r="F27" s="72">
        <f>SUM(D$25:D27)</f>
        <v>0.748182384711258</v>
      </c>
      <c r="G27" s="72">
        <f>SUM(E$25:E27)</f>
        <v>0.520164609053498</v>
      </c>
      <c r="H27" s="73">
        <f>ABS(G27-F27)</f>
        <v>0.22801777565776</v>
      </c>
    </row>
    <row r="28" ht="14.75" spans="2:13">
      <c r="B28" s="74">
        <v>45658</v>
      </c>
      <c r="C28" s="75" t="s">
        <v>354</v>
      </c>
      <c r="D28" s="76">
        <v>0.251817615288741</v>
      </c>
      <c r="E28" s="76">
        <v>0.479835390946502</v>
      </c>
      <c r="F28" s="72">
        <f>SUM(D$25:D28)</f>
        <v>0.999999999999999</v>
      </c>
      <c r="G28" s="72">
        <f>SUM(E$25:E28)</f>
        <v>1</v>
      </c>
      <c r="H28" s="73">
        <f>ABS(G28-F28)</f>
        <v>0</v>
      </c>
    </row>
    <row r="29" spans="2:13">
      <c r="H29" s="77">
        <f>MAX(H25:H28)</f>
        <v>0.22801777565776</v>
      </c>
    </row>
  </sheetData>
  <mergeCells count="4">
    <mergeCell ref="B1:H1"/>
    <mergeCell ref="B2:I2"/>
    <mergeCell ref="B15:I15"/>
    <mergeCell ref="B23:M23"/>
  </mergeCells>
  <conditionalFormatting sqref="D18:D2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{49795ef4-9982-4ba7-b9b1-d46558d61ef3}</x14:id>
        </ext>
      </extLst>
    </cfRule>
  </conditionalFormatting>
  <conditionalFormatting sqref="K18:K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{42030658-000f-45d7-b091-2a63789a1ad2}</x14:id>
        </ext>
      </extLst>
    </cfRule>
  </conditionalFormatting>
  <conditionalFormatting sqref="I18:J2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{6b3559b9-8633-4553-8ee1-7c040fe3a99a}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795ef4-9982-4ba7-b9b1-d46558d61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D18:D21</xm:sqref>
        </x14:conditionalFormatting>
        <x14:conditionalFormatting xmlns:xm="http://schemas.microsoft.com/office/excel/2006/main">
          <x14:cfRule type="dataBar" id="{42030658-000f-45d7-b091-2a63789a1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K18:K21</xm:sqref>
        </x14:conditionalFormatting>
        <x14:conditionalFormatting xmlns:xm="http://schemas.microsoft.com/office/excel/2006/main">
          <x14:cfRule type="dataBar" id="{6b3559b9-8633-4553-8ee1-7c040fe3a9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I18:J21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55"/>
  <sheetViews>
    <sheetView zoomScale="85" zoomScaleNormal="85" topLeftCell="C33" workbookViewId="0">
      <selection activeCell="D31" sqref="D31"/>
    </sheetView>
  </sheetViews>
  <sheetFormatPr defaultColWidth="9" defaultRowHeight="14"/>
  <cols>
    <col min="1" max="1" width="9" style="1"/>
    <col min="2" max="2" width="20" style="1" customWidth="1"/>
    <col min="3" max="3" width="9.18181818181818" style="1" customWidth="1"/>
    <col min="4" max="4" width="10.5454545454545" style="1" customWidth="1"/>
    <col min="5" max="5" width="7" style="1" customWidth="1"/>
    <col min="6" max="6" width="11.7272727272727" style="1"/>
    <col min="7" max="7" width="9.18181818181818" style="1"/>
    <col min="8" max="8" width="9" style="1"/>
    <col min="9" max="9" width="9.54545454545454" style="1"/>
    <col min="10" max="10" width="12.8181818181818" style="1"/>
    <col min="11" max="11" width="10.9090909090909" style="1" customWidth="1"/>
    <col min="12" max="12" width="7" style="1" customWidth="1"/>
    <col min="13" max="15" width="9" style="1"/>
    <col min="16" max="16" width="8.27272727272727" style="1" customWidth="1"/>
    <col min="17" max="16384" width="9" style="1"/>
  </cols>
  <sheetData>
    <row r="1" ht="17.5" spans="2:14">
      <c r="B1" s="2" t="s">
        <v>405</v>
      </c>
    </row>
    <row r="2" spans="2:14">
      <c r="B2" s="3" t="s">
        <v>406</v>
      </c>
      <c r="C2" s="4"/>
      <c r="D2" s="4"/>
      <c r="E2" s="4"/>
      <c r="F2" s="4"/>
    </row>
    <row r="3" spans="2:14">
      <c r="B3" s="4"/>
      <c r="C3" s="4"/>
      <c r="D3" s="4"/>
      <c r="E3" s="4"/>
      <c r="F3" s="4"/>
    </row>
    <row r="4" spans="2:14">
      <c r="B4" s="5" t="s">
        <v>407</v>
      </c>
    </row>
    <row r="5" ht="16.5" spans="2:14">
      <c r="B5" s="6" t="s">
        <v>408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14.5" spans="2:14">
      <c r="B6" s="7" t="s">
        <v>409</v>
      </c>
      <c r="C6" s="4"/>
      <c r="D6" s="4"/>
      <c r="E6" s="4"/>
      <c r="F6" s="4"/>
    </row>
    <row r="7" ht="14.5" spans="2:14">
      <c r="B7" s="7" t="s">
        <v>410</v>
      </c>
      <c r="C7" s="4"/>
      <c r="D7" s="4"/>
      <c r="E7" s="4"/>
      <c r="F7" s="4"/>
    </row>
    <row r="8" ht="14.5" spans="2:14">
      <c r="B8" s="7" t="s">
        <v>411</v>
      </c>
      <c r="C8" s="4"/>
      <c r="D8" s="4"/>
      <c r="E8" s="4"/>
      <c r="F8" s="4"/>
    </row>
    <row r="9" spans="2:14">
      <c r="B9" s="4"/>
      <c r="C9" s="4"/>
      <c r="D9" s="4"/>
      <c r="E9" s="4"/>
      <c r="F9" s="4"/>
    </row>
    <row r="10" spans="2:14">
      <c r="B10" s="8" t="s">
        <v>412</v>
      </c>
      <c r="C10" s="4"/>
      <c r="D10" s="4"/>
      <c r="E10" s="4"/>
      <c r="F10" s="4"/>
    </row>
    <row r="11" spans="2:14">
      <c r="B11" s="4"/>
      <c r="C11" s="4"/>
      <c r="D11" s="4"/>
      <c r="E11" s="4"/>
      <c r="F11" s="4"/>
    </row>
    <row r="12" spans="2:14">
      <c r="B12" s="9" t="s">
        <v>413</v>
      </c>
      <c r="C12" s="9" t="s">
        <v>414</v>
      </c>
      <c r="D12" s="9" t="s">
        <v>415</v>
      </c>
      <c r="E12" s="9" t="s">
        <v>331</v>
      </c>
      <c r="F12" s="10" t="s">
        <v>416</v>
      </c>
    </row>
    <row r="13" spans="2:14">
      <c r="B13" s="11" t="s">
        <v>417</v>
      </c>
      <c r="C13" s="11">
        <v>10</v>
      </c>
      <c r="D13" s="12">
        <v>0.1</v>
      </c>
      <c r="E13" s="13">
        <v>0.3</v>
      </c>
      <c r="F13" s="14">
        <f>E13/E$23</f>
        <v>3.04568527918782</v>
      </c>
    </row>
    <row r="14" spans="2:14">
      <c r="B14" s="11" t="s">
        <v>418</v>
      </c>
      <c r="C14" s="11">
        <v>20</v>
      </c>
      <c r="D14" s="12">
        <v>0.1</v>
      </c>
      <c r="E14" s="13">
        <v>0.2</v>
      </c>
      <c r="F14" s="14">
        <f t="shared" ref="F14:F22" si="0">E14/E$23</f>
        <v>2.03045685279188</v>
      </c>
    </row>
    <row r="15" spans="2:14">
      <c r="B15" s="11" t="s">
        <v>419</v>
      </c>
      <c r="C15" s="11">
        <v>30</v>
      </c>
      <c r="D15" s="12">
        <v>0.1</v>
      </c>
      <c r="E15" s="13">
        <v>0.15</v>
      </c>
      <c r="F15" s="14">
        <f t="shared" si="0"/>
        <v>1.52284263959391</v>
      </c>
    </row>
    <row r="16" spans="2:14">
      <c r="B16" s="11" t="s">
        <v>420</v>
      </c>
      <c r="C16" s="11">
        <v>40</v>
      </c>
      <c r="D16" s="12">
        <v>0.1</v>
      </c>
      <c r="E16" s="13">
        <v>0.13</v>
      </c>
      <c r="F16" s="14">
        <f t="shared" si="0"/>
        <v>1.31979695431472</v>
      </c>
    </row>
    <row r="17" spans="2:6">
      <c r="B17" s="11" t="s">
        <v>421</v>
      </c>
      <c r="C17" s="11">
        <v>50</v>
      </c>
      <c r="D17" s="12">
        <v>0.1</v>
      </c>
      <c r="E17" s="13">
        <v>0.09</v>
      </c>
      <c r="F17" s="14">
        <f t="shared" si="0"/>
        <v>0.913705583756345</v>
      </c>
    </row>
    <row r="18" spans="2:6">
      <c r="B18" s="11" t="s">
        <v>422</v>
      </c>
      <c r="C18" s="11">
        <v>60</v>
      </c>
      <c r="D18" s="12">
        <v>0.1</v>
      </c>
      <c r="E18" s="13">
        <v>0.05</v>
      </c>
      <c r="F18" s="14">
        <f t="shared" si="0"/>
        <v>0.50761421319797</v>
      </c>
    </row>
    <row r="19" spans="2:6">
      <c r="B19" s="11" t="s">
        <v>423</v>
      </c>
      <c r="C19" s="11">
        <v>70</v>
      </c>
      <c r="D19" s="12">
        <v>0.1</v>
      </c>
      <c r="E19" s="13">
        <v>0.025</v>
      </c>
      <c r="F19" s="14">
        <f t="shared" si="0"/>
        <v>0.253807106598985</v>
      </c>
    </row>
    <row r="20" spans="2:6">
      <c r="B20" s="11" t="s">
        <v>424</v>
      </c>
      <c r="C20" s="11">
        <v>80</v>
      </c>
      <c r="D20" s="12">
        <v>0.1</v>
      </c>
      <c r="E20" s="13">
        <v>0.02</v>
      </c>
      <c r="F20" s="14">
        <f t="shared" si="0"/>
        <v>0.203045685279188</v>
      </c>
    </row>
    <row r="21" spans="2:6">
      <c r="B21" s="11" t="s">
        <v>425</v>
      </c>
      <c r="C21" s="11">
        <v>90</v>
      </c>
      <c r="D21" s="12">
        <v>0.1</v>
      </c>
      <c r="E21" s="13">
        <v>0.015</v>
      </c>
      <c r="F21" s="14">
        <f t="shared" si="0"/>
        <v>0.152284263959391</v>
      </c>
    </row>
    <row r="22" spans="2:6">
      <c r="B22" s="11" t="s">
        <v>426</v>
      </c>
      <c r="C22" s="11">
        <v>100</v>
      </c>
      <c r="D22" s="12">
        <v>0.1</v>
      </c>
      <c r="E22" s="13">
        <v>0.005</v>
      </c>
      <c r="F22" s="14">
        <f t="shared" si="0"/>
        <v>0.050761421319797</v>
      </c>
    </row>
    <row r="23" spans="2:6">
      <c r="B23" s="4"/>
      <c r="C23" s="4"/>
      <c r="E23" s="15" cm="1">
        <f t="array" ref="E23">SUMPRODUCT(E13:E22,D13:D22)</f>
        <v>0.0985</v>
      </c>
      <c r="F23" s="4"/>
    </row>
    <row r="24" spans="2:6">
      <c r="B24" s="4"/>
      <c r="C24" s="4"/>
      <c r="D24" s="4"/>
      <c r="E24" s="4"/>
      <c r="F24" s="4"/>
    </row>
    <row r="25" spans="2:6">
      <c r="B25" s="4"/>
      <c r="C25" s="4"/>
      <c r="D25" s="4"/>
      <c r="E25" s="4"/>
      <c r="F25" s="4"/>
    </row>
    <row r="26" spans="2:6">
      <c r="B26" s="8" t="s">
        <v>427</v>
      </c>
      <c r="C26" s="4"/>
      <c r="D26" s="4"/>
      <c r="E26" s="4"/>
      <c r="F26" s="4"/>
    </row>
    <row r="27" spans="2:6">
      <c r="B27" t="s">
        <v>428</v>
      </c>
      <c r="C27" s="4"/>
      <c r="D27" s="4"/>
      <c r="E27" s="4"/>
      <c r="F27" s="4"/>
    </row>
    <row r="28" spans="2:6">
      <c r="B28" t="s">
        <v>429</v>
      </c>
      <c r="C28" s="4"/>
      <c r="D28" s="4"/>
      <c r="E28" s="4"/>
      <c r="F28" s="4"/>
    </row>
    <row r="29" spans="2:6">
      <c r="B29" s="16" t="s">
        <v>430</v>
      </c>
      <c r="C29" s="4"/>
      <c r="D29" s="4"/>
      <c r="E29" s="4"/>
      <c r="F29" s="4"/>
    </row>
    <row r="30" spans="2:6">
      <c r="B30" t="s">
        <v>431</v>
      </c>
      <c r="C30" s="4"/>
      <c r="D30" s="4"/>
      <c r="E30" s="4"/>
      <c r="F30" s="4"/>
    </row>
    <row r="31" spans="2:6">
      <c r="B31" s="8"/>
      <c r="C31" s="4"/>
      <c r="D31" s="4"/>
      <c r="E31" s="4"/>
      <c r="F31" s="4"/>
    </row>
    <row r="32" spans="2:6">
      <c r="B32" s="17" t="s">
        <v>432</v>
      </c>
      <c r="C32" s="4"/>
      <c r="D32" s="4"/>
      <c r="E32" s="4"/>
      <c r="F32" s="4"/>
    </row>
    <row r="33" spans="2:16">
      <c r="B33" s="17" t="s">
        <v>433</v>
      </c>
      <c r="C33" s="4"/>
      <c r="D33" s="4"/>
      <c r="E33" s="4"/>
      <c r="F33" s="4"/>
    </row>
    <row r="34" spans="2:16">
      <c r="C34" s="4"/>
      <c r="D34" s="4"/>
      <c r="E34" s="4"/>
      <c r="F34" s="4"/>
    </row>
    <row r="35" spans="2:16">
      <c r="B35" s="17" t="s">
        <v>434</v>
      </c>
      <c r="C35" s="4"/>
      <c r="D35" s="4"/>
      <c r="E35" s="4"/>
      <c r="F35" s="4"/>
    </row>
    <row r="36" spans="2:16">
      <c r="B36" s="17" t="s">
        <v>435</v>
      </c>
      <c r="C36" s="4"/>
      <c r="D36" s="4"/>
      <c r="E36" s="4"/>
      <c r="F36" s="4"/>
    </row>
    <row r="37" ht="14.75" spans="2:16">
      <c r="C37" s="4"/>
      <c r="D37" s="4"/>
      <c r="G37" s="4"/>
      <c r="H37" s="4"/>
    </row>
    <row r="38" ht="14.75" spans="2:16">
      <c r="I38" s="18" t="s">
        <v>400</v>
      </c>
      <c r="J38" s="18" t="s">
        <v>156</v>
      </c>
      <c r="K38" s="19" t="s">
        <v>436</v>
      </c>
      <c r="L38" s="19" t="s">
        <v>437</v>
      </c>
      <c r="M38" s="19" t="s">
        <v>438</v>
      </c>
      <c r="O38" s="20" t="s">
        <v>90</v>
      </c>
      <c r="P38" s="21">
        <f>1-K43/E48</f>
        <v>0.188034188034188</v>
      </c>
    </row>
    <row r="39" ht="14.75" spans="2:16">
      <c r="I39" s="22" t="s">
        <v>439</v>
      </c>
      <c r="J39" s="23">
        <f t="shared" ref="J39:J42" si="1">C43/SUM(C$43:C$46)</f>
        <v>0.166666666666667</v>
      </c>
      <c r="K39" s="24">
        <v>0.008</v>
      </c>
      <c r="L39" s="25">
        <v>0.02</v>
      </c>
      <c r="M39" s="26">
        <f t="shared" ref="M39:M42" si="2">K39/K$43</f>
        <v>0.303157894736842</v>
      </c>
      <c r="P39" s="27"/>
    </row>
    <row r="40" ht="14.75" spans="2:16">
      <c r="I40" s="28" t="s">
        <v>440</v>
      </c>
      <c r="J40" s="29">
        <f t="shared" si="1"/>
        <v>0.277777777777778</v>
      </c>
      <c r="K40" s="30">
        <v>0.015</v>
      </c>
      <c r="L40" s="31">
        <v>0.03</v>
      </c>
      <c r="M40" s="32">
        <f t="shared" si="2"/>
        <v>0.568421052631579</v>
      </c>
      <c r="O40" s="33" t="s">
        <v>441</v>
      </c>
      <c r="P40" s="34">
        <f>1-SUM(C43:C46)/SUM(C43:C47)</f>
        <v>0.1</v>
      </c>
    </row>
    <row r="41" ht="14.75" spans="2:16">
      <c r="B41" s="35" t="s">
        <v>442</v>
      </c>
      <c r="C41" s="1" t="s">
        <v>327</v>
      </c>
      <c r="I41" s="22" t="s">
        <v>443</v>
      </c>
      <c r="J41" s="23">
        <f t="shared" si="1"/>
        <v>0.333333333333333</v>
      </c>
      <c r="K41" s="24">
        <v>0.028</v>
      </c>
      <c r="L41" s="25">
        <v>0.04</v>
      </c>
      <c r="M41" s="26">
        <f t="shared" si="2"/>
        <v>1.06105263157895</v>
      </c>
      <c r="O41" s="33" t="s">
        <v>444</v>
      </c>
      <c r="P41" s="34" cm="1">
        <f t="array" ref="P41">1-SUMPRODUCT(C43:C46,E43:E46)/E48</f>
        <v>0.0923076923076924</v>
      </c>
    </row>
    <row r="42" ht="14.75" spans="2:16">
      <c r="B42" s="18" t="s">
        <v>400</v>
      </c>
      <c r="C42" s="18" t="s">
        <v>156</v>
      </c>
      <c r="D42" s="19" t="s">
        <v>436</v>
      </c>
      <c r="E42" s="19" t="s">
        <v>437</v>
      </c>
      <c r="F42" s="19" t="s">
        <v>438</v>
      </c>
      <c r="I42" s="28" t="s">
        <v>445</v>
      </c>
      <c r="J42" s="29">
        <f t="shared" si="1"/>
        <v>0.222222222222222</v>
      </c>
      <c r="K42" s="30">
        <v>0.052</v>
      </c>
      <c r="L42" s="31">
        <v>0.035</v>
      </c>
      <c r="M42" s="32">
        <f t="shared" si="2"/>
        <v>1.97052631578947</v>
      </c>
      <c r="P42" s="27"/>
    </row>
    <row r="43" ht="14.75" spans="2:16">
      <c r="B43" s="22" t="s">
        <v>439</v>
      </c>
      <c r="C43" s="23">
        <v>0.15</v>
      </c>
      <c r="D43" s="24">
        <v>0.008</v>
      </c>
      <c r="E43" s="24">
        <v>0.02</v>
      </c>
      <c r="F43" s="26">
        <f t="shared" ref="F43:F48" si="3">D43/D$48</f>
        <v>0.240601503759398</v>
      </c>
      <c r="J43" s="36">
        <f>SUM(J39:J42)</f>
        <v>1</v>
      </c>
      <c r="K43" s="36" cm="1">
        <f t="array" ref="K43">SUMPRODUCT(J39:J42,K39:K42)</f>
        <v>0.0263888888888889</v>
      </c>
      <c r="L43" s="36" cm="1">
        <f t="array" ref="L43">SUMPRODUCT(J39:J42,L39:L42)</f>
        <v>0.0327777777777778</v>
      </c>
      <c r="P43" s="27"/>
    </row>
    <row r="44" ht="14.75" spans="2:16">
      <c r="B44" s="28" t="s">
        <v>440</v>
      </c>
      <c r="C44" s="29">
        <v>0.25</v>
      </c>
      <c r="D44" s="30">
        <v>0.015</v>
      </c>
      <c r="E44" s="30">
        <v>0.03</v>
      </c>
      <c r="F44" s="32">
        <f t="shared" si="3"/>
        <v>0.451127819548872</v>
      </c>
      <c r="P44" s="27"/>
    </row>
    <row r="45" ht="14.75" spans="2:16">
      <c r="B45" s="22" t="s">
        <v>443</v>
      </c>
      <c r="C45" s="23">
        <v>0.3</v>
      </c>
      <c r="D45" s="24">
        <v>0.028</v>
      </c>
      <c r="E45" s="24">
        <v>0.04</v>
      </c>
      <c r="F45" s="26">
        <f t="shared" si="3"/>
        <v>0.842105263157895</v>
      </c>
    </row>
    <row r="46" ht="14.75" spans="2:16">
      <c r="B46" s="28" t="s">
        <v>445</v>
      </c>
      <c r="C46" s="29">
        <v>0.2</v>
      </c>
      <c r="D46" s="30">
        <v>0.052</v>
      </c>
      <c r="E46" s="30">
        <v>0.035</v>
      </c>
      <c r="F46" s="32">
        <f t="shared" si="3"/>
        <v>1.56390977443609</v>
      </c>
      <c r="I46" s="18" t="s">
        <v>400</v>
      </c>
      <c r="J46" s="18" t="s">
        <v>156</v>
      </c>
      <c r="K46" s="19" t="s">
        <v>436</v>
      </c>
      <c r="L46" s="19" t="s">
        <v>437</v>
      </c>
      <c r="M46" s="19" t="s">
        <v>438</v>
      </c>
      <c r="O46" s="20" t="s">
        <v>90</v>
      </c>
      <c r="P46" s="21">
        <f>1-K50/D48</f>
        <v>0.426423200859291</v>
      </c>
    </row>
    <row r="47" ht="14.75" spans="2:16">
      <c r="B47" s="22" t="s">
        <v>446</v>
      </c>
      <c r="C47" s="23">
        <v>0.1</v>
      </c>
      <c r="D47" s="24">
        <v>0.095</v>
      </c>
      <c r="E47" s="24">
        <v>0.03</v>
      </c>
      <c r="F47" s="26">
        <f t="shared" si="3"/>
        <v>2.85714285714286</v>
      </c>
      <c r="I47" s="22" t="s">
        <v>439</v>
      </c>
      <c r="J47" s="23">
        <f t="shared" ref="J47:J49" si="4">C43/SUM(C$43:C$45)</f>
        <v>0.214285714285714</v>
      </c>
      <c r="K47" s="24">
        <v>0.008</v>
      </c>
      <c r="L47" s="24">
        <v>0.02</v>
      </c>
      <c r="M47" s="26">
        <f t="shared" ref="M47:M49" si="5">K47/K$50</f>
        <v>0.419475655430712</v>
      </c>
      <c r="P47" s="27"/>
    </row>
    <row r="48" ht="14.75" spans="2:16">
      <c r="D48" s="37" cm="1">
        <f t="array" ref="D48">SUMPRODUCT(D43:D47,C43:C47)</f>
        <v>0.03325</v>
      </c>
      <c r="E48" s="37" cm="1">
        <f t="array" ref="E48">SUMPRODUCT(E43:E47,C43:C47)</f>
        <v>0.0325</v>
      </c>
      <c r="F48" s="38"/>
      <c r="I48" s="28" t="s">
        <v>440</v>
      </c>
      <c r="J48" s="29">
        <f t="shared" si="4"/>
        <v>0.357142857142857</v>
      </c>
      <c r="K48" s="30">
        <v>0.015</v>
      </c>
      <c r="L48" s="30">
        <v>0.03</v>
      </c>
      <c r="M48" s="32">
        <f t="shared" si="5"/>
        <v>0.786516853932584</v>
      </c>
      <c r="O48" s="33" t="s">
        <v>441</v>
      </c>
      <c r="P48" s="34">
        <f>1-SUM(C43:C45)/SUM(C43:C47)</f>
        <v>0.3</v>
      </c>
    </row>
    <row r="49" ht="14.75" spans="5:16">
      <c r="I49" s="22" t="s">
        <v>443</v>
      </c>
      <c r="J49" s="23">
        <f t="shared" si="4"/>
        <v>0.428571428571429</v>
      </c>
      <c r="K49" s="24">
        <v>0.028</v>
      </c>
      <c r="L49" s="24">
        <v>0.04</v>
      </c>
      <c r="M49" s="26">
        <f t="shared" si="5"/>
        <v>1.46816479400749</v>
      </c>
      <c r="O49" s="33" t="s">
        <v>444</v>
      </c>
      <c r="P49" s="34" cm="1">
        <f t="array" ref="P49">1-SUMPRODUCT(C43:C45,E43:E45)/E48</f>
        <v>0.307692307692308</v>
      </c>
    </row>
    <row r="50" spans="5:16">
      <c r="H50" s="39"/>
      <c r="I50" s="39"/>
      <c r="J50" s="36">
        <f>SUM(J47:J49)</f>
        <v>1</v>
      </c>
      <c r="K50" s="36" cm="1">
        <f t="array" ref="K50">SUMPRODUCT(J47:J49,K47:K49)</f>
        <v>0.0190714285714286</v>
      </c>
      <c r="L50" s="37" cm="1">
        <f t="array" ref="L50">SUMPRODUCT(J47:J49,L47:L49)</f>
        <v>0.0321428571428571</v>
      </c>
      <c r="M50" s="39"/>
    </row>
    <row r="51" spans="5:16">
      <c r="E51" s="39"/>
    </row>
    <row r="52" spans="5:16">
      <c r="E52" s="40"/>
      <c r="F52" s="41"/>
      <c r="G52" s="42"/>
      <c r="H52" s="39"/>
      <c r="I52" s="41"/>
    </row>
    <row r="53" spans="5:16">
      <c r="E53" s="39"/>
      <c r="F53" s="39"/>
      <c r="H53" s="39"/>
      <c r="I53" s="39"/>
      <c r="K53" s="41"/>
      <c r="L53" s="39"/>
    </row>
    <row r="54" spans="5:16">
      <c r="E54" s="39"/>
      <c r="F54" s="41"/>
      <c r="H54" s="39"/>
      <c r="I54" s="41"/>
      <c r="K54" s="41"/>
      <c r="L54" s="41"/>
    </row>
    <row r="55" spans="5:16">
      <c r="E55" s="39"/>
      <c r="F55" s="41"/>
      <c r="H55" s="39"/>
      <c r="I55" s="41"/>
      <c r="K55" s="41"/>
      <c r="L55" s="41"/>
    </row>
  </sheetData>
  <mergeCells count="3">
    <mergeCell ref="B1:C1"/>
    <mergeCell ref="B2:F2"/>
    <mergeCell ref="B5:N5"/>
  </mergeCells>
  <hyperlinks>
    <hyperlink ref="D42" r:id="rId2" display="Mob6@30+" tooltip="mailto:Mob6@30+"/>
    <hyperlink ref="K38" r:id="rId2" display="Mob6@30+" tooltip="mailto:Mob6@30+"/>
    <hyperlink ref="K46" r:id="rId2" display="Mob6@30+" tooltip="mailto:Mob6@30+"/>
  </hyperlink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D11"/>
  <sheetViews>
    <sheetView workbookViewId="0">
      <selection activeCell="D31" sqref="D31"/>
    </sheetView>
  </sheetViews>
  <sheetFormatPr defaultColWidth="8.72727272727273" defaultRowHeight="14" outlineLevelCol="3"/>
  <cols>
    <col min="4" max="4" width="16.2727272727273" customWidth="1"/>
  </cols>
  <sheetData>
    <row r="3" spans="4:4">
      <c r="D3" t="s">
        <v>447</v>
      </c>
    </row>
    <row r="4" spans="4:4">
      <c r="D4" t="s">
        <v>448</v>
      </c>
    </row>
    <row r="5" spans="4:4">
      <c r="D5" t="s">
        <v>449</v>
      </c>
    </row>
    <row r="6" spans="4:4">
      <c r="D6" t="s">
        <v>450</v>
      </c>
    </row>
    <row r="7" spans="4:4">
      <c r="D7" t="s">
        <v>451</v>
      </c>
    </row>
    <row r="8" spans="4:4">
      <c r="D8" t="s">
        <v>452</v>
      </c>
    </row>
    <row r="9" spans="4:4">
      <c r="D9" t="s">
        <v>453</v>
      </c>
    </row>
    <row r="10" spans="4:4">
      <c r="D10" t="s">
        <v>454</v>
      </c>
    </row>
    <row r="11" spans="4:4">
      <c r="D11" t="s">
        <v>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0.策略开发流程</vt:lpstr>
      <vt:lpstr>1.准入规则</vt:lpstr>
      <vt:lpstr>1.2用户分层</vt:lpstr>
      <vt:lpstr>2.冷启动</vt:lpstr>
      <vt:lpstr>3.Swap in&amp;out</vt:lpstr>
      <vt:lpstr>4.AB Test</vt:lpstr>
      <vt:lpstr>5.评分卡模型测算</vt:lpstr>
      <vt:lpstr>6.1 PSI 计算</vt:lpstr>
      <vt:lpstr>6.2 IV&amp;KS计算</vt:lpstr>
      <vt:lpstr>7. Lift值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2026-04-02T09:33:00Z</dcterms:created>
  <dcterms:modified xsi:type="dcterms:W3CDTF">2026-05-05T04:57:29Z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0FA190BBACF94BEAAE48BD3B06781232_12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