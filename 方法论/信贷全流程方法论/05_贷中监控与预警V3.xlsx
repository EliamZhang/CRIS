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1.贷中监控预警测算" sheetId="1" r:id="rId1"/>
    <sheet name="2.Vintage" sheetId="2" r:id="rId2"/>
    <sheet name="3.LT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<sst xmlns="http://schemas.openxmlformats.org/spreadsheetml/2006/main" count="269" uniqueCount="90">
  <si>
    <t>五、贷中监控与预警 — EWS预警效果测算</t>
  </si>
  <si>
    <t>1. 预警层级与干预效果</t>
  </si>
  <si>
    <t>预警层级</t>
  </si>
  <si>
    <t>月均触发量</t>
  </si>
  <si>
    <t>干预措施</t>
  </si>
  <si>
    <t>干预成功率</t>
  </si>
  <si>
    <t>挽回金额(万元)</t>
  </si>
  <si>
    <t>操作成本(万元)</t>
  </si>
  <si>
    <t>L1 关注</t>
  </si>
  <si>
    <t>短信提醒</t>
  </si>
  <si>
    <t>L2 预警</t>
  </si>
  <si>
    <t>额度压缩30%</t>
  </si>
  <si>
    <t>L3 高危</t>
  </si>
  <si>
    <t>额度冻结+外呼</t>
  </si>
  <si>
    <t>L4 违约</t>
  </si>
  <si>
    <t>催收启动</t>
  </si>
  <si>
    <t>合计/加权</t>
  </si>
  <si>
    <t>2. 月度滚动率监控</t>
  </si>
  <si>
    <t>月份</t>
  </si>
  <si>
    <t>M1逾期率</t>
  </si>
  <si>
    <t>M2逾期率</t>
  </si>
  <si>
    <t>M3逾期率</t>
  </si>
  <si>
    <t>M1→M2滚动率</t>
  </si>
  <si>
    <t>M2→M3滚动率</t>
  </si>
  <si>
    <r>
      <rPr>
        <b/>
        <sz val="14"/>
        <color rgb="FF1F3864"/>
        <rFont val="微软雅黑"/>
        <charset val="134"/>
      </rPr>
      <t>2、</t>
    </r>
    <r>
      <rPr>
        <b/>
        <sz val="14"/>
        <color rgb="FF1F3864"/>
        <rFont val="Arial"/>
        <charset val="134"/>
      </rPr>
      <t>Vintage--</t>
    </r>
    <r>
      <rPr>
        <b/>
        <sz val="14"/>
        <color rgb="FF1F3864"/>
        <rFont val="宋体"/>
        <charset val="134"/>
      </rPr>
      <t>风险预测</t>
    </r>
  </si>
  <si>
    <r>
      <rPr>
        <b/>
        <sz val="11"/>
        <color rgb="FF2E75B6"/>
        <rFont val="Arial"/>
        <charset val="134"/>
      </rPr>
      <t>1. Vintage</t>
    </r>
    <r>
      <rPr>
        <b/>
        <sz val="11"/>
        <color rgb="FF2E75B6"/>
        <rFont val="宋体"/>
        <charset val="134"/>
      </rPr>
      <t>实际值</t>
    </r>
  </si>
  <si>
    <r>
      <rPr>
        <sz val="11"/>
        <color theme="1"/>
        <rFont val="Arial"/>
        <charset val="134"/>
      </rPr>
      <t xml:space="preserve">1.1 </t>
    </r>
    <r>
      <rPr>
        <sz val="11"/>
        <color theme="1"/>
        <rFont val="宋体"/>
        <charset val="134"/>
      </rPr>
      <t>列对不同放款月的风险变化</t>
    </r>
  </si>
  <si>
    <r>
      <rPr>
        <sz val="11"/>
        <color theme="1"/>
        <rFont val="Arial"/>
        <charset val="134"/>
      </rPr>
      <t xml:space="preserve">1.2 </t>
    </r>
    <r>
      <rPr>
        <sz val="11"/>
        <color theme="1"/>
        <rFont val="宋体"/>
        <charset val="134"/>
      </rPr>
      <t>行看风险大概在那个</t>
    </r>
    <r>
      <rPr>
        <sz val="11"/>
        <color theme="1"/>
        <rFont val="Arial"/>
        <charset val="134"/>
      </rPr>
      <t>Mob</t>
    </r>
    <r>
      <rPr>
        <sz val="11"/>
        <color theme="1"/>
        <rFont val="宋体"/>
        <charset val="134"/>
      </rPr>
      <t>进行收敛，根据历史趋势快速判断风险，不需要在整个生命周期走完才去评估风险</t>
    </r>
  </si>
  <si>
    <t>Month</t>
  </si>
  <si>
    <t>GMV</t>
  </si>
  <si>
    <t>Tenor</t>
  </si>
  <si>
    <t>Mob0</t>
  </si>
  <si>
    <t>Mob1</t>
  </si>
  <si>
    <t>Mob2</t>
  </si>
  <si>
    <t>Mob3</t>
  </si>
  <si>
    <t>Mob4</t>
  </si>
  <si>
    <t>Mob5</t>
  </si>
  <si>
    <t>Mob6</t>
  </si>
  <si>
    <t>Mob7</t>
  </si>
  <si>
    <t>Mob8</t>
  </si>
  <si>
    <t>Mob9</t>
  </si>
  <si>
    <t>Mob10</t>
  </si>
  <si>
    <t>Mob11</t>
  </si>
  <si>
    <t>Mob12</t>
  </si>
  <si>
    <r>
      <rPr>
        <sz val="10"/>
        <color rgb="FFFF0000"/>
        <rFont val="Arial"/>
        <charset val="134"/>
      </rPr>
      <t>*</t>
    </r>
    <r>
      <rPr>
        <sz val="10"/>
        <color rgb="FFFF0000"/>
        <rFont val="宋体"/>
        <charset val="134"/>
      </rPr>
      <t>虚拟数值</t>
    </r>
  </si>
  <si>
    <r>
      <rPr>
        <b/>
        <sz val="11"/>
        <color rgb="FF2E75B6"/>
        <rFont val="Arial"/>
        <charset val="134"/>
      </rPr>
      <t>2. EL</t>
    </r>
    <r>
      <rPr>
        <b/>
        <sz val="11"/>
        <color rgb="FF2E75B6"/>
        <rFont val="宋体"/>
        <charset val="134"/>
      </rPr>
      <t>预测</t>
    </r>
  </si>
  <si>
    <r>
      <rPr>
        <sz val="11"/>
        <color theme="1"/>
        <rFont val="Arial"/>
        <charset val="134"/>
      </rPr>
      <t>*</t>
    </r>
    <r>
      <rPr>
        <sz val="11"/>
        <color theme="1"/>
        <rFont val="宋体"/>
        <charset val="134"/>
      </rPr>
      <t>虚拟数值</t>
    </r>
  </si>
  <si>
    <r>
      <rPr>
        <b/>
        <sz val="11"/>
        <color rgb="FF2E75B6"/>
        <rFont val="Arial"/>
        <charset val="134"/>
      </rPr>
      <t>3. EL</t>
    </r>
    <r>
      <rPr>
        <b/>
        <sz val="11"/>
        <color rgb="FF2E75B6"/>
        <rFont val="宋体"/>
        <charset val="134"/>
      </rPr>
      <t>预测</t>
    </r>
  </si>
  <si>
    <t>Annualized EL%</t>
  </si>
  <si>
    <t>方法1</t>
  </si>
  <si>
    <t>方法2</t>
  </si>
  <si>
    <t>GAP</t>
  </si>
  <si>
    <r>
      <rPr>
        <b/>
        <sz val="14"/>
        <color rgb="FF1F3864"/>
        <rFont val="微软雅黑"/>
        <charset val="134"/>
      </rPr>
      <t>一</t>
    </r>
    <r>
      <rPr>
        <b/>
        <sz val="14"/>
        <color rgb="FF1F3864"/>
        <rFont val="Arial"/>
        <charset val="134"/>
      </rPr>
      <t>. LTV</t>
    </r>
    <r>
      <rPr>
        <b/>
        <sz val="14"/>
        <color rgb="FF1F3864"/>
        <rFont val="微软雅黑"/>
        <charset val="134"/>
      </rPr>
      <t>如何计算</t>
    </r>
  </si>
  <si>
    <r>
      <rPr>
        <b/>
        <sz val="11"/>
        <color rgb="FF2E75B6"/>
        <rFont val="Arial"/>
        <charset val="134"/>
      </rPr>
      <t>1.1  CLTV(Mob12)=SUM(Mob0 ue%*gmv + ... + Mob12 ue%*gmv)/Mob0</t>
    </r>
    <r>
      <rPr>
        <b/>
        <sz val="11"/>
        <color rgb="FF2E75B6"/>
        <rFont val="微软雅黑"/>
        <charset val="134"/>
      </rPr>
      <t>用户数</t>
    </r>
  </si>
  <si>
    <t>A</t>
  </si>
  <si>
    <r>
      <rPr>
        <b/>
        <sz val="11"/>
        <color theme="1"/>
        <rFont val="宋体"/>
        <charset val="134"/>
      </rPr>
      <t>交易</t>
    </r>
    <r>
      <rPr>
        <b/>
        <sz val="11"/>
        <color theme="1"/>
        <rFont val="Arial"/>
        <charset val="134"/>
      </rPr>
      <t>UE%</t>
    </r>
  </si>
  <si>
    <r>
      <rPr>
        <sz val="11"/>
        <color theme="1"/>
        <rFont val="宋体"/>
        <charset val="134"/>
      </rPr>
      <t>首次交易月</t>
    </r>
  </si>
  <si>
    <r>
      <rPr>
        <sz val="11"/>
        <color theme="1"/>
        <rFont val="宋体"/>
        <charset val="134"/>
      </rPr>
      <t>首次交易用户数</t>
    </r>
  </si>
  <si>
    <t>B</t>
  </si>
  <si>
    <r>
      <rPr>
        <b/>
        <sz val="11"/>
        <color theme="1"/>
        <rFont val="宋体"/>
        <charset val="134"/>
      </rPr>
      <t>交易</t>
    </r>
    <r>
      <rPr>
        <b/>
        <sz val="11"/>
        <color theme="1"/>
        <rFont val="Arial"/>
        <charset val="134"/>
      </rPr>
      <t>GMV(</t>
    </r>
    <r>
      <rPr>
        <b/>
        <sz val="11"/>
        <color theme="1"/>
        <rFont val="宋体"/>
        <charset val="134"/>
      </rPr>
      <t>往右含有交易</t>
    </r>
    <r>
      <rPr>
        <b/>
        <sz val="11"/>
        <color theme="1"/>
        <rFont val="Arial"/>
        <charset val="134"/>
      </rPr>
      <t>GMV</t>
    </r>
    <r>
      <rPr>
        <b/>
        <sz val="11"/>
        <color theme="1"/>
        <rFont val="宋体"/>
        <charset val="134"/>
      </rPr>
      <t>的组成）</t>
    </r>
  </si>
  <si>
    <r>
      <rPr>
        <b/>
        <sz val="11"/>
        <color theme="1"/>
        <rFont val="Arial"/>
        <charset val="134"/>
      </rPr>
      <t>B1:</t>
    </r>
    <r>
      <rPr>
        <b/>
        <sz val="11"/>
        <color theme="1"/>
        <rFont val="宋体"/>
        <charset val="134"/>
      </rPr>
      <t>人均借款金额</t>
    </r>
    <r>
      <rPr>
        <b/>
        <sz val="11"/>
        <color theme="1"/>
        <rFont val="Arial"/>
        <charset val="134"/>
      </rPr>
      <t>=</t>
    </r>
    <r>
      <rPr>
        <b/>
        <sz val="11"/>
        <color theme="1"/>
        <rFont val="宋体"/>
        <charset val="134"/>
      </rPr>
      <t>月度</t>
    </r>
    <r>
      <rPr>
        <b/>
        <sz val="11"/>
        <color theme="1"/>
        <rFont val="Arial"/>
        <charset val="134"/>
      </rPr>
      <t>GMV/</t>
    </r>
    <r>
      <rPr>
        <b/>
        <sz val="11"/>
        <color theme="1"/>
        <rFont val="宋体"/>
        <charset val="134"/>
      </rPr>
      <t>月度交易用户数</t>
    </r>
  </si>
  <si>
    <r>
      <rPr>
        <b/>
        <sz val="11"/>
        <color theme="1"/>
        <rFont val="Arial"/>
        <charset val="134"/>
      </rPr>
      <t>B2:</t>
    </r>
    <r>
      <rPr>
        <b/>
        <sz val="11"/>
        <color theme="1"/>
        <rFont val="宋体"/>
        <charset val="134"/>
      </rPr>
      <t>复借率</t>
    </r>
    <r>
      <rPr>
        <b/>
        <sz val="11"/>
        <color theme="1"/>
        <rFont val="Arial"/>
        <charset val="134"/>
      </rPr>
      <t>%=</t>
    </r>
    <r>
      <rPr>
        <b/>
        <sz val="11"/>
        <color theme="1"/>
        <rFont val="宋体"/>
        <charset val="134"/>
      </rPr>
      <t>月度交易用户数</t>
    </r>
    <r>
      <rPr>
        <b/>
        <sz val="11"/>
        <color theme="1"/>
        <rFont val="Arial"/>
        <charset val="134"/>
      </rPr>
      <t>/</t>
    </r>
    <r>
      <rPr>
        <b/>
        <sz val="11"/>
        <color theme="1"/>
        <rFont val="宋体"/>
        <charset val="134"/>
      </rPr>
      <t>首次交易用户数</t>
    </r>
  </si>
  <si>
    <t>C</t>
  </si>
  <si>
    <t>UE$ = UE% * GMV = A * B</t>
  </si>
  <si>
    <t>D</t>
  </si>
  <si>
    <r>
      <rPr>
        <b/>
        <sz val="11"/>
        <color theme="1"/>
        <rFont val="Arial"/>
        <charset val="134"/>
      </rPr>
      <t>CLTV=SUM(UE$)/</t>
    </r>
    <r>
      <rPr>
        <b/>
        <sz val="11"/>
        <color theme="1"/>
        <rFont val="宋体"/>
        <charset val="134"/>
      </rPr>
      <t>用户数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</si>
  <si>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这是没包含获客成本的</t>
    </r>
    <r>
      <rPr>
        <sz val="11"/>
        <color theme="1"/>
        <rFont val="Arial"/>
        <charset val="134"/>
      </rPr>
      <t>CAC,</t>
    </r>
    <r>
      <rPr>
        <sz val="11"/>
        <color theme="1"/>
        <rFont val="宋体"/>
        <charset val="134"/>
      </rPr>
      <t>如果需要含</t>
    </r>
    <r>
      <rPr>
        <sz val="11"/>
        <color theme="1"/>
        <rFont val="Arial"/>
        <charset val="134"/>
      </rPr>
      <t>CAC</t>
    </r>
    <r>
      <rPr>
        <sz val="11"/>
        <color theme="1"/>
        <rFont val="宋体"/>
        <charset val="134"/>
      </rPr>
      <t>的哈，每个单元格减掉人均</t>
    </r>
    <r>
      <rPr>
        <sz val="11"/>
        <color theme="1"/>
        <rFont val="Arial"/>
        <charset val="134"/>
      </rPr>
      <t>cac</t>
    </r>
  </si>
  <si>
    <r>
      <rPr>
        <sz val="11"/>
        <color theme="1"/>
        <rFont val="Arial"/>
        <charset val="134"/>
      </rPr>
      <t>2. UE%</t>
    </r>
    <r>
      <rPr>
        <sz val="11"/>
        <color theme="1"/>
        <rFont val="宋体"/>
        <charset val="134"/>
      </rPr>
      <t>为放一笔款出去的预计收益</t>
    </r>
  </si>
  <si>
    <r>
      <rPr>
        <sz val="11"/>
        <color theme="1"/>
        <rFont val="Arial"/>
        <charset val="134"/>
      </rPr>
      <t xml:space="preserve">3. </t>
    </r>
    <r>
      <rPr>
        <sz val="11"/>
        <color theme="1"/>
        <rFont val="宋体"/>
        <charset val="134"/>
      </rPr>
      <t>此</t>
    </r>
    <r>
      <rPr>
        <sz val="11"/>
        <color theme="1"/>
        <rFont val="Arial"/>
        <charset val="134"/>
      </rPr>
      <t>CLTV</t>
    </r>
    <r>
      <rPr>
        <sz val="11"/>
        <color theme="1"/>
        <rFont val="宋体"/>
        <charset val="134"/>
      </rPr>
      <t>是按首次放款逻辑，如果要转化为授信的话，则按首次支用率率值转化</t>
    </r>
  </si>
  <si>
    <r>
      <rPr>
        <b/>
        <sz val="11"/>
        <color rgb="FFFF0000"/>
        <rFont val="宋体"/>
        <charset val="134"/>
      </rPr>
      <t>如何提高</t>
    </r>
    <r>
      <rPr>
        <b/>
        <sz val="11"/>
        <color rgb="FFFF0000"/>
        <rFont val="Arial"/>
        <charset val="134"/>
      </rPr>
      <t>LTV</t>
    </r>
  </si>
  <si>
    <r>
      <rPr>
        <sz val="11"/>
        <color theme="1"/>
        <rFont val="Arial"/>
        <charset val="134"/>
      </rPr>
      <t xml:space="preserve">GMV = </t>
    </r>
    <r>
      <rPr>
        <sz val="11"/>
        <color theme="1"/>
        <rFont val="宋体"/>
        <charset val="134"/>
      </rPr>
      <t>人均借款金额</t>
    </r>
    <r>
      <rPr>
        <sz val="11"/>
        <color theme="1"/>
        <rFont val="Arial"/>
        <charset val="134"/>
      </rPr>
      <t>*</t>
    </r>
    <r>
      <rPr>
        <sz val="11"/>
        <color theme="1"/>
        <rFont val="宋体"/>
        <charset val="134"/>
      </rPr>
      <t>复借率</t>
    </r>
  </si>
  <si>
    <r>
      <rPr>
        <sz val="11"/>
        <color theme="1"/>
        <rFont val="Arial"/>
        <charset val="134"/>
      </rPr>
      <t>1.</t>
    </r>
    <r>
      <rPr>
        <sz val="11"/>
        <color theme="1"/>
        <rFont val="宋体"/>
        <charset val="134"/>
      </rPr>
      <t>提高人均借款金额</t>
    </r>
    <r>
      <rPr>
        <sz val="11"/>
        <color theme="1"/>
        <rFont val="Arial"/>
        <charset val="134"/>
      </rPr>
      <t>:</t>
    </r>
    <r>
      <rPr>
        <sz val="11"/>
        <color theme="1"/>
        <rFont val="宋体"/>
        <charset val="134"/>
      </rPr>
      <t>指某个</t>
    </r>
    <r>
      <rPr>
        <sz val="11"/>
        <color theme="1"/>
        <rFont val="Arial"/>
        <charset val="134"/>
      </rPr>
      <t>mobN</t>
    </r>
    <r>
      <rPr>
        <sz val="11"/>
        <color theme="1"/>
        <rFont val="宋体"/>
        <charset val="134"/>
      </rPr>
      <t>的用户人均交易金额</t>
    </r>
  </si>
  <si>
    <r>
      <rPr>
        <sz val="11"/>
        <color theme="1"/>
        <rFont val="Arial"/>
        <charset val="134"/>
      </rPr>
      <t>2.</t>
    </r>
    <r>
      <rPr>
        <sz val="11"/>
        <color theme="1"/>
        <rFont val="宋体"/>
        <charset val="134"/>
      </rPr>
      <t>提额复借率：</t>
    </r>
    <r>
      <rPr>
        <sz val="11"/>
        <color theme="1"/>
        <rFont val="Arial"/>
        <charset val="134"/>
      </rPr>
      <t>MobN</t>
    </r>
    <r>
      <rPr>
        <sz val="11"/>
        <color theme="1"/>
        <rFont val="宋体"/>
        <charset val="134"/>
      </rPr>
      <t>的交易用户数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首次交易用户数</t>
    </r>
  </si>
  <si>
    <r>
      <rPr>
        <sz val="11"/>
        <color theme="1"/>
        <rFont val="Arial"/>
        <charset val="134"/>
      </rPr>
      <t>3.</t>
    </r>
    <r>
      <rPr>
        <sz val="11"/>
        <color theme="1"/>
        <rFont val="宋体"/>
        <charset val="134"/>
      </rPr>
      <t>提高</t>
    </r>
    <r>
      <rPr>
        <sz val="11"/>
        <color theme="1"/>
        <rFont val="Arial"/>
        <charset val="134"/>
      </rPr>
      <t>UE%:</t>
    </r>
    <r>
      <rPr>
        <sz val="11"/>
        <color theme="1"/>
        <rFont val="宋体"/>
        <charset val="134"/>
      </rPr>
      <t>增加收入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减少成本</t>
    </r>
  </si>
  <si>
    <r>
      <rPr>
        <b/>
        <sz val="14"/>
        <color rgb="FF1F3864"/>
        <rFont val="微软雅黑"/>
        <charset val="134"/>
      </rPr>
      <t>二</t>
    </r>
    <r>
      <rPr>
        <b/>
        <sz val="14"/>
        <color rgb="FF1F3864"/>
        <rFont val="Arial"/>
        <charset val="134"/>
      </rPr>
      <t>. UE%</t>
    </r>
    <r>
      <rPr>
        <b/>
        <sz val="14"/>
        <color rgb="FF1F3864"/>
        <rFont val="微软雅黑"/>
        <charset val="134"/>
      </rPr>
      <t>如何转化为</t>
    </r>
    <r>
      <rPr>
        <b/>
        <sz val="14"/>
        <color rgb="FF1F3864"/>
        <rFont val="Arial"/>
        <charset val="134"/>
      </rPr>
      <t>CLTV</t>
    </r>
    <r>
      <rPr>
        <b/>
        <sz val="14"/>
        <color rgb="FF1F3864"/>
        <rFont val="微软雅黑"/>
        <charset val="134"/>
      </rPr>
      <t>的</t>
    </r>
    <r>
      <rPr>
        <b/>
        <sz val="14"/>
        <color rgb="FF1F3864"/>
        <rFont val="Arial"/>
        <charset val="134"/>
      </rPr>
      <t>UE%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</si>
  <si>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如果是分摊的费用就按分摊来算，如催收成本</t>
    </r>
  </si>
  <si>
    <r>
      <rPr>
        <sz val="11"/>
        <color theme="1"/>
        <rFont val="Arial"/>
        <charset val="134"/>
      </rPr>
      <t xml:space="preserve">2. </t>
    </r>
    <r>
      <rPr>
        <sz val="11"/>
        <color theme="1"/>
        <rFont val="宋体"/>
        <charset val="134"/>
      </rPr>
      <t>按用户来算，如市场成本</t>
    </r>
  </si>
  <si>
    <r>
      <rPr>
        <sz val="11"/>
        <color theme="1"/>
        <rFont val="Arial"/>
        <charset val="134"/>
      </rPr>
      <t xml:space="preserve">3. </t>
    </r>
    <r>
      <rPr>
        <sz val="11"/>
        <color theme="1"/>
        <rFont val="宋体"/>
        <charset val="134"/>
      </rPr>
      <t>分新老用户和期限来算，如</t>
    </r>
    <r>
      <rPr>
        <sz val="11"/>
        <color theme="1"/>
        <rFont val="Arial"/>
        <charset val="134"/>
      </rPr>
      <t>EL/</t>
    </r>
    <r>
      <rPr>
        <sz val="11"/>
        <color theme="1"/>
        <rFont val="宋体"/>
        <charset val="134"/>
      </rPr>
      <t>资金成本</t>
    </r>
  </si>
  <si>
    <r>
      <rPr>
        <sz val="11"/>
        <color theme="1"/>
        <rFont val="Arial"/>
        <charset val="134"/>
      </rPr>
      <t xml:space="preserve">4. </t>
    </r>
    <r>
      <rPr>
        <sz val="11"/>
        <color theme="1"/>
        <rFont val="宋体"/>
        <charset val="134"/>
      </rPr>
      <t>按照放款月</t>
    </r>
    <r>
      <rPr>
        <sz val="11"/>
        <color theme="1"/>
        <rFont val="Arial"/>
        <charset val="134"/>
      </rPr>
      <t xml:space="preserve"> = </t>
    </r>
    <r>
      <rPr>
        <sz val="11"/>
        <color theme="1"/>
        <rFont val="宋体"/>
        <charset val="134"/>
      </rPr>
      <t>首次交易月</t>
    </r>
    <r>
      <rPr>
        <sz val="11"/>
        <color theme="1"/>
        <rFont val="Arial"/>
        <charset val="134"/>
      </rPr>
      <t xml:space="preserve"> + MobN,</t>
    </r>
    <r>
      <rPr>
        <sz val="11"/>
        <color theme="1"/>
        <rFont val="宋体"/>
        <charset val="134"/>
      </rPr>
      <t>拉齐后的</t>
    </r>
    <r>
      <rPr>
        <sz val="11"/>
        <color theme="1"/>
        <rFont val="Arial"/>
        <charset val="134"/>
      </rPr>
      <t>UE</t>
    </r>
    <r>
      <rPr>
        <sz val="11"/>
        <color theme="1"/>
        <rFont val="宋体"/>
        <charset val="134"/>
      </rPr>
      <t>是否和放宽月一致</t>
    </r>
  </si>
  <si>
    <t>A1</t>
  </si>
  <si>
    <r>
      <rPr>
        <b/>
        <sz val="11"/>
        <color rgb="FF2E75B6"/>
        <rFont val="宋体"/>
        <charset val="134"/>
      </rPr>
      <t>交易</t>
    </r>
    <r>
      <rPr>
        <b/>
        <sz val="11"/>
        <color rgb="FF2E75B6"/>
        <rFont val="Arial"/>
        <charset val="134"/>
      </rPr>
      <t>UE%</t>
    </r>
  </si>
  <si>
    <t>B1</t>
  </si>
  <si>
    <t>交易-利息收入</t>
  </si>
  <si>
    <t>B2</t>
  </si>
  <si>
    <t>交易---EL%(风险表现完成使用实际值，没有表现完成可以更新fpd7进行预测)</t>
  </si>
  <si>
    <t>首次交易月</t>
  </si>
  <si>
    <t>B3</t>
  </si>
  <si>
    <t>交易--资金成本(期限不一样的话，资金成本不同，这里假设资金成本都为5%）</t>
  </si>
  <si>
    <t>B4</t>
  </si>
  <si>
    <t>交易--催收成本(按交易月分摊，所以斜线的率值一样)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</si>
</sst>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_ ;_ * \-#,##0.0_ ;_ * &quot;-&quot;??_ ;_ @_ "/>
    <numFmt numFmtId="178" formatCode="0.0%"/>
    <numFmt numFmtId="179" formatCode="_ * #,##0.0_ ;_ * \-#,##0.0_ ;_ * &quot;-&quot;??.0_ ;_ @_ "/>
  </numFmts>
  <fonts count="4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rgb="FF1F3864"/>
      <name val="Arial"/>
      <charset val="134"/>
    </font>
    <font>
      <b/>
      <sz val="11"/>
      <color rgb="FF2E75B6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b/>
      <sz val="11"/>
      <color rgb="FFFF0000"/>
      <name val="Arial"/>
      <charset val="134"/>
    </font>
    <font>
      <b/>
      <sz val="14"/>
      <color rgb="FF1F3864"/>
      <name val="微软雅黑"/>
      <charset val="134"/>
    </font>
    <font>
      <b/>
      <sz val="11"/>
      <color rgb="FF2E75B6"/>
      <name val="宋体"/>
      <charset val="134"/>
    </font>
    <font>
      <sz val="10"/>
      <color rgb="FFFF0000"/>
      <name val="Arial"/>
      <charset val="134"/>
    </font>
    <font>
      <sz val="11"/>
      <color rgb="FFFF0000"/>
      <name val="Arial"/>
      <charset val="134"/>
    </font>
    <font>
      <b/>
      <sz val="10"/>
      <color rgb="FFFFFFFF"/>
      <name val="微软雅黑"/>
      <charset val="134"/>
    </font>
    <font>
      <b/>
      <sz val="11"/>
      <color rgb="FF2E75B6"/>
      <name val="微软雅黑"/>
      <charset val="134"/>
    </font>
    <font>
      <sz val="10"/>
      <color rgb="FF333333"/>
      <name val="微软雅黑"/>
      <charset val="134"/>
    </font>
    <font>
      <sz val="10"/>
      <color rgb="FF0000FF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4"/>
      <color rgb="FF1F3864"/>
      <name val="宋体"/>
      <charset val="134"/>
    </font>
    <font>
      <sz val="10"/>
      <color rgb="FFFF0000"/>
      <name val="宋体"/>
      <charset val="134"/>
    </font>
    <font>
      <b/>
      <sz val="11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5" applyNumberFormat="0" applyAlignment="0" applyProtection="0">
      <alignment vertical="center"/>
    </xf>
    <xf numFmtId="0" fontId="26" fillId="10" borderId="6" applyNumberFormat="0" applyAlignment="0" applyProtection="0">
      <alignment vertical="center"/>
    </xf>
    <xf numFmtId="0" fontId="27" fillId="10" borderId="5" applyNumberFormat="0" applyAlignment="0" applyProtection="0">
      <alignment vertical="center"/>
    </xf>
    <xf numFmtId="0" fontId="28" fillId="11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/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14" fontId="1" fillId="0" borderId="0" xfId="0" applyNumberFormat="1" applyFont="1" applyFill="1" applyAlignment="1"/>
    <xf numFmtId="176" fontId="1" fillId="0" borderId="0" xfId="0" applyNumberFormat="1" applyFont="1" applyFill="1" applyAlignment="1"/>
    <xf numFmtId="9" fontId="1" fillId="0" borderId="0" xfId="0" applyNumberFormat="1" applyFont="1" applyFill="1" applyAlignment="1"/>
    <xf numFmtId="10" fontId="1" fillId="0" borderId="0" xfId="0" applyNumberFormat="1" applyFont="1" applyFill="1" applyAlignment="1"/>
    <xf numFmtId="0" fontId="4" fillId="0" borderId="0" xfId="0" applyFont="1" applyFill="1" applyAlignment="1"/>
    <xf numFmtId="10" fontId="1" fillId="0" borderId="0" xfId="3" applyNumberFormat="1" applyFont="1" applyAlignment="1"/>
    <xf numFmtId="177" fontId="1" fillId="0" borderId="0" xfId="0" applyNumberFormat="1" applyFont="1" applyFill="1" applyAlignment="1"/>
    <xf numFmtId="0" fontId="6" fillId="2" borderId="0" xfId="0" applyFont="1" applyFill="1" applyAlignment="1"/>
    <xf numFmtId="0" fontId="7" fillId="0" borderId="0" xfId="0" applyFont="1" applyAlignment="1">
      <alignment horizontal="left" vertical="top"/>
    </xf>
    <xf numFmtId="0" fontId="8" fillId="0" borderId="0" xfId="0" applyFont="1" applyFill="1" applyAlignment="1"/>
    <xf numFmtId="178" fontId="1" fillId="0" borderId="0" xfId="0" applyNumberFormat="1" applyFont="1" applyFill="1" applyAlignment="1"/>
    <xf numFmtId="0" fontId="3" fillId="0" borderId="0" xfId="0" applyFont="1" applyFill="1" applyAlignment="1"/>
    <xf numFmtId="178" fontId="1" fillId="0" borderId="0" xfId="3" applyNumberFormat="1" applyFont="1" applyFill="1" applyAlignment="1"/>
    <xf numFmtId="0" fontId="7" fillId="0" borderId="0" xfId="0" applyFont="1" applyFill="1" applyAlignment="1">
      <alignment horizontal="center" vertical="center"/>
    </xf>
    <xf numFmtId="0" fontId="4" fillId="3" borderId="1" xfId="0" applyFont="1" applyFill="1" applyBorder="1" applyAlignment="1"/>
    <xf numFmtId="14" fontId="1" fillId="0" borderId="1" xfId="0" applyNumberFormat="1" applyFont="1" applyFill="1" applyBorder="1" applyAlignment="1"/>
    <xf numFmtId="176" fontId="1" fillId="0" borderId="1" xfId="0" applyNumberFormat="1" applyFont="1" applyFill="1" applyBorder="1" applyAlignment="1"/>
    <xf numFmtId="179" fontId="1" fillId="0" borderId="1" xfId="0" applyNumberFormat="1" applyFont="1" applyFill="1" applyBorder="1" applyAlignment="1"/>
    <xf numFmtId="9" fontId="1" fillId="0" borderId="1" xfId="0" applyNumberFormat="1" applyFont="1" applyFill="1" applyBorder="1" applyAlignment="1"/>
    <xf numFmtId="10" fontId="1" fillId="0" borderId="1" xfId="0" applyNumberFormat="1" applyFont="1" applyFill="1" applyBorder="1" applyAlignment="1"/>
    <xf numFmtId="0" fontId="9" fillId="0" borderId="0" xfId="0" applyFont="1" applyFill="1" applyAlignment="1"/>
    <xf numFmtId="10" fontId="10" fillId="0" borderId="1" xfId="0" applyNumberFormat="1" applyFont="1" applyFill="1" applyBorder="1" applyAlignment="1"/>
    <xf numFmtId="0" fontId="1" fillId="0" borderId="0" xfId="0" applyFont="1" applyFill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178" fontId="0" fillId="0" borderId="1" xfId="3" applyNumberFormat="1" applyFont="1" applyFill="1" applyBorder="1" applyAlignment="1" applyProtection="1">
      <alignment vertical="center"/>
    </xf>
    <xf numFmtId="0" fontId="7" fillId="0" borderId="0" xfId="0" applyFont="1" applyAlignment="1">
      <alignment horizontal="center" vertical="center"/>
    </xf>
    <xf numFmtId="0" fontId="12" fillId="0" borderId="0" xfId="0" applyFont="1"/>
    <xf numFmtId="0" fontId="13" fillId="5" borderId="1" xfId="0" applyFont="1" applyFill="1" applyBorder="1" applyAlignment="1">
      <alignment horizontal="left" vertical="center" wrapText="1"/>
    </xf>
    <xf numFmtId="176" fontId="14" fillId="6" borderId="1" xfId="0" applyNumberFormat="1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178" fontId="14" fillId="6" borderId="1" xfId="0" applyNumberFormat="1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5" fillId="0" borderId="0" xfId="0" applyFont="1"/>
    <xf numFmtId="0" fontId="16" fillId="0" borderId="0" xfId="0" applyFont="1" applyAlignment="1">
      <alignment horizontal="left" vertical="center"/>
    </xf>
    <xf numFmtId="17" fontId="13" fillId="5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323850</xdr:colOff>
      <xdr:row>68</xdr:row>
      <xdr:rowOff>69215</xdr:rowOff>
    </xdr:from>
    <xdr:to>
      <xdr:col>0</xdr:col>
      <xdr:colOff>559435</xdr:colOff>
      <xdr:row>73</xdr:row>
      <xdr:rowOff>69215</xdr:rowOff>
    </xdr:to>
    <xdr:sp>
      <xdr:nvSpPr>
        <xdr:cNvPr id="3" name="下箭头 2"/>
        <xdr:cNvSpPr/>
      </xdr:nvSpPr>
      <xdr:spPr>
        <a:xfrm>
          <a:off x="323850" y="12267565"/>
          <a:ext cx="235585" cy="889000"/>
        </a:xfrm>
        <a:prstGeom prst="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66040</xdr:colOff>
      <xdr:row>25</xdr:row>
      <xdr:rowOff>147955</xdr:rowOff>
    </xdr:from>
    <xdr:to>
      <xdr:col>18</xdr:col>
      <xdr:colOff>73025</xdr:colOff>
      <xdr:row>27</xdr:row>
      <xdr:rowOff>36195</xdr:rowOff>
    </xdr:to>
    <xdr:sp>
      <xdr:nvSpPr>
        <xdr:cNvPr id="4" name="右箭头 3"/>
        <xdr:cNvSpPr/>
      </xdr:nvSpPr>
      <xdr:spPr>
        <a:xfrm>
          <a:off x="13318490" y="4700905"/>
          <a:ext cx="1892935" cy="24384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274955</xdr:colOff>
      <xdr:row>154</xdr:row>
      <xdr:rowOff>118110</xdr:rowOff>
    </xdr:from>
    <xdr:to>
      <xdr:col>13</xdr:col>
      <xdr:colOff>551180</xdr:colOff>
      <xdr:row>167</xdr:row>
      <xdr:rowOff>7620</xdr:rowOff>
    </xdr:to>
    <xdr:cxnSp>
      <xdr:nvCxnSpPr>
        <xdr:cNvPr id="5" name="直接箭头连接符 4"/>
        <xdr:cNvCxnSpPr/>
      </xdr:nvCxnSpPr>
      <xdr:spPr>
        <a:xfrm flipV="1">
          <a:off x="2865755" y="27683460"/>
          <a:ext cx="9369425" cy="22009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topLeftCell="A9" workbookViewId="0">
      <selection activeCell="J19" sqref="J19"/>
    </sheetView>
  </sheetViews>
  <sheetFormatPr defaultColWidth="9" defaultRowHeight="14" outlineLevelCol="7"/>
  <cols>
    <col min="1" max="1" width="25" customWidth="1"/>
    <col min="2" max="2" width="15" customWidth="1"/>
    <col min="3" max="3" width="17.2727272727273" customWidth="1"/>
    <col min="4" max="4" width="12" customWidth="1"/>
    <col min="5" max="6" width="15" customWidth="1"/>
  </cols>
  <sheetData>
    <row r="1" ht="20" spans="1:6">
      <c r="A1" s="33" t="s">
        <v>0</v>
      </c>
    </row>
    <row r="3" ht="16.5" spans="1:6">
      <c r="A3" s="34" t="s">
        <v>1</v>
      </c>
    </row>
    <row r="4" ht="14.5" spans="1:6">
      <c r="A4" s="31" t="s">
        <v>2</v>
      </c>
      <c r="B4" s="31" t="s">
        <v>3</v>
      </c>
      <c r="C4" s="31" t="s">
        <v>4</v>
      </c>
      <c r="D4" s="31" t="s">
        <v>5</v>
      </c>
      <c r="E4" s="31" t="s">
        <v>6</v>
      </c>
      <c r="F4" s="31" t="s">
        <v>7</v>
      </c>
    </row>
    <row r="5" ht="14.5" spans="1:6">
      <c r="A5" s="35" t="s">
        <v>8</v>
      </c>
      <c r="B5" s="36">
        <v>15000</v>
      </c>
      <c r="C5" s="37" t="s">
        <v>9</v>
      </c>
      <c r="D5" s="38">
        <v>0.15</v>
      </c>
      <c r="E5" s="37">
        <v>50</v>
      </c>
      <c r="F5" s="37">
        <v>1</v>
      </c>
    </row>
    <row r="6" ht="14.5" spans="1:6">
      <c r="A6" s="39" t="s">
        <v>10</v>
      </c>
      <c r="B6" s="36">
        <v>5000</v>
      </c>
      <c r="C6" s="37" t="s">
        <v>11</v>
      </c>
      <c r="D6" s="38">
        <v>0.25</v>
      </c>
      <c r="E6" s="37">
        <v>200</v>
      </c>
      <c r="F6" s="37">
        <v>3</v>
      </c>
    </row>
    <row r="7" ht="14.5" spans="1:6">
      <c r="A7" s="35" t="s">
        <v>12</v>
      </c>
      <c r="B7" s="36">
        <v>2000</v>
      </c>
      <c r="C7" s="37" t="s">
        <v>13</v>
      </c>
      <c r="D7" s="38">
        <v>0.35</v>
      </c>
      <c r="E7" s="37">
        <v>400</v>
      </c>
      <c r="F7" s="37">
        <v>10</v>
      </c>
    </row>
    <row r="8" ht="14.5" spans="1:6">
      <c r="A8" s="39" t="s">
        <v>14</v>
      </c>
      <c r="B8" s="36">
        <v>800</v>
      </c>
      <c r="C8" s="37" t="s">
        <v>15</v>
      </c>
      <c r="D8" s="38">
        <v>0.1</v>
      </c>
      <c r="E8" s="37">
        <v>150</v>
      </c>
      <c r="F8" s="37">
        <v>8</v>
      </c>
    </row>
    <row r="9" spans="1:6">
      <c r="A9" s="40" t="s">
        <v>16</v>
      </c>
      <c r="B9" s="41">
        <f>SUM(B5:B8)</f>
        <v>22800</v>
      </c>
      <c r="C9" s="40"/>
      <c r="D9" s="40"/>
      <c r="E9" s="41">
        <f>SUM(E5:E8)</f>
        <v>800</v>
      </c>
      <c r="F9" s="41">
        <f>SUM(F5:F8)</f>
        <v>22</v>
      </c>
    </row>
    <row r="10" ht="16.5" spans="1:6">
      <c r="A10" s="34" t="s">
        <v>17</v>
      </c>
    </row>
    <row r="11" ht="14.5" spans="1:6">
      <c r="A11" s="31" t="s">
        <v>18</v>
      </c>
      <c r="B11" s="31" t="s">
        <v>19</v>
      </c>
      <c r="C11" s="31" t="s">
        <v>20</v>
      </c>
      <c r="D11" s="31" t="s">
        <v>21</v>
      </c>
      <c r="E11" s="31" t="s">
        <v>22</v>
      </c>
      <c r="F11" s="31" t="s">
        <v>23</v>
      </c>
    </row>
    <row r="12" ht="14.5" spans="1:6">
      <c r="A12" s="42">
        <v>45658</v>
      </c>
      <c r="B12" s="38">
        <v>0.042</v>
      </c>
      <c r="C12" s="38">
        <v>0.025</v>
      </c>
      <c r="D12" s="38">
        <v>0.015</v>
      </c>
      <c r="E12" s="38">
        <v>0.6</v>
      </c>
      <c r="F12" s="38">
        <v>0.55</v>
      </c>
    </row>
    <row r="13" ht="14.5" spans="1:6">
      <c r="A13" s="42">
        <v>45689</v>
      </c>
      <c r="B13" s="38">
        <v>0.04</v>
      </c>
      <c r="C13" s="38">
        <v>0.023</v>
      </c>
      <c r="D13" s="38">
        <v>0.014</v>
      </c>
      <c r="E13" s="38">
        <v>0.58</v>
      </c>
      <c r="F13" s="38">
        <v>0.53</v>
      </c>
    </row>
    <row r="14" ht="14.5" spans="1:6">
      <c r="A14" s="42">
        <v>45717</v>
      </c>
      <c r="B14" s="38">
        <v>0.038</v>
      </c>
      <c r="C14" s="38">
        <v>0.022</v>
      </c>
      <c r="D14" s="38">
        <v>0.013</v>
      </c>
      <c r="E14" s="38">
        <v>0.56</v>
      </c>
      <c r="F14" s="38">
        <v>0.5</v>
      </c>
    </row>
    <row r="15" ht="14.5" spans="1:6">
      <c r="A15" s="42">
        <v>45748</v>
      </c>
      <c r="B15" s="38">
        <v>0.035</v>
      </c>
      <c r="C15" s="38">
        <v>0.02</v>
      </c>
      <c r="D15" s="38">
        <v>0.012</v>
      </c>
      <c r="E15" s="38">
        <v>0.53</v>
      </c>
      <c r="F15" s="38">
        <v>0.48</v>
      </c>
    </row>
    <row r="16" ht="14.5" spans="1:6">
      <c r="A16" s="42">
        <v>45778</v>
      </c>
      <c r="B16" s="38">
        <v>0.033</v>
      </c>
      <c r="C16" s="38">
        <v>0.019</v>
      </c>
      <c r="D16" s="38">
        <v>0.011</v>
      </c>
      <c r="E16" s="38">
        <v>0.5</v>
      </c>
      <c r="F16" s="38">
        <v>0.45</v>
      </c>
    </row>
    <row r="17" ht="14.5" spans="1:6">
      <c r="A17" s="42">
        <v>45809</v>
      </c>
      <c r="B17" s="38">
        <v>0.031</v>
      </c>
      <c r="C17" s="38">
        <v>0.018</v>
      </c>
      <c r="D17" s="38">
        <v>0.01</v>
      </c>
      <c r="E17" s="38">
        <v>0.48</v>
      </c>
      <c r="F17" s="38">
        <v>0.43</v>
      </c>
    </row>
    <row r="18" ht="14.5" spans="1:6">
      <c r="A18" s="42">
        <v>45839</v>
      </c>
      <c r="B18" s="38">
        <v>0.03</v>
      </c>
      <c r="C18" s="38">
        <v>0.017</v>
      </c>
      <c r="D18" s="38">
        <v>0.01</v>
      </c>
      <c r="E18" s="38">
        <v>0.46</v>
      </c>
      <c r="F18" s="38">
        <v>0.42</v>
      </c>
    </row>
    <row r="19" ht="14.5" spans="1:6">
      <c r="A19" s="42">
        <v>45870</v>
      </c>
      <c r="B19" s="38">
        <v>0.029</v>
      </c>
      <c r="C19" s="38">
        <v>0.016</v>
      </c>
      <c r="D19" s="38">
        <v>0.009</v>
      </c>
      <c r="E19" s="38">
        <v>0.45</v>
      </c>
      <c r="F19" s="38">
        <v>0.4</v>
      </c>
    </row>
    <row r="20" ht="14.5" spans="1:6">
      <c r="A20" s="42">
        <v>45901</v>
      </c>
      <c r="B20" s="38">
        <v>0.028</v>
      </c>
      <c r="C20" s="38">
        <v>0.016</v>
      </c>
      <c r="D20" s="38">
        <v>0.009</v>
      </c>
      <c r="E20" s="38">
        <v>0.44</v>
      </c>
      <c r="F20" s="38">
        <v>0.39</v>
      </c>
    </row>
  </sheetData>
  <mergeCells count="3">
    <mergeCell ref="A1:H1"/>
    <mergeCell ref="A3:H3"/>
    <mergeCell ref="A10:H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4"/>
  <sheetViews>
    <sheetView zoomScale="85" zoomScaleNormal="85" workbookViewId="0">
      <selection activeCell="F17" sqref="F17"/>
    </sheetView>
  </sheetViews>
  <sheetFormatPr defaultColWidth="8.72727272727273" defaultRowHeight="14"/>
  <cols>
    <col min="1" max="1" width="8.72727272727273" style="1"/>
    <col min="2" max="3" width="10.6363636363636" style="1" customWidth="1"/>
    <col min="4" max="4" width="6.54545454545455" style="1" customWidth="1"/>
    <col min="5" max="5" width="5.54545454545455" style="1" customWidth="1"/>
    <col min="6" max="16384" width="8.72727272727273" style="1"/>
  </cols>
  <sheetData>
    <row r="1" s="1" customFormat="1" ht="20" spans="1:17">
      <c r="A1" s="21" t="s">
        <v>24</v>
      </c>
    </row>
    <row r="2" s="1" customFormat="1" spans="1:17">
      <c r="A2" s="19" t="s">
        <v>25</v>
      </c>
    </row>
    <row r="3" s="1" customFormat="1" spans="1:17">
      <c r="A3" s="19"/>
      <c r="B3" s="1" t="s">
        <v>26</v>
      </c>
    </row>
    <row r="4" s="1" customFormat="1" spans="1:17">
      <c r="A4" s="19"/>
      <c r="B4" s="1" t="s">
        <v>27</v>
      </c>
    </row>
    <row r="5" s="1" customFormat="1" spans="1:17">
      <c r="A5" s="19"/>
    </row>
    <row r="6" s="1" customFormat="1" spans="1:17">
      <c r="B6" s="22" t="s">
        <v>28</v>
      </c>
      <c r="C6" s="22" t="s">
        <v>29</v>
      </c>
      <c r="D6" s="22" t="s">
        <v>30</v>
      </c>
      <c r="E6" s="22" t="s">
        <v>31</v>
      </c>
      <c r="F6" s="22" t="s">
        <v>32</v>
      </c>
      <c r="G6" s="22" t="s">
        <v>33</v>
      </c>
      <c r="H6" s="22" t="s">
        <v>34</v>
      </c>
      <c r="I6" s="22" t="s">
        <v>35</v>
      </c>
      <c r="J6" s="22" t="s">
        <v>36</v>
      </c>
      <c r="K6" s="22" t="s">
        <v>37</v>
      </c>
      <c r="L6" s="22" t="s">
        <v>38</v>
      </c>
      <c r="M6" s="22" t="s">
        <v>39</v>
      </c>
      <c r="N6" s="22" t="s">
        <v>40</v>
      </c>
      <c r="O6" s="22" t="s">
        <v>41</v>
      </c>
      <c r="P6" s="22" t="s">
        <v>42</v>
      </c>
      <c r="Q6" s="22" t="s">
        <v>43</v>
      </c>
    </row>
    <row r="7" s="1" customFormat="1" spans="1:17">
      <c r="B7" s="23">
        <v>45658</v>
      </c>
      <c r="C7" s="24">
        <v>1000</v>
      </c>
      <c r="D7" s="25">
        <v>5.7</v>
      </c>
      <c r="E7" s="26">
        <v>0</v>
      </c>
      <c r="F7" s="27">
        <v>0.01</v>
      </c>
      <c r="G7" s="27">
        <f t="shared" ref="G7:I7" si="0">F7+0.3%</f>
        <v>0.013</v>
      </c>
      <c r="H7" s="27">
        <f t="shared" si="0"/>
        <v>0.016</v>
      </c>
      <c r="I7" s="27">
        <f t="shared" si="0"/>
        <v>0.019</v>
      </c>
      <c r="J7" s="27">
        <f t="shared" ref="J7:J14" si="1">I7+0.2%</f>
        <v>0.021</v>
      </c>
      <c r="K7" s="27">
        <f t="shared" ref="K7:K13" si="2">J7+0.2%</f>
        <v>0.023</v>
      </c>
      <c r="L7" s="27">
        <f t="shared" ref="L7:Q7" si="3">K7</f>
        <v>0.023</v>
      </c>
      <c r="M7" s="27">
        <f t="shared" si="3"/>
        <v>0.023</v>
      </c>
      <c r="N7" s="27">
        <f t="shared" si="3"/>
        <v>0.023</v>
      </c>
      <c r="O7" s="27">
        <f t="shared" si="3"/>
        <v>0.023</v>
      </c>
      <c r="P7" s="27">
        <f t="shared" si="3"/>
        <v>0.023</v>
      </c>
      <c r="Q7" s="27">
        <f t="shared" si="3"/>
        <v>0.023</v>
      </c>
    </row>
    <row r="8" s="1" customFormat="1" spans="1:17">
      <c r="B8" s="23">
        <v>45689</v>
      </c>
      <c r="C8" s="24">
        <v>1000</v>
      </c>
      <c r="D8" s="25">
        <v>5.7</v>
      </c>
      <c r="E8" s="26">
        <v>0</v>
      </c>
      <c r="F8" s="27">
        <v>0.02</v>
      </c>
      <c r="G8" s="27">
        <f t="shared" ref="G8:I8" si="4">F8+0.3%</f>
        <v>0.023</v>
      </c>
      <c r="H8" s="27">
        <f t="shared" si="4"/>
        <v>0.026</v>
      </c>
      <c r="I8" s="27">
        <f t="shared" si="4"/>
        <v>0.029</v>
      </c>
      <c r="J8" s="27">
        <f t="shared" si="1"/>
        <v>0.031</v>
      </c>
      <c r="K8" s="27">
        <f t="shared" si="2"/>
        <v>0.033</v>
      </c>
      <c r="L8" s="27">
        <f t="shared" ref="L8:P8" si="5">K8</f>
        <v>0.033</v>
      </c>
      <c r="M8" s="27">
        <f t="shared" si="5"/>
        <v>0.033</v>
      </c>
      <c r="N8" s="27">
        <f t="shared" si="5"/>
        <v>0.033</v>
      </c>
      <c r="O8" s="27">
        <f t="shared" si="5"/>
        <v>0.033</v>
      </c>
      <c r="P8" s="27">
        <f t="shared" si="5"/>
        <v>0.033</v>
      </c>
      <c r="Q8" s="27"/>
    </row>
    <row r="9" s="1" customFormat="1" spans="1:17">
      <c r="B9" s="23">
        <v>45717</v>
      </c>
      <c r="C9" s="24">
        <v>1000</v>
      </c>
      <c r="D9" s="25">
        <v>5.7</v>
      </c>
      <c r="E9" s="26">
        <v>0</v>
      </c>
      <c r="F9" s="27">
        <v>0.04</v>
      </c>
      <c r="G9" s="27">
        <f t="shared" ref="G9:I9" si="6">F9+0.3%</f>
        <v>0.043</v>
      </c>
      <c r="H9" s="27">
        <f t="shared" si="6"/>
        <v>0.046</v>
      </c>
      <c r="I9" s="27">
        <f t="shared" si="6"/>
        <v>0.049</v>
      </c>
      <c r="J9" s="27">
        <f t="shared" si="1"/>
        <v>0.051</v>
      </c>
      <c r="K9" s="27">
        <f t="shared" si="2"/>
        <v>0.053</v>
      </c>
      <c r="L9" s="27">
        <f t="shared" ref="L9:O9" si="7">K9</f>
        <v>0.053</v>
      </c>
      <c r="M9" s="27">
        <f t="shared" si="7"/>
        <v>0.053</v>
      </c>
      <c r="N9" s="27">
        <f t="shared" si="7"/>
        <v>0.053</v>
      </c>
      <c r="O9" s="27">
        <f t="shared" si="7"/>
        <v>0.053</v>
      </c>
      <c r="P9" s="27"/>
      <c r="Q9" s="27"/>
    </row>
    <row r="10" s="1" customFormat="1" spans="1:17">
      <c r="B10" s="23">
        <v>45748</v>
      </c>
      <c r="C10" s="24">
        <v>1000</v>
      </c>
      <c r="D10" s="25">
        <v>5.7</v>
      </c>
      <c r="E10" s="26">
        <v>0</v>
      </c>
      <c r="F10" s="27">
        <v>0.05</v>
      </c>
      <c r="G10" s="27">
        <f t="shared" ref="G10:I10" si="8">F10+0.3%</f>
        <v>0.053</v>
      </c>
      <c r="H10" s="27">
        <f t="shared" si="8"/>
        <v>0.056</v>
      </c>
      <c r="I10" s="27">
        <f t="shared" si="8"/>
        <v>0.059</v>
      </c>
      <c r="J10" s="27">
        <f t="shared" si="1"/>
        <v>0.061</v>
      </c>
      <c r="K10" s="27">
        <f t="shared" si="2"/>
        <v>0.063</v>
      </c>
      <c r="L10" s="27">
        <f t="shared" ref="L10:N10" si="9">K10</f>
        <v>0.063</v>
      </c>
      <c r="M10" s="27">
        <f t="shared" si="9"/>
        <v>0.063</v>
      </c>
      <c r="N10" s="27">
        <f t="shared" si="9"/>
        <v>0.063</v>
      </c>
      <c r="O10" s="27"/>
      <c r="P10" s="27"/>
      <c r="Q10" s="27"/>
    </row>
    <row r="11" s="1" customFormat="1" spans="1:17">
      <c r="B11" s="23">
        <v>45778</v>
      </c>
      <c r="C11" s="24">
        <v>1000</v>
      </c>
      <c r="D11" s="25">
        <v>5.7</v>
      </c>
      <c r="E11" s="26">
        <v>0</v>
      </c>
      <c r="F11" s="27">
        <v>0.047</v>
      </c>
      <c r="G11" s="27">
        <f t="shared" ref="G11:I11" si="10">F11+0.3%</f>
        <v>0.05</v>
      </c>
      <c r="H11" s="27">
        <f t="shared" si="10"/>
        <v>0.053</v>
      </c>
      <c r="I11" s="27">
        <f t="shared" si="10"/>
        <v>0.056</v>
      </c>
      <c r="J11" s="27">
        <f t="shared" si="1"/>
        <v>0.058</v>
      </c>
      <c r="K11" s="27">
        <f t="shared" si="2"/>
        <v>0.06</v>
      </c>
      <c r="L11" s="27">
        <f>K11</f>
        <v>0.06</v>
      </c>
      <c r="M11" s="27">
        <f>L11</f>
        <v>0.06</v>
      </c>
      <c r="N11" s="27"/>
      <c r="O11" s="27"/>
      <c r="P11" s="27"/>
      <c r="Q11" s="27"/>
    </row>
    <row r="12" s="1" customFormat="1" spans="1:17">
      <c r="B12" s="23">
        <v>45809</v>
      </c>
      <c r="C12" s="24">
        <v>1000</v>
      </c>
      <c r="D12" s="25">
        <v>5.7</v>
      </c>
      <c r="E12" s="26">
        <v>0</v>
      </c>
      <c r="F12" s="27">
        <v>0.045</v>
      </c>
      <c r="G12" s="27">
        <f t="shared" ref="G12:I12" si="11">F12+0.3%</f>
        <v>0.048</v>
      </c>
      <c r="H12" s="27">
        <f t="shared" si="11"/>
        <v>0.051</v>
      </c>
      <c r="I12" s="27">
        <f t="shared" si="11"/>
        <v>0.054</v>
      </c>
      <c r="J12" s="27">
        <f t="shared" si="1"/>
        <v>0.056</v>
      </c>
      <c r="K12" s="27">
        <f t="shared" si="2"/>
        <v>0.058</v>
      </c>
      <c r="L12" s="27">
        <f>K12</f>
        <v>0.058</v>
      </c>
      <c r="M12" s="27"/>
      <c r="N12" s="27"/>
      <c r="O12" s="27"/>
      <c r="P12" s="27"/>
      <c r="Q12" s="27"/>
    </row>
    <row r="13" s="1" customFormat="1" spans="1:17">
      <c r="B13" s="23">
        <v>45839</v>
      </c>
      <c r="C13" s="24">
        <v>1000</v>
      </c>
      <c r="D13" s="25">
        <v>5.7</v>
      </c>
      <c r="E13" s="26">
        <v>0</v>
      </c>
      <c r="F13" s="27">
        <v>0.043</v>
      </c>
      <c r="G13" s="27">
        <f t="shared" ref="G13:I13" si="12">F13+0.3%</f>
        <v>0.046</v>
      </c>
      <c r="H13" s="27">
        <f t="shared" si="12"/>
        <v>0.049</v>
      </c>
      <c r="I13" s="27">
        <f t="shared" si="12"/>
        <v>0.052</v>
      </c>
      <c r="J13" s="27">
        <f t="shared" si="1"/>
        <v>0.054</v>
      </c>
      <c r="K13" s="27">
        <f t="shared" si="2"/>
        <v>0.056</v>
      </c>
      <c r="L13" s="27"/>
      <c r="M13" s="27"/>
      <c r="N13" s="27"/>
      <c r="O13" s="27"/>
      <c r="P13" s="27"/>
      <c r="Q13" s="27"/>
    </row>
    <row r="14" s="1" customFormat="1" spans="1:17">
      <c r="B14" s="23">
        <v>45870</v>
      </c>
      <c r="C14" s="24">
        <v>1000</v>
      </c>
      <c r="D14" s="25">
        <v>5.7</v>
      </c>
      <c r="E14" s="26">
        <v>0</v>
      </c>
      <c r="F14" s="27">
        <v>0.04</v>
      </c>
      <c r="G14" s="27">
        <f t="shared" ref="G14:I14" si="13">F14+0.3%</f>
        <v>0.043</v>
      </c>
      <c r="H14" s="27">
        <f t="shared" si="13"/>
        <v>0.046</v>
      </c>
      <c r="I14" s="27">
        <f t="shared" si="13"/>
        <v>0.049</v>
      </c>
      <c r="J14" s="27">
        <f t="shared" si="1"/>
        <v>0.051</v>
      </c>
      <c r="K14" s="27"/>
      <c r="L14" s="27"/>
      <c r="M14" s="27"/>
      <c r="N14" s="27"/>
      <c r="O14" s="27"/>
      <c r="P14" s="27"/>
      <c r="Q14" s="27"/>
    </row>
    <row r="15" s="1" customFormat="1" spans="1:17">
      <c r="B15" s="23">
        <v>45901</v>
      </c>
      <c r="C15" s="24">
        <v>1000</v>
      </c>
      <c r="D15" s="25">
        <v>5.7</v>
      </c>
      <c r="E15" s="26">
        <v>0</v>
      </c>
      <c r="F15" s="27">
        <v>0.038</v>
      </c>
      <c r="G15" s="27">
        <f t="shared" ref="G15:I15" si="14">F15+0.3%</f>
        <v>0.041</v>
      </c>
      <c r="H15" s="27">
        <f t="shared" si="14"/>
        <v>0.044</v>
      </c>
      <c r="I15" s="27">
        <f t="shared" si="14"/>
        <v>0.047</v>
      </c>
      <c r="J15" s="27"/>
      <c r="K15" s="27"/>
      <c r="L15" s="27"/>
      <c r="M15" s="27"/>
      <c r="N15" s="27"/>
      <c r="O15" s="27"/>
      <c r="P15" s="27"/>
      <c r="Q15" s="27"/>
    </row>
    <row r="16" s="1" customFormat="1" spans="1:17">
      <c r="B16" s="23">
        <v>45931</v>
      </c>
      <c r="C16" s="24">
        <v>1000</v>
      </c>
      <c r="D16" s="25">
        <v>5.7</v>
      </c>
      <c r="E16" s="26">
        <v>0</v>
      </c>
      <c r="F16" s="27">
        <v>0.0377</v>
      </c>
      <c r="G16" s="27">
        <f>F16+0.3%</f>
        <v>0.0407</v>
      </c>
      <c r="H16" s="27">
        <f>G16+0.3%</f>
        <v>0.0437</v>
      </c>
      <c r="I16" s="27"/>
      <c r="J16" s="27"/>
      <c r="K16" s="27"/>
      <c r="L16" s="27"/>
      <c r="M16" s="27"/>
      <c r="N16" s="27"/>
      <c r="O16" s="27"/>
      <c r="P16" s="27"/>
      <c r="Q16" s="27"/>
    </row>
    <row r="17" s="1" customFormat="1" spans="1:17">
      <c r="B17" s="23">
        <v>45962</v>
      </c>
      <c r="C17" s="24">
        <v>1000</v>
      </c>
      <c r="D17" s="25">
        <v>5.7</v>
      </c>
      <c r="E17" s="26">
        <v>0</v>
      </c>
      <c r="F17" s="27">
        <v>0.037</v>
      </c>
      <c r="G17" s="27">
        <f>F17+0.3%</f>
        <v>0.04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="1" customFormat="1" spans="1:17">
      <c r="B18" s="23">
        <v>45992</v>
      </c>
      <c r="C18" s="24">
        <v>1000</v>
      </c>
      <c r="D18" s="25">
        <v>5.7</v>
      </c>
      <c r="E18" s="26">
        <v>0</v>
      </c>
      <c r="F18" s="27">
        <v>0.0382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="1" customFormat="1" spans="1:17">
      <c r="B19" s="28" t="s">
        <v>44</v>
      </c>
    </row>
    <row r="21" s="1" customFormat="1" spans="1:17">
      <c r="A21" s="19" t="s">
        <v>45</v>
      </c>
    </row>
    <row r="22" s="1" customFormat="1" spans="1:17">
      <c r="B22" s="22" t="s">
        <v>28</v>
      </c>
      <c r="C22" s="22" t="s">
        <v>29</v>
      </c>
      <c r="D22" s="22" t="s">
        <v>30</v>
      </c>
      <c r="E22" s="22" t="s">
        <v>31</v>
      </c>
      <c r="F22" s="22" t="s">
        <v>32</v>
      </c>
      <c r="G22" s="22" t="s">
        <v>33</v>
      </c>
      <c r="H22" s="22" t="s">
        <v>34</v>
      </c>
      <c r="I22" s="22" t="s">
        <v>35</v>
      </c>
      <c r="J22" s="22" t="s">
        <v>36</v>
      </c>
      <c r="K22" s="22" t="s">
        <v>37</v>
      </c>
      <c r="L22" s="22" t="s">
        <v>38</v>
      </c>
      <c r="M22" s="22" t="s">
        <v>39</v>
      </c>
      <c r="N22" s="22" t="s">
        <v>40</v>
      </c>
      <c r="O22" s="22" t="s">
        <v>41</v>
      </c>
      <c r="P22" s="22" t="s">
        <v>42</v>
      </c>
      <c r="Q22" s="22" t="s">
        <v>43</v>
      </c>
    </row>
    <row r="23" s="1" customFormat="1" spans="1:17">
      <c r="B23" s="23">
        <v>45658</v>
      </c>
      <c r="C23" s="24">
        <v>1000</v>
      </c>
      <c r="D23" s="25">
        <v>5.7</v>
      </c>
      <c r="E23" s="26">
        <v>0</v>
      </c>
      <c r="F23" s="27">
        <v>0.01</v>
      </c>
      <c r="G23" s="27">
        <f t="shared" ref="G23:I23" si="15">F23+0.3%</f>
        <v>0.013</v>
      </c>
      <c r="H23" s="27">
        <f t="shared" si="15"/>
        <v>0.016</v>
      </c>
      <c r="I23" s="27">
        <f t="shared" si="15"/>
        <v>0.019</v>
      </c>
      <c r="J23" s="27">
        <f t="shared" ref="J23:J30" si="16">I23+0.2%</f>
        <v>0.021</v>
      </c>
      <c r="K23" s="27">
        <f t="shared" ref="K23:K29" si="17">J23+0.2%</f>
        <v>0.023</v>
      </c>
      <c r="L23" s="27">
        <f t="shared" ref="L23:Q23" si="18">K23</f>
        <v>0.023</v>
      </c>
      <c r="M23" s="27">
        <f t="shared" si="18"/>
        <v>0.023</v>
      </c>
      <c r="N23" s="27">
        <f t="shared" si="18"/>
        <v>0.023</v>
      </c>
      <c r="O23" s="27">
        <f t="shared" si="18"/>
        <v>0.023</v>
      </c>
      <c r="P23" s="27">
        <f t="shared" si="18"/>
        <v>0.023</v>
      </c>
      <c r="Q23" s="27">
        <f t="shared" si="18"/>
        <v>0.023</v>
      </c>
    </row>
    <row r="24" s="1" customFormat="1" spans="1:17">
      <c r="B24" s="23">
        <v>45689</v>
      </c>
      <c r="C24" s="24">
        <v>1000</v>
      </c>
      <c r="D24" s="25">
        <v>5.7</v>
      </c>
      <c r="E24" s="26">
        <v>0</v>
      </c>
      <c r="F24" s="27">
        <v>0.02</v>
      </c>
      <c r="G24" s="27">
        <f t="shared" ref="G24:I24" si="19">F24+0.3%</f>
        <v>0.023</v>
      </c>
      <c r="H24" s="27">
        <f t="shared" si="19"/>
        <v>0.026</v>
      </c>
      <c r="I24" s="27">
        <f t="shared" si="19"/>
        <v>0.029</v>
      </c>
      <c r="J24" s="27">
        <f t="shared" si="16"/>
        <v>0.031</v>
      </c>
      <c r="K24" s="27">
        <f t="shared" si="17"/>
        <v>0.033</v>
      </c>
      <c r="L24" s="27">
        <f t="shared" ref="L24:P24" si="20">K24</f>
        <v>0.033</v>
      </c>
      <c r="M24" s="27">
        <f t="shared" si="20"/>
        <v>0.033</v>
      </c>
      <c r="N24" s="27">
        <f t="shared" si="20"/>
        <v>0.033</v>
      </c>
      <c r="O24" s="27">
        <f t="shared" si="20"/>
        <v>0.033</v>
      </c>
      <c r="P24" s="27">
        <f t="shared" si="20"/>
        <v>0.033</v>
      </c>
      <c r="Q24" s="29" cm="1">
        <f t="array" ref="Q24">SUMPRODUCT(Q21:Q23,$C21:$C23)/SUMPRODUCT(P21:P23,$C21:$C23)*P24</f>
        <v>0.033</v>
      </c>
    </row>
    <row r="25" s="1" customFormat="1" spans="1:17">
      <c r="B25" s="23">
        <v>45717</v>
      </c>
      <c r="C25" s="24">
        <v>1000</v>
      </c>
      <c r="D25" s="25">
        <v>5.7</v>
      </c>
      <c r="E25" s="26">
        <v>0</v>
      </c>
      <c r="F25" s="27">
        <v>0.04</v>
      </c>
      <c r="G25" s="27">
        <f t="shared" ref="G25:I25" si="21">F25+0.3%</f>
        <v>0.043</v>
      </c>
      <c r="H25" s="27">
        <f t="shared" si="21"/>
        <v>0.046</v>
      </c>
      <c r="I25" s="27">
        <f t="shared" si="21"/>
        <v>0.049</v>
      </c>
      <c r="J25" s="27">
        <f t="shared" si="16"/>
        <v>0.051</v>
      </c>
      <c r="K25" s="27">
        <f t="shared" si="17"/>
        <v>0.053</v>
      </c>
      <c r="L25" s="27">
        <f t="shared" ref="L25:O25" si="22">K25</f>
        <v>0.053</v>
      </c>
      <c r="M25" s="27">
        <f t="shared" si="22"/>
        <v>0.053</v>
      </c>
      <c r="N25" s="27">
        <f t="shared" si="22"/>
        <v>0.053</v>
      </c>
      <c r="O25" s="27">
        <f t="shared" si="22"/>
        <v>0.053</v>
      </c>
      <c r="P25" s="29" cm="1">
        <f t="array" ref="P25">SUMPRODUCT(P22:P24,$C22:$C24)/SUMPRODUCT(O22:O24,$C22:$C24)*O25</f>
        <v>0.053</v>
      </c>
      <c r="Q25" s="29" cm="1">
        <f t="array" ref="Q25">SUMPRODUCT(Q22:Q24,$C22:$C24)/SUMPRODUCT(P22:P24,$C22:$C24)*P25</f>
        <v>0.053</v>
      </c>
    </row>
    <row r="26" s="1" customFormat="1" spans="1:17">
      <c r="B26" s="23">
        <v>45748</v>
      </c>
      <c r="C26" s="24">
        <v>1000</v>
      </c>
      <c r="D26" s="25">
        <v>5.7</v>
      </c>
      <c r="E26" s="26">
        <v>0</v>
      </c>
      <c r="F26" s="27">
        <v>0.05</v>
      </c>
      <c r="G26" s="27">
        <f t="shared" ref="G26:I26" si="23">F26+0.3%</f>
        <v>0.053</v>
      </c>
      <c r="H26" s="27">
        <f t="shared" si="23"/>
        <v>0.056</v>
      </c>
      <c r="I26" s="27">
        <f t="shared" si="23"/>
        <v>0.059</v>
      </c>
      <c r="J26" s="27">
        <f t="shared" si="16"/>
        <v>0.061</v>
      </c>
      <c r="K26" s="27">
        <f t="shared" si="17"/>
        <v>0.063</v>
      </c>
      <c r="L26" s="27">
        <f t="shared" ref="L26:N26" si="24">K26</f>
        <v>0.063</v>
      </c>
      <c r="M26" s="27">
        <f t="shared" si="24"/>
        <v>0.063</v>
      </c>
      <c r="N26" s="27">
        <f t="shared" si="24"/>
        <v>0.063</v>
      </c>
      <c r="O26" s="29" cm="1">
        <f t="array" ref="O26">SUMPRODUCT(O23:O25,$C23:$C25)/SUMPRODUCT(N23:N25,$C23:$C25)*N26</f>
        <v>0.063</v>
      </c>
      <c r="P26" s="29" cm="1">
        <f t="array" ref="P26">SUMPRODUCT(P23:P25,$C23:$C25)/SUMPRODUCT(O23:O25,$C23:$C25)*O26</f>
        <v>0.063</v>
      </c>
      <c r="Q26" s="29" cm="1">
        <f t="array" ref="Q26">SUMPRODUCT(Q23:Q25,$C23:$C25)/SUMPRODUCT(P23:P25,$C23:$C25)*P26</f>
        <v>0.063</v>
      </c>
    </row>
    <row r="27" s="1" customFormat="1" spans="1:17">
      <c r="B27" s="23">
        <v>45778</v>
      </c>
      <c r="C27" s="24">
        <v>1000</v>
      </c>
      <c r="D27" s="25">
        <v>5.7</v>
      </c>
      <c r="E27" s="26">
        <v>0</v>
      </c>
      <c r="F27" s="27">
        <v>0.047</v>
      </c>
      <c r="G27" s="27">
        <f t="shared" ref="G27:I27" si="25">F27+0.3%</f>
        <v>0.05</v>
      </c>
      <c r="H27" s="27">
        <f t="shared" si="25"/>
        <v>0.053</v>
      </c>
      <c r="I27" s="27">
        <f t="shared" si="25"/>
        <v>0.056</v>
      </c>
      <c r="J27" s="27">
        <f t="shared" si="16"/>
        <v>0.058</v>
      </c>
      <c r="K27" s="27">
        <f t="shared" si="17"/>
        <v>0.06</v>
      </c>
      <c r="L27" s="27">
        <f>K27</f>
        <v>0.06</v>
      </c>
      <c r="M27" s="27">
        <f>L27</f>
        <v>0.06</v>
      </c>
      <c r="N27" s="29" cm="1">
        <f t="array" ref="N27">SUMPRODUCT(N24:N26,$C24:$C26)/SUMPRODUCT(M24:M26,$C24:$C26)*M27</f>
        <v>0.06</v>
      </c>
      <c r="O27" s="29" cm="1">
        <f t="array" ref="O27">SUMPRODUCT(O24:O26,$C24:$C26)/SUMPRODUCT(N24:N26,$C24:$C26)*N27</f>
        <v>0.06</v>
      </c>
      <c r="P27" s="29" cm="1">
        <f t="array" ref="P27">SUMPRODUCT(P24:P26,$C24:$C26)/SUMPRODUCT(O24:O26,$C24:$C26)*O27</f>
        <v>0.06</v>
      </c>
      <c r="Q27" s="29" cm="1">
        <f t="array" ref="Q27">SUMPRODUCT(Q24:Q26,$C24:$C26)/SUMPRODUCT(P24:P26,$C24:$C26)*P27</f>
        <v>0.06</v>
      </c>
    </row>
    <row r="28" s="1" customFormat="1" spans="1:17">
      <c r="B28" s="23">
        <v>45809</v>
      </c>
      <c r="C28" s="24">
        <v>1000</v>
      </c>
      <c r="D28" s="25">
        <v>5.7</v>
      </c>
      <c r="E28" s="26">
        <v>0</v>
      </c>
      <c r="F28" s="27">
        <v>0.045</v>
      </c>
      <c r="G28" s="27">
        <f t="shared" ref="G28:I28" si="26">F28+0.3%</f>
        <v>0.048</v>
      </c>
      <c r="H28" s="27">
        <f t="shared" si="26"/>
        <v>0.051</v>
      </c>
      <c r="I28" s="27">
        <f t="shared" si="26"/>
        <v>0.054</v>
      </c>
      <c r="J28" s="27">
        <f t="shared" si="16"/>
        <v>0.056</v>
      </c>
      <c r="K28" s="27">
        <f t="shared" si="17"/>
        <v>0.058</v>
      </c>
      <c r="L28" s="27">
        <f>K28</f>
        <v>0.058</v>
      </c>
      <c r="M28" s="29" cm="1">
        <f t="array" ref="M28">SUMPRODUCT(M25:M27,$C25:$C27)/SUMPRODUCT(L25:L27,$C25:$C27)*L28</f>
        <v>0.058</v>
      </c>
      <c r="N28" s="29" cm="1">
        <f t="array" ref="N28">SUMPRODUCT(N25:N27,$C25:$C27)/SUMPRODUCT(M25:M27,$C25:$C27)*M28</f>
        <v>0.058</v>
      </c>
      <c r="O28" s="29" cm="1">
        <f t="array" ref="O28">SUMPRODUCT(O25:O27,$C25:$C27)/SUMPRODUCT(N25:N27,$C25:$C27)*N28</f>
        <v>0.058</v>
      </c>
      <c r="P28" s="29" cm="1">
        <f t="array" ref="P28">SUMPRODUCT(P25:P27,$C25:$C27)/SUMPRODUCT(O25:O27,$C25:$C27)*O28</f>
        <v>0.058</v>
      </c>
      <c r="Q28" s="29" cm="1">
        <f t="array" ref="Q28">SUMPRODUCT(Q25:Q27,$C25:$C27)/SUMPRODUCT(P25:P27,$C25:$C27)*P28</f>
        <v>0.058</v>
      </c>
    </row>
    <row r="29" s="1" customFormat="1" spans="1:17">
      <c r="B29" s="23">
        <v>45839</v>
      </c>
      <c r="C29" s="24">
        <v>1000</v>
      </c>
      <c r="D29" s="25">
        <v>5.7</v>
      </c>
      <c r="E29" s="26">
        <v>0</v>
      </c>
      <c r="F29" s="27">
        <v>0.043</v>
      </c>
      <c r="G29" s="27">
        <f t="shared" ref="G29:I29" si="27">F29+0.3%</f>
        <v>0.046</v>
      </c>
      <c r="H29" s="27">
        <f t="shared" si="27"/>
        <v>0.049</v>
      </c>
      <c r="I29" s="27">
        <f t="shared" si="27"/>
        <v>0.052</v>
      </c>
      <c r="J29" s="27">
        <f t="shared" si="16"/>
        <v>0.054</v>
      </c>
      <c r="K29" s="27">
        <f t="shared" si="17"/>
        <v>0.056</v>
      </c>
      <c r="L29" s="29" cm="1">
        <f t="array" ref="L29">SUMPRODUCT(L26:L28,$C26:$C28)/SUMPRODUCT(K26:K28,$C26:$C28)*K29</f>
        <v>0.056</v>
      </c>
      <c r="M29" s="29" cm="1">
        <f t="array" ref="M29">SUMPRODUCT(M26:M28,$C26:$C28)/SUMPRODUCT(L26:L28,$C26:$C28)*L29</f>
        <v>0.056</v>
      </c>
      <c r="N29" s="29" cm="1">
        <f t="array" ref="N29">SUMPRODUCT(N26:N28,$C26:$C28)/SUMPRODUCT(M26:M28,$C26:$C28)*M29</f>
        <v>0.056</v>
      </c>
      <c r="O29" s="29" cm="1">
        <f t="array" ref="O29">SUMPRODUCT(O26:O28,$C26:$C28)/SUMPRODUCT(N26:N28,$C26:$C28)*N29</f>
        <v>0.056</v>
      </c>
      <c r="P29" s="29" cm="1">
        <f t="array" ref="P29">SUMPRODUCT(P26:P28,$C26:$C28)/SUMPRODUCT(O26:O28,$C26:$C28)*O29</f>
        <v>0.056</v>
      </c>
      <c r="Q29" s="29" cm="1">
        <f t="array" ref="Q29">SUMPRODUCT(Q26:Q28,$C26:$C28)/SUMPRODUCT(P26:P28,$C26:$C28)*P29</f>
        <v>0.056</v>
      </c>
    </row>
    <row r="30" s="1" customFormat="1" spans="1:17">
      <c r="B30" s="23">
        <v>45870</v>
      </c>
      <c r="C30" s="24">
        <v>1000</v>
      </c>
      <c r="D30" s="25">
        <v>5.7</v>
      </c>
      <c r="E30" s="26">
        <v>0</v>
      </c>
      <c r="F30" s="27">
        <v>0.04</v>
      </c>
      <c r="G30" s="27">
        <f t="shared" ref="G30:I30" si="28">F30+0.3%</f>
        <v>0.043</v>
      </c>
      <c r="H30" s="27">
        <f t="shared" si="28"/>
        <v>0.046</v>
      </c>
      <c r="I30" s="27">
        <f t="shared" si="28"/>
        <v>0.049</v>
      </c>
      <c r="J30" s="27">
        <f t="shared" si="16"/>
        <v>0.051</v>
      </c>
      <c r="K30" s="29" cm="1">
        <f t="array" ref="K30">SUMPRODUCT(K27:K29,$C27:$C29)/SUMPRODUCT(J27:J29,$C27:$C29)*J30</f>
        <v>0.0528214285714286</v>
      </c>
      <c r="L30" s="29" cm="1">
        <f t="array" ref="L30">SUMPRODUCT(L27:L29,$C27:$C29)/SUMPRODUCT(K27:K29,$C27:$C29)*K30</f>
        <v>0.0528214285714286</v>
      </c>
      <c r="M30" s="29" cm="1">
        <f t="array" ref="M30">SUMPRODUCT(M27:M29,$C27:$C29)/SUMPRODUCT(L27:L29,$C27:$C29)*L30</f>
        <v>0.0528214285714286</v>
      </c>
      <c r="N30" s="29" cm="1">
        <f t="array" ref="N30">SUMPRODUCT(N27:N29,$C27:$C29)/SUMPRODUCT(M27:M29,$C27:$C29)*M30</f>
        <v>0.0528214285714286</v>
      </c>
      <c r="O30" s="29" cm="1">
        <f t="array" ref="O30">SUMPRODUCT(O27:O29,$C27:$C29)/SUMPRODUCT(N27:N29,$C27:$C29)*N30</f>
        <v>0.0528214285714286</v>
      </c>
      <c r="P30" s="29" cm="1">
        <f t="array" ref="P30">SUMPRODUCT(P27:P29,$C27:$C29)/SUMPRODUCT(O27:O29,$C27:$C29)*O30</f>
        <v>0.0528214285714286</v>
      </c>
      <c r="Q30" s="29" cm="1">
        <f t="array" ref="Q30">SUMPRODUCT(Q27:Q29,$C27:$C29)/SUMPRODUCT(P27:P29,$C27:$C29)*P30</f>
        <v>0.0528214285714286</v>
      </c>
    </row>
    <row r="31" s="1" customFormat="1" spans="1:17">
      <c r="B31" s="23">
        <v>45901</v>
      </c>
      <c r="C31" s="24">
        <v>1000</v>
      </c>
      <c r="D31" s="25">
        <v>5.7</v>
      </c>
      <c r="E31" s="26">
        <v>0</v>
      </c>
      <c r="F31" s="27">
        <v>0.038</v>
      </c>
      <c r="G31" s="27">
        <f t="shared" ref="G31:I31" si="29">F31+0.3%</f>
        <v>0.041</v>
      </c>
      <c r="H31" s="27">
        <f t="shared" si="29"/>
        <v>0.044</v>
      </c>
      <c r="I31" s="27">
        <f t="shared" si="29"/>
        <v>0.047</v>
      </c>
      <c r="J31" s="29" cm="1">
        <f t="array" ref="J31">SUMPRODUCT(J28:J30,$C28:$C30)/SUMPRODUCT(I28:I30,$C28:$C30)*I31</f>
        <v>0.0488193548387097</v>
      </c>
      <c r="K31" s="29" cm="1">
        <f t="array" ref="K31">SUMPRODUCT(K28:K30,$C28:$C30)/SUMPRODUCT(J28:J30,$C28:$C30)*J31</f>
        <v>0.0505845622119816</v>
      </c>
      <c r="L31" s="29" cm="1">
        <f t="array" ref="L31">SUMPRODUCT(L28:L30,$C28:$C30)/SUMPRODUCT(K28:K30,$C28:$C30)*K31</f>
        <v>0.0505845622119816</v>
      </c>
      <c r="M31" s="29" cm="1">
        <f t="array" ref="M31">SUMPRODUCT(M28:M30,$C28:$C30)/SUMPRODUCT(L28:L30,$C28:$C30)*L31</f>
        <v>0.0505845622119816</v>
      </c>
      <c r="N31" s="29" cm="1">
        <f t="array" ref="N31">SUMPRODUCT(N28:N30,$C28:$C30)/SUMPRODUCT(M28:M30,$C28:$C30)*M31</f>
        <v>0.0505845622119816</v>
      </c>
      <c r="O31" s="29" cm="1">
        <f t="array" ref="O31">SUMPRODUCT(O28:O30,$C28:$C30)/SUMPRODUCT(N28:N30,$C28:$C30)*N31</f>
        <v>0.0505845622119816</v>
      </c>
      <c r="P31" s="29" cm="1">
        <f t="array" ref="P31">SUMPRODUCT(P28:P30,$C28:$C30)/SUMPRODUCT(O28:O30,$C28:$C30)*O31</f>
        <v>0.0505845622119816</v>
      </c>
      <c r="Q31" s="29" cm="1">
        <f t="array" ref="Q31">SUMPRODUCT(Q28:Q30,$C28:$C30)/SUMPRODUCT(P28:P30,$C28:$C30)*P31</f>
        <v>0.0505845622119816</v>
      </c>
    </row>
    <row r="32" s="1" customFormat="1" spans="1:17">
      <c r="B32" s="23">
        <v>45931</v>
      </c>
      <c r="C32" s="24">
        <v>1000</v>
      </c>
      <c r="D32" s="25">
        <v>5.7</v>
      </c>
      <c r="E32" s="26">
        <v>0</v>
      </c>
      <c r="F32" s="27">
        <v>0.0377</v>
      </c>
      <c r="G32" s="27">
        <f>F32+0.3%</f>
        <v>0.0407</v>
      </c>
      <c r="H32" s="27">
        <f>G32+0.3%</f>
        <v>0.0437</v>
      </c>
      <c r="I32" s="29" cm="1">
        <f t="array" ref="I32">SUMPRODUCT(I29:I31,$C29:$C31)/SUMPRODUCT(H29:H31,$C29:$C31)*H32</f>
        <v>0.0465294964028777</v>
      </c>
      <c r="J32" s="29" cm="1">
        <f t="array" ref="J32">SUMPRODUCT(J29:J31,$C29:$C31)/SUMPRODUCT(I29:I31,$C29:$C31)*I32</f>
        <v>0.0483590345787886</v>
      </c>
      <c r="K32" s="29" cm="1">
        <f t="array" ref="K32">SUMPRODUCT(K29:K31,$C29:$C31)/SUMPRODUCT(J29:J31,$C29:$C31)*J32</f>
        <v>0.0501154086132016</v>
      </c>
      <c r="L32" s="29" cm="1">
        <f t="array" ref="L32">SUMPRODUCT(L29:L31,$C29:$C31)/SUMPRODUCT(K29:K31,$C29:$C31)*K32</f>
        <v>0.0501154086132016</v>
      </c>
      <c r="M32" s="29" cm="1">
        <f t="array" ref="M32">SUMPRODUCT(M29:M31,$C29:$C31)/SUMPRODUCT(L29:L31,$C29:$C31)*L32</f>
        <v>0.0501154086132016</v>
      </c>
      <c r="N32" s="29" cm="1">
        <f t="array" ref="N32">SUMPRODUCT(N29:N31,$C29:$C31)/SUMPRODUCT(M29:M31,$C29:$C31)*M32</f>
        <v>0.0501154086132016</v>
      </c>
      <c r="O32" s="29" cm="1">
        <f t="array" ref="O32">SUMPRODUCT(O29:O31,$C29:$C31)/SUMPRODUCT(N29:N31,$C29:$C31)*N32</f>
        <v>0.0501154086132016</v>
      </c>
      <c r="P32" s="29" cm="1">
        <f t="array" ref="P32">SUMPRODUCT(P29:P31,$C29:$C31)/SUMPRODUCT(O29:O31,$C29:$C31)*O32</f>
        <v>0.0501154086132016</v>
      </c>
      <c r="Q32" s="29" cm="1">
        <f t="array" ref="Q32">SUMPRODUCT(Q29:Q31,$C29:$C31)/SUMPRODUCT(P29:P31,$C29:$C31)*P32</f>
        <v>0.0501154086132016</v>
      </c>
    </row>
    <row r="33" s="1" customFormat="1" spans="1:20">
      <c r="B33" s="23">
        <v>45962</v>
      </c>
      <c r="C33" s="24">
        <v>1000</v>
      </c>
      <c r="D33" s="25">
        <v>5.7</v>
      </c>
      <c r="E33" s="26">
        <v>0</v>
      </c>
      <c r="F33" s="27">
        <v>0.037</v>
      </c>
      <c r="G33" s="27">
        <f>F33+0.3%</f>
        <v>0.04</v>
      </c>
      <c r="H33" s="29" cm="1">
        <f t="array" ref="H33">SUMPRODUCT(H30:H32,$C30:$C32)/SUMPRODUCT(G30:G32,$C30:$C32)*G33</f>
        <v>0.0428869286287089</v>
      </c>
      <c r="I33" s="29" cm="1">
        <f t="array" ref="I33">SUMPRODUCT(I30:I32,$C30:$C32)/SUMPRODUCT(H30:H32,$C30:$C32)*H33</f>
        <v>0.0457191648445478</v>
      </c>
      <c r="J33" s="29" cm="1">
        <f t="array" ref="J33">SUMPRODUCT(J30:J32,$C30:$C32)/SUMPRODUCT(I30:I32,$C30:$C32)*I33</f>
        <v>0.0475311593961502</v>
      </c>
      <c r="K33" s="29" cm="1">
        <f t="array" ref="K33">SUMPRODUCT(K30:K32,$C30:$C32)/SUMPRODUCT(J30:J32,$C30:$C32)*J33</f>
        <v>0.0492450358930591</v>
      </c>
      <c r="L33" s="29" cm="1">
        <f t="array" ref="L33">SUMPRODUCT(L30:L32,$C30:$C32)/SUMPRODUCT(K30:K32,$C30:$C32)*K33</f>
        <v>0.0492450358930591</v>
      </c>
      <c r="M33" s="29" cm="1">
        <f t="array" ref="M33">SUMPRODUCT(M30:M32,$C30:$C32)/SUMPRODUCT(L30:L32,$C30:$C32)*L33</f>
        <v>0.0492450358930591</v>
      </c>
      <c r="N33" s="29" cm="1">
        <f t="array" ref="N33">SUMPRODUCT(N30:N32,$C30:$C32)/SUMPRODUCT(M30:M32,$C30:$C32)*M33</f>
        <v>0.0492450358930591</v>
      </c>
      <c r="O33" s="29" cm="1">
        <f t="array" ref="O33">SUMPRODUCT(O30:O32,$C30:$C32)/SUMPRODUCT(N30:N32,$C30:$C32)*N33</f>
        <v>0.0492450358930591</v>
      </c>
      <c r="P33" s="29" cm="1">
        <f t="array" ref="P33">SUMPRODUCT(P30:P32,$C30:$C32)/SUMPRODUCT(O30:O32,$C30:$C32)*O33</f>
        <v>0.0492450358930591</v>
      </c>
      <c r="Q33" s="29" cm="1">
        <f t="array" ref="Q33">SUMPRODUCT(Q30:Q32,$C30:$C32)/SUMPRODUCT(P30:P32,$C30:$C32)*P33</f>
        <v>0.0492450358930591</v>
      </c>
    </row>
    <row r="34" s="1" customFormat="1" spans="1:20">
      <c r="B34" s="23">
        <v>45992</v>
      </c>
      <c r="C34" s="24">
        <v>1000</v>
      </c>
      <c r="D34" s="25">
        <v>5.7</v>
      </c>
      <c r="E34" s="26">
        <v>0</v>
      </c>
      <c r="F34" s="27">
        <v>0.0382</v>
      </c>
      <c r="G34" s="29" cm="1">
        <f t="array" ref="G34">SUMPRODUCT(G31:G33,$C31:$C33)/SUMPRODUCT(F31:F33,$C31:$C33)*F34</f>
        <v>0.0412505767524401</v>
      </c>
      <c r="H34" s="29" cm="1">
        <f t="array" ref="H34">SUMPRODUCT(H31:H33,$C31:$C33)/SUMPRODUCT(G31:G33,$C31:$C33)*G34</f>
        <v>0.0442628276274772</v>
      </c>
      <c r="I34" s="29" cm="1">
        <f t="array" ref="I34">SUMPRODUCT(I31:I33,$C31:$C33)/SUMPRODUCT(H31:H33,$C31:$C33)*H34</f>
        <v>0.0471987476455338</v>
      </c>
      <c r="J34" s="29" cm="1">
        <f t="array" ref="J34">SUMPRODUCT(J31:J33,$C31:$C33)/SUMPRODUCT(I31:I33,$C31:$C33)*I34</f>
        <v>0.049049731718557</v>
      </c>
      <c r="K34" s="29" cm="1">
        <f t="array" ref="K34">SUMPRODUCT(K31:K33,$C31:$C33)/SUMPRODUCT(J31:J33,$C31:$C33)*J34</f>
        <v>0.0508243057376829</v>
      </c>
      <c r="L34" s="29" cm="1">
        <f t="array" ref="L34">SUMPRODUCT(L31:L33,$C31:$C33)/SUMPRODUCT(K31:K33,$C31:$C33)*K34</f>
        <v>0.0508243057376829</v>
      </c>
      <c r="M34" s="29" cm="1">
        <f t="array" ref="M34">SUMPRODUCT(M31:M33,$C31:$C33)/SUMPRODUCT(L31:L33,$C31:$C33)*L34</f>
        <v>0.0508243057376829</v>
      </c>
      <c r="N34" s="29" cm="1">
        <f t="array" ref="N34">SUMPRODUCT(N31:N33,$C31:$C33)/SUMPRODUCT(M31:M33,$C31:$C33)*M34</f>
        <v>0.0508243057376829</v>
      </c>
      <c r="O34" s="29" cm="1">
        <f t="array" ref="O34">SUMPRODUCT(O31:O33,$C31:$C33)/SUMPRODUCT(N31:N33,$C31:$C33)*N34</f>
        <v>0.0508243057376829</v>
      </c>
      <c r="P34" s="29" cm="1">
        <f t="array" ref="P34">SUMPRODUCT(P31:P33,$C31:$C33)/SUMPRODUCT(O31:O33,$C31:$C33)*O34</f>
        <v>0.0508243057376829</v>
      </c>
      <c r="Q34" s="29" cm="1">
        <f t="array" ref="Q34">SUMPRODUCT(Q31:Q33,$C31:$C33)/SUMPRODUCT(P31:P33,$C31:$C33)*P34</f>
        <v>0.0508243057376829</v>
      </c>
    </row>
    <row r="35" s="1" customFormat="1" spans="1:20">
      <c r="B35" s="1" t="s">
        <v>46</v>
      </c>
    </row>
    <row r="37" spans="1:20">
      <c r="S37" s="1">
        <f>(1+Q42)/D42</f>
        <v>0.179473684210526</v>
      </c>
    </row>
    <row r="39" spans="1:20">
      <c r="A39" s="19" t="s">
        <v>47</v>
      </c>
      <c r="R39" s="30"/>
      <c r="S39" s="30"/>
    </row>
    <row r="40" spans="1:20">
      <c r="A40" s="19"/>
      <c r="R40" s="30" t="s">
        <v>48</v>
      </c>
      <c r="S40" s="30"/>
    </row>
    <row r="41" ht="14.5" spans="1:20">
      <c r="B41" s="22" t="s">
        <v>28</v>
      </c>
      <c r="C41" s="22" t="s">
        <v>29</v>
      </c>
      <c r="D41" s="22" t="s">
        <v>30</v>
      </c>
      <c r="E41" s="22" t="s">
        <v>31</v>
      </c>
      <c r="F41" s="22" t="s">
        <v>32</v>
      </c>
      <c r="G41" s="22" t="s">
        <v>33</v>
      </c>
      <c r="H41" s="22" t="s">
        <v>34</v>
      </c>
      <c r="I41" s="22" t="s">
        <v>35</v>
      </c>
      <c r="J41" s="22" t="s">
        <v>36</v>
      </c>
      <c r="K41" s="22" t="s">
        <v>37</v>
      </c>
      <c r="L41" s="22" t="s">
        <v>38</v>
      </c>
      <c r="M41" s="22" t="s">
        <v>39</v>
      </c>
      <c r="N41" s="22" t="s">
        <v>40</v>
      </c>
      <c r="O41" s="22" t="s">
        <v>41</v>
      </c>
      <c r="P41" s="22" t="s">
        <v>42</v>
      </c>
      <c r="Q41" s="22" t="s">
        <v>43</v>
      </c>
      <c r="R41" s="31" t="s">
        <v>49</v>
      </c>
      <c r="S41" s="31" t="s">
        <v>50</v>
      </c>
      <c r="T41" s="31" t="s">
        <v>51</v>
      </c>
    </row>
    <row r="42" spans="1:20">
      <c r="B42" s="23">
        <v>45658</v>
      </c>
      <c r="C42" s="24">
        <v>1000</v>
      </c>
      <c r="D42" s="25">
        <v>5.7</v>
      </c>
      <c r="E42" s="26">
        <v>0</v>
      </c>
      <c r="F42" s="27">
        <v>0.01</v>
      </c>
      <c r="G42" s="27">
        <f t="shared" ref="G42:I42" si="30">F42+0.3%</f>
        <v>0.013</v>
      </c>
      <c r="H42" s="27">
        <f t="shared" si="30"/>
        <v>0.016</v>
      </c>
      <c r="I42" s="27">
        <f t="shared" si="30"/>
        <v>0.019</v>
      </c>
      <c r="J42" s="27">
        <f t="shared" ref="J42:J49" si="31">I42+0.2%</f>
        <v>0.021</v>
      </c>
      <c r="K42" s="27">
        <f t="shared" ref="K42:K48" si="32">J42+0.2%</f>
        <v>0.023</v>
      </c>
      <c r="L42" s="27">
        <f t="shared" ref="L42:Q42" si="33">K42</f>
        <v>0.023</v>
      </c>
      <c r="M42" s="27">
        <f t="shared" si="33"/>
        <v>0.023</v>
      </c>
      <c r="N42" s="27">
        <f t="shared" si="33"/>
        <v>0.023</v>
      </c>
      <c r="O42" s="27">
        <f t="shared" si="33"/>
        <v>0.023</v>
      </c>
      <c r="P42" s="27">
        <f t="shared" si="33"/>
        <v>0.023</v>
      </c>
      <c r="Q42" s="27">
        <f t="shared" si="33"/>
        <v>0.023</v>
      </c>
      <c r="R42" s="32">
        <f t="shared" ref="R42:R53" si="34">Q42*24/(1+D42)</f>
        <v>0.0823880597014925</v>
      </c>
      <c r="S42" s="32">
        <f t="shared" ref="S42:S53" si="35">RATE(D42,(1+Q42)/D42,-1)*12</f>
        <v>0.0819511561753635</v>
      </c>
      <c r="T42" s="32">
        <f t="shared" ref="T42:T53" si="36">S42-R42</f>
        <v>-0.000436903526129004</v>
      </c>
    </row>
    <row r="43" spans="1:20">
      <c r="B43" s="23">
        <v>45689</v>
      </c>
      <c r="C43" s="24">
        <v>1000</v>
      </c>
      <c r="D43" s="25">
        <v>5.7</v>
      </c>
      <c r="E43" s="26">
        <v>0</v>
      </c>
      <c r="F43" s="27">
        <v>0.02</v>
      </c>
      <c r="G43" s="27">
        <f t="shared" ref="G43:I43" si="37">F43+0.3%</f>
        <v>0.023</v>
      </c>
      <c r="H43" s="27">
        <f t="shared" si="37"/>
        <v>0.026</v>
      </c>
      <c r="I43" s="27">
        <f t="shared" si="37"/>
        <v>0.029</v>
      </c>
      <c r="J43" s="27">
        <f t="shared" si="31"/>
        <v>0.031</v>
      </c>
      <c r="K43" s="27">
        <f t="shared" si="32"/>
        <v>0.033</v>
      </c>
      <c r="L43" s="27">
        <f t="shared" ref="L43:P43" si="38">K43</f>
        <v>0.033</v>
      </c>
      <c r="M43" s="27">
        <f t="shared" si="38"/>
        <v>0.033</v>
      </c>
      <c r="N43" s="27">
        <f t="shared" si="38"/>
        <v>0.033</v>
      </c>
      <c r="O43" s="27">
        <f t="shared" si="38"/>
        <v>0.033</v>
      </c>
      <c r="P43" s="27">
        <f t="shared" si="38"/>
        <v>0.033</v>
      </c>
      <c r="Q43" s="29" cm="1">
        <f t="array" ref="Q43">SUMPRODUCT(Q39:Q42,$C39:$C42)/SUMPRODUCT(P39:P42,$C39:$C42)*P43</f>
        <v>0.033</v>
      </c>
      <c r="R43" s="32">
        <f t="shared" si="34"/>
        <v>0.118208955223881</v>
      </c>
      <c r="S43" s="32">
        <f t="shared" si="35"/>
        <v>0.117314960555517</v>
      </c>
      <c r="T43" s="32">
        <f t="shared" si="36"/>
        <v>-0.000893994668363499</v>
      </c>
    </row>
    <row r="44" spans="1:20">
      <c r="B44" s="23">
        <v>45717</v>
      </c>
      <c r="C44" s="24">
        <v>1000</v>
      </c>
      <c r="D44" s="25">
        <v>5.7</v>
      </c>
      <c r="E44" s="26">
        <v>0</v>
      </c>
      <c r="F44" s="27">
        <v>0.04</v>
      </c>
      <c r="G44" s="27">
        <f t="shared" ref="G44:I44" si="39">F44+0.3%</f>
        <v>0.043</v>
      </c>
      <c r="H44" s="27">
        <f t="shared" si="39"/>
        <v>0.046</v>
      </c>
      <c r="I44" s="27">
        <f t="shared" si="39"/>
        <v>0.049</v>
      </c>
      <c r="J44" s="27">
        <f t="shared" si="31"/>
        <v>0.051</v>
      </c>
      <c r="K44" s="27">
        <f t="shared" si="32"/>
        <v>0.053</v>
      </c>
      <c r="L44" s="27">
        <f t="shared" ref="L44:O44" si="40">K44</f>
        <v>0.053</v>
      </c>
      <c r="M44" s="27">
        <f t="shared" si="40"/>
        <v>0.053</v>
      </c>
      <c r="N44" s="27">
        <f t="shared" si="40"/>
        <v>0.053</v>
      </c>
      <c r="O44" s="27">
        <f t="shared" si="40"/>
        <v>0.053</v>
      </c>
      <c r="P44" s="29" cm="1">
        <f t="array" ref="P44">SUMPRODUCT(P41:P43,$C41:$C43)/SUMPRODUCT(O41:O43,$C41:$C43)*O44</f>
        <v>0.053</v>
      </c>
      <c r="Q44" s="29" cm="1">
        <f t="array" ref="Q44">SUMPRODUCT(Q41:Q43,$C41:$C43)/SUMPRODUCT(P41:P43,$C41:$C43)*P44</f>
        <v>0.053</v>
      </c>
      <c r="R44" s="32">
        <f t="shared" si="34"/>
        <v>0.189850746268657</v>
      </c>
      <c r="S44" s="32">
        <f t="shared" si="35"/>
        <v>0.187572129228246</v>
      </c>
      <c r="T44" s="32">
        <f t="shared" si="36"/>
        <v>-0.00227861704041113</v>
      </c>
    </row>
    <row r="45" spans="1:20">
      <c r="B45" s="23">
        <v>45748</v>
      </c>
      <c r="C45" s="24">
        <v>1000</v>
      </c>
      <c r="D45" s="25">
        <v>5.7</v>
      </c>
      <c r="E45" s="26">
        <v>0</v>
      </c>
      <c r="F45" s="27">
        <v>0.05</v>
      </c>
      <c r="G45" s="27">
        <f t="shared" ref="G45:I45" si="41">F45+0.3%</f>
        <v>0.053</v>
      </c>
      <c r="H45" s="27">
        <f t="shared" si="41"/>
        <v>0.056</v>
      </c>
      <c r="I45" s="27">
        <f t="shared" si="41"/>
        <v>0.059</v>
      </c>
      <c r="J45" s="27">
        <f t="shared" si="31"/>
        <v>0.061</v>
      </c>
      <c r="K45" s="27">
        <f t="shared" si="32"/>
        <v>0.063</v>
      </c>
      <c r="L45" s="27">
        <f t="shared" ref="L45:N45" si="42">K45</f>
        <v>0.063</v>
      </c>
      <c r="M45" s="27">
        <f t="shared" si="42"/>
        <v>0.063</v>
      </c>
      <c r="N45" s="27">
        <f t="shared" si="42"/>
        <v>0.063</v>
      </c>
      <c r="O45" s="29" cm="1">
        <f t="array" ref="O45">SUMPRODUCT(O42:O44,$C42:$C44)/SUMPRODUCT(N42:N44,$C42:$C44)*N45</f>
        <v>0.063</v>
      </c>
      <c r="P45" s="29" cm="1">
        <f t="array" ref="P45">SUMPRODUCT(P42:P44,$C42:$C44)/SUMPRODUCT(O42:O44,$C42:$C44)*O45</f>
        <v>0.063</v>
      </c>
      <c r="Q45" s="29" cm="1">
        <f t="array" ref="Q45">SUMPRODUCT(Q42:Q44,$C42:$C44)/SUMPRODUCT(P42:P44,$C42:$C44)*P45</f>
        <v>0.063</v>
      </c>
      <c r="R45" s="32">
        <f t="shared" si="34"/>
        <v>0.225671641791045</v>
      </c>
      <c r="S45" s="32">
        <f t="shared" si="35"/>
        <v>0.222471011974215</v>
      </c>
      <c r="T45" s="32">
        <f t="shared" si="36"/>
        <v>-0.0032006298168302</v>
      </c>
    </row>
    <row r="46" spans="1:20">
      <c r="B46" s="23">
        <v>45778</v>
      </c>
      <c r="C46" s="24">
        <v>1000</v>
      </c>
      <c r="D46" s="25">
        <v>5.7</v>
      </c>
      <c r="E46" s="26">
        <v>0</v>
      </c>
      <c r="F46" s="27">
        <v>0.047</v>
      </c>
      <c r="G46" s="27">
        <f t="shared" ref="G46:I46" si="43">F46+0.3%</f>
        <v>0.05</v>
      </c>
      <c r="H46" s="27">
        <f t="shared" si="43"/>
        <v>0.053</v>
      </c>
      <c r="I46" s="27">
        <f t="shared" si="43"/>
        <v>0.056</v>
      </c>
      <c r="J46" s="27">
        <f t="shared" si="31"/>
        <v>0.058</v>
      </c>
      <c r="K46" s="27">
        <f t="shared" si="32"/>
        <v>0.06</v>
      </c>
      <c r="L46" s="27">
        <f>K46</f>
        <v>0.06</v>
      </c>
      <c r="M46" s="27">
        <f>L46</f>
        <v>0.06</v>
      </c>
      <c r="N46" s="29" cm="1">
        <f t="array" ref="N46">SUMPRODUCT(N43:N45,$C43:$C45)/SUMPRODUCT(M43:M45,$C43:$C45)*M46</f>
        <v>0.06</v>
      </c>
      <c r="O46" s="29" cm="1">
        <f t="array" ref="O46">SUMPRODUCT(O43:O45,$C43:$C45)/SUMPRODUCT(N43:N45,$C43:$C45)*N46</f>
        <v>0.06</v>
      </c>
      <c r="P46" s="29" cm="1">
        <f t="array" ref="P46">SUMPRODUCT(P43:P45,$C43:$C45)/SUMPRODUCT(O43:O45,$C43:$C45)*O46</f>
        <v>0.06</v>
      </c>
      <c r="Q46" s="29" cm="1">
        <f t="array" ref="Q46">SUMPRODUCT(Q43:Q45,$C43:$C45)/SUMPRODUCT(P43:P45,$C43:$C45)*P46</f>
        <v>0.06</v>
      </c>
      <c r="R46" s="32">
        <f t="shared" si="34"/>
        <v>0.214925373134328</v>
      </c>
      <c r="S46" s="32">
        <f t="shared" si="35"/>
        <v>0.212017171854693</v>
      </c>
      <c r="T46" s="32">
        <f t="shared" si="36"/>
        <v>-0.00290820127963526</v>
      </c>
    </row>
    <row r="47" spans="1:20">
      <c r="B47" s="23">
        <v>45809</v>
      </c>
      <c r="C47" s="24">
        <v>1000</v>
      </c>
      <c r="D47" s="25">
        <v>5.7</v>
      </c>
      <c r="E47" s="26">
        <v>0</v>
      </c>
      <c r="F47" s="27">
        <v>0.045</v>
      </c>
      <c r="G47" s="27">
        <f t="shared" ref="G47:I47" si="44">F47+0.3%</f>
        <v>0.048</v>
      </c>
      <c r="H47" s="27">
        <f t="shared" si="44"/>
        <v>0.051</v>
      </c>
      <c r="I47" s="27">
        <f t="shared" si="44"/>
        <v>0.054</v>
      </c>
      <c r="J47" s="27">
        <f t="shared" si="31"/>
        <v>0.056</v>
      </c>
      <c r="K47" s="27">
        <f t="shared" si="32"/>
        <v>0.058</v>
      </c>
      <c r="L47" s="27">
        <f>K47</f>
        <v>0.058</v>
      </c>
      <c r="M47" s="29" cm="1">
        <f t="array" ref="M47">SUMPRODUCT(M44:M46,$C44:$C46)/SUMPRODUCT(L44:L46,$C44:$C46)*L47</f>
        <v>0.058</v>
      </c>
      <c r="N47" s="29" cm="1">
        <f t="array" ref="N47">SUMPRODUCT(N44:N46,$C44:$C46)/SUMPRODUCT(M44:M46,$C44:$C46)*M47</f>
        <v>0.058</v>
      </c>
      <c r="O47" s="29" cm="1">
        <f t="array" ref="O47">SUMPRODUCT(O44:O46,$C44:$C46)/SUMPRODUCT(N44:N46,$C44:$C46)*N47</f>
        <v>0.058</v>
      </c>
      <c r="P47" s="29" cm="1">
        <f t="array" ref="P47">SUMPRODUCT(P44:P46,$C44:$C46)/SUMPRODUCT(O44:O46,$C44:$C46)*O47</f>
        <v>0.058</v>
      </c>
      <c r="Q47" s="29" cm="1">
        <f t="array" ref="Q47">SUMPRODUCT(Q44:Q46,$C44:$C46)/SUMPRODUCT(P44:P46,$C44:$C46)*P47</f>
        <v>0.058</v>
      </c>
      <c r="R47" s="32">
        <f t="shared" si="34"/>
        <v>0.207761194029851</v>
      </c>
      <c r="S47" s="32">
        <f t="shared" si="35"/>
        <v>0.205040431601049</v>
      </c>
      <c r="T47" s="32">
        <f t="shared" si="36"/>
        <v>-0.00272076242880206</v>
      </c>
    </row>
    <row r="48" spans="1:20">
      <c r="B48" s="23">
        <v>45839</v>
      </c>
      <c r="C48" s="24">
        <v>1000</v>
      </c>
      <c r="D48" s="25">
        <v>5.7</v>
      </c>
      <c r="E48" s="26">
        <v>0</v>
      </c>
      <c r="F48" s="27">
        <v>0.043</v>
      </c>
      <c r="G48" s="27">
        <f t="shared" ref="G48:I48" si="45">F48+0.3%</f>
        <v>0.046</v>
      </c>
      <c r="H48" s="27">
        <f t="shared" si="45"/>
        <v>0.049</v>
      </c>
      <c r="I48" s="27">
        <f t="shared" si="45"/>
        <v>0.052</v>
      </c>
      <c r="J48" s="27">
        <f t="shared" si="31"/>
        <v>0.054</v>
      </c>
      <c r="K48" s="27">
        <f t="shared" si="32"/>
        <v>0.056</v>
      </c>
      <c r="L48" s="29" cm="1">
        <f t="array" ref="L48">SUMPRODUCT(L45:L47,$C45:$C47)/SUMPRODUCT(K45:K47,$C45:$C47)*K48</f>
        <v>0.056</v>
      </c>
      <c r="M48" s="29" cm="1">
        <f t="array" ref="M48">SUMPRODUCT(M45:M47,$C45:$C47)/SUMPRODUCT(L45:L47,$C45:$C47)*L48</f>
        <v>0.056</v>
      </c>
      <c r="N48" s="29" cm="1">
        <f t="array" ref="N48">SUMPRODUCT(N45:N47,$C45:$C47)/SUMPRODUCT(M45:M47,$C45:$C47)*M48</f>
        <v>0.056</v>
      </c>
      <c r="O48" s="29" cm="1">
        <f t="array" ref="O48">SUMPRODUCT(O45:O47,$C45:$C47)/SUMPRODUCT(N45:N47,$C45:$C47)*N48</f>
        <v>0.056</v>
      </c>
      <c r="P48" s="29" cm="1">
        <f t="array" ref="P48">SUMPRODUCT(P45:P47,$C45:$C47)/SUMPRODUCT(O45:O47,$C45:$C47)*O48</f>
        <v>0.056</v>
      </c>
      <c r="Q48" s="29" cm="1">
        <f t="array" ref="Q48">SUMPRODUCT(Q45:Q47,$C45:$C47)/SUMPRODUCT(P45:P47,$C45:$C47)*P48</f>
        <v>0.056</v>
      </c>
      <c r="R48" s="32">
        <f t="shared" si="34"/>
        <v>0.200597014925373</v>
      </c>
      <c r="S48" s="32">
        <f t="shared" si="35"/>
        <v>0.198057655876142</v>
      </c>
      <c r="T48" s="32">
        <f t="shared" si="36"/>
        <v>-0.00253935904923122</v>
      </c>
    </row>
    <row r="49" spans="2:20">
      <c r="B49" s="23">
        <v>45870</v>
      </c>
      <c r="C49" s="24">
        <v>1000</v>
      </c>
      <c r="D49" s="25">
        <v>5.7</v>
      </c>
      <c r="E49" s="26">
        <v>0</v>
      </c>
      <c r="F49" s="27">
        <v>0.04</v>
      </c>
      <c r="G49" s="27">
        <f t="shared" ref="G49:I49" si="46">F49+0.3%</f>
        <v>0.043</v>
      </c>
      <c r="H49" s="27">
        <f t="shared" si="46"/>
        <v>0.046</v>
      </c>
      <c r="I49" s="27">
        <f t="shared" si="46"/>
        <v>0.049</v>
      </c>
      <c r="J49" s="27">
        <f t="shared" si="31"/>
        <v>0.051</v>
      </c>
      <c r="K49" s="29" cm="1">
        <f t="array" ref="K49">SUMPRODUCT(K46:K48,$C46:$C48)/SUMPRODUCT(J46:J48,$C46:$C48)*J49</f>
        <v>0.0528214285714286</v>
      </c>
      <c r="L49" s="29" cm="1">
        <f t="array" ref="L49">SUMPRODUCT(L46:L48,$C46:$C48)/SUMPRODUCT(K46:K48,$C46:$C48)*K49</f>
        <v>0.0528214285714286</v>
      </c>
      <c r="M49" s="29" cm="1">
        <f t="array" ref="M49">SUMPRODUCT(M46:M48,$C46:$C48)/SUMPRODUCT(L46:L48,$C46:$C48)*L49</f>
        <v>0.0528214285714286</v>
      </c>
      <c r="N49" s="29" cm="1">
        <f t="array" ref="N49">SUMPRODUCT(N46:N48,$C46:$C48)/SUMPRODUCT(M46:M48,$C46:$C48)*M49</f>
        <v>0.0528214285714286</v>
      </c>
      <c r="O49" s="29" cm="1">
        <f t="array" ref="O49">SUMPRODUCT(O46:O48,$C46:$C48)/SUMPRODUCT(N46:N48,$C46:$C48)*N49</f>
        <v>0.0528214285714286</v>
      </c>
      <c r="P49" s="29" cm="1">
        <f t="array" ref="P49">SUMPRODUCT(P46:P48,$C46:$C48)/SUMPRODUCT(O46:O48,$C46:$C48)*O49</f>
        <v>0.0528214285714286</v>
      </c>
      <c r="Q49" s="29" cm="1">
        <f t="array" ref="Q49">SUMPRODUCT(Q46:Q48,$C46:$C48)/SUMPRODUCT(P46:P48,$C46:$C48)*P49</f>
        <v>0.0528214285714286</v>
      </c>
      <c r="R49" s="32">
        <f t="shared" si="34"/>
        <v>0.189211087420043</v>
      </c>
      <c r="S49" s="32">
        <f t="shared" si="35"/>
        <v>0.186947559448206</v>
      </c>
      <c r="T49" s="32">
        <f t="shared" si="36"/>
        <v>-0.00226352797183696</v>
      </c>
    </row>
    <row r="50" spans="2:20">
      <c r="B50" s="23">
        <v>45901</v>
      </c>
      <c r="C50" s="24">
        <v>1000</v>
      </c>
      <c r="D50" s="25">
        <v>5.7</v>
      </c>
      <c r="E50" s="26">
        <v>0</v>
      </c>
      <c r="F50" s="27">
        <v>0.038</v>
      </c>
      <c r="G50" s="27">
        <f t="shared" ref="G50:I50" si="47">F50+0.3%</f>
        <v>0.041</v>
      </c>
      <c r="H50" s="27">
        <f t="shared" si="47"/>
        <v>0.044</v>
      </c>
      <c r="I50" s="27">
        <f t="shared" si="47"/>
        <v>0.047</v>
      </c>
      <c r="J50" s="29" cm="1">
        <f t="array" ref="J50">SUMPRODUCT(J47:J49,$C47:$C49)/SUMPRODUCT(I47:I49,$C47:$C49)*I50</f>
        <v>0.0488193548387097</v>
      </c>
      <c r="K50" s="29" cm="1">
        <f t="array" ref="K50">SUMPRODUCT(K47:K49,$C47:$C49)/SUMPRODUCT(J47:J49,$C47:$C49)*J50</f>
        <v>0.0505845622119816</v>
      </c>
      <c r="L50" s="29" cm="1">
        <f t="array" ref="L50">SUMPRODUCT(L47:L49,$C47:$C49)/SUMPRODUCT(K47:K49,$C47:$C49)*K50</f>
        <v>0.0505845622119816</v>
      </c>
      <c r="M50" s="29" cm="1">
        <f t="array" ref="M50">SUMPRODUCT(M47:M49,$C47:$C49)/SUMPRODUCT(L47:L49,$C47:$C49)*L50</f>
        <v>0.0505845622119816</v>
      </c>
      <c r="N50" s="29" cm="1">
        <f t="array" ref="N50">SUMPRODUCT(N47:N49,$C47:$C49)/SUMPRODUCT(M47:M49,$C47:$C49)*M50</f>
        <v>0.0505845622119816</v>
      </c>
      <c r="O50" s="29" cm="1">
        <f t="array" ref="O50">SUMPRODUCT(O47:O49,$C47:$C49)/SUMPRODUCT(N47:N49,$C47:$C49)*N50</f>
        <v>0.0505845622119816</v>
      </c>
      <c r="P50" s="29" cm="1">
        <f t="array" ref="P50">SUMPRODUCT(P47:P49,$C47:$C49)/SUMPRODUCT(O47:O49,$C47:$C49)*O50</f>
        <v>0.0505845622119816</v>
      </c>
      <c r="Q50" s="29" cm="1">
        <f t="array" ref="Q50">SUMPRODUCT(Q47:Q49,$C47:$C49)/SUMPRODUCT(P47:P49,$C47:$C49)*P50</f>
        <v>0.0505845622119816</v>
      </c>
      <c r="R50" s="32">
        <f t="shared" si="34"/>
        <v>0.181198431804113</v>
      </c>
      <c r="S50" s="32">
        <f t="shared" si="35"/>
        <v>0.179119797775496</v>
      </c>
      <c r="T50" s="32">
        <f t="shared" si="36"/>
        <v>-0.00207863402861666</v>
      </c>
    </row>
    <row r="51" spans="2:20">
      <c r="B51" s="23">
        <v>45931</v>
      </c>
      <c r="C51" s="24">
        <v>1000</v>
      </c>
      <c r="D51" s="25">
        <v>5.7</v>
      </c>
      <c r="E51" s="26">
        <v>0</v>
      </c>
      <c r="F51" s="27">
        <v>0.0377</v>
      </c>
      <c r="G51" s="27">
        <f>F51+0.3%</f>
        <v>0.0407</v>
      </c>
      <c r="H51" s="27">
        <f>G51+0.3%</f>
        <v>0.0437</v>
      </c>
      <c r="I51" s="29" cm="1">
        <f t="array" ref="I51">SUMPRODUCT(I48:I50,$C48:$C50)/SUMPRODUCT(H48:H50,$C48:$C50)*H51</f>
        <v>0.0465294964028777</v>
      </c>
      <c r="J51" s="29" cm="1">
        <f t="array" ref="J51">SUMPRODUCT(J48:J50,$C48:$C50)/SUMPRODUCT(I48:I50,$C48:$C50)*I51</f>
        <v>0.0483590345787886</v>
      </c>
      <c r="K51" s="29" cm="1">
        <f t="array" ref="K51">SUMPRODUCT(K48:K50,$C48:$C50)/SUMPRODUCT(J48:J50,$C48:$C50)*J51</f>
        <v>0.0501154086132016</v>
      </c>
      <c r="L51" s="29" cm="1">
        <f t="array" ref="L51">SUMPRODUCT(L48:L50,$C48:$C50)/SUMPRODUCT(K48:K50,$C48:$C50)*K51</f>
        <v>0.0501154086132016</v>
      </c>
      <c r="M51" s="29" cm="1">
        <f t="array" ref="M51">SUMPRODUCT(M48:M50,$C48:$C50)/SUMPRODUCT(L48:L50,$C48:$C50)*L51</f>
        <v>0.0501154086132016</v>
      </c>
      <c r="N51" s="29" cm="1">
        <f t="array" ref="N51">SUMPRODUCT(N48:N50,$C48:$C50)/SUMPRODUCT(M48:M50,$C48:$C50)*M51</f>
        <v>0.0501154086132016</v>
      </c>
      <c r="O51" s="29" cm="1">
        <f t="array" ref="O51">SUMPRODUCT(O48:O50,$C48:$C50)/SUMPRODUCT(N48:N50,$C48:$C50)*N51</f>
        <v>0.0501154086132016</v>
      </c>
      <c r="P51" s="29" cm="1">
        <f t="array" ref="P51">SUMPRODUCT(P48:P50,$C48:$C50)/SUMPRODUCT(O48:O50,$C48:$C50)*O51</f>
        <v>0.0501154086132016</v>
      </c>
      <c r="Q51" s="29" cm="1">
        <f t="array" ref="Q51">SUMPRODUCT(Q48:Q50,$C48:$C50)/SUMPRODUCT(P48:P50,$C48:$C50)*P51</f>
        <v>0.0501154086132016</v>
      </c>
      <c r="R51" s="32">
        <f t="shared" si="34"/>
        <v>0.179517881599528</v>
      </c>
      <c r="S51" s="32">
        <f t="shared" si="35"/>
        <v>0.177477057293609</v>
      </c>
      <c r="T51" s="32">
        <f t="shared" si="36"/>
        <v>-0.0020408243059192</v>
      </c>
    </row>
    <row r="52" spans="2:20">
      <c r="B52" s="23">
        <v>45962</v>
      </c>
      <c r="C52" s="24">
        <v>1000</v>
      </c>
      <c r="D52" s="25">
        <v>5.7</v>
      </c>
      <c r="E52" s="26">
        <v>0</v>
      </c>
      <c r="F52" s="27">
        <v>0.037</v>
      </c>
      <c r="G52" s="27">
        <f>F52+0.3%</f>
        <v>0.04</v>
      </c>
      <c r="H52" s="29" cm="1">
        <f t="array" ref="H52">SUMPRODUCT(H49:H51,$C49:$C51)/SUMPRODUCT(G49:G51,$C49:$C51)*G52</f>
        <v>0.0428869286287089</v>
      </c>
      <c r="I52" s="29" cm="1">
        <f t="array" ref="I52">SUMPRODUCT(I49:I51,$C49:$C51)/SUMPRODUCT(H49:H51,$C49:$C51)*H52</f>
        <v>0.0457191648445478</v>
      </c>
      <c r="J52" s="29" cm="1">
        <f t="array" ref="J52">SUMPRODUCT(J49:J51,$C49:$C51)/SUMPRODUCT(I49:I51,$C49:$C51)*I52</f>
        <v>0.0475311593961502</v>
      </c>
      <c r="K52" s="29" cm="1">
        <f t="array" ref="K52">SUMPRODUCT(K49:K51,$C49:$C51)/SUMPRODUCT(J49:J51,$C49:$C51)*J52</f>
        <v>0.0492450358930591</v>
      </c>
      <c r="L52" s="29" cm="1">
        <f t="array" ref="L52">SUMPRODUCT(L49:L51,$C49:$C51)/SUMPRODUCT(K49:K51,$C49:$C51)*K52</f>
        <v>0.0492450358930591</v>
      </c>
      <c r="M52" s="29" cm="1">
        <f t="array" ref="M52">SUMPRODUCT(M49:M51,$C49:$C51)/SUMPRODUCT(L49:L51,$C49:$C51)*L52</f>
        <v>0.0492450358930591</v>
      </c>
      <c r="N52" s="29" cm="1">
        <f t="array" ref="N52">SUMPRODUCT(N49:N51,$C49:$C51)/SUMPRODUCT(M49:M51,$C49:$C51)*M52</f>
        <v>0.0492450358930591</v>
      </c>
      <c r="O52" s="29" cm="1">
        <f t="array" ref="O52">SUMPRODUCT(O49:O51,$C49:$C51)/SUMPRODUCT(N49:N51,$C49:$C51)*N52</f>
        <v>0.0492450358930591</v>
      </c>
      <c r="P52" s="29" cm="1">
        <f t="array" ref="P52">SUMPRODUCT(P49:P51,$C49:$C51)/SUMPRODUCT(O49:O51,$C49:$C51)*O52</f>
        <v>0.0492450358930591</v>
      </c>
      <c r="Q52" s="29" cm="1">
        <f t="array" ref="Q52">SUMPRODUCT(Q49:Q51,$C49:$C51)/SUMPRODUCT(P49:P51,$C49:$C51)*P52</f>
        <v>0.0492450358930591</v>
      </c>
      <c r="R52" s="32">
        <f t="shared" si="34"/>
        <v>0.176400128572152</v>
      </c>
      <c r="S52" s="32">
        <f t="shared" si="35"/>
        <v>0.174428556671848</v>
      </c>
      <c r="T52" s="32">
        <f t="shared" si="36"/>
        <v>-0.00197157190030392</v>
      </c>
    </row>
    <row r="53" spans="2:20">
      <c r="B53" s="23">
        <v>45992</v>
      </c>
      <c r="C53" s="24">
        <v>1000</v>
      </c>
      <c r="D53" s="25">
        <v>5.7</v>
      </c>
      <c r="E53" s="26">
        <v>0</v>
      </c>
      <c r="F53" s="27">
        <v>0.0382</v>
      </c>
      <c r="G53" s="29" cm="1">
        <f t="array" ref="G53">SUMPRODUCT(G50:G52,$C50:$C52)/SUMPRODUCT(F50:F52,$C50:$C52)*F53</f>
        <v>0.0412505767524401</v>
      </c>
      <c r="H53" s="29" cm="1">
        <f t="array" ref="H53">SUMPRODUCT(H50:H52,$C50:$C52)/SUMPRODUCT(G50:G52,$C50:$C52)*G53</f>
        <v>0.0442628276274772</v>
      </c>
      <c r="I53" s="29" cm="1">
        <f t="array" ref="I53">SUMPRODUCT(I50:I52,$C50:$C52)/SUMPRODUCT(H50:H52,$C50:$C52)*H53</f>
        <v>0.0471987476455338</v>
      </c>
      <c r="J53" s="29" cm="1">
        <f t="array" ref="J53">SUMPRODUCT(J50:J52,$C50:$C52)/SUMPRODUCT(I50:I52,$C50:$C52)*I53</f>
        <v>0.049049731718557</v>
      </c>
      <c r="K53" s="29" cm="1">
        <f t="array" ref="K53">SUMPRODUCT(K50:K52,$C50:$C52)/SUMPRODUCT(J50:J52,$C50:$C52)*J53</f>
        <v>0.0508243057376829</v>
      </c>
      <c r="L53" s="29" cm="1">
        <f t="array" ref="L53">SUMPRODUCT(L50:L52,$C50:$C52)/SUMPRODUCT(K50:K52,$C50:$C52)*K53</f>
        <v>0.0508243057376829</v>
      </c>
      <c r="M53" s="29" cm="1">
        <f t="array" ref="M53">SUMPRODUCT(M50:M52,$C50:$C52)/SUMPRODUCT(L50:L52,$C50:$C52)*L53</f>
        <v>0.0508243057376829</v>
      </c>
      <c r="N53" s="29" cm="1">
        <f t="array" ref="N53">SUMPRODUCT(N50:N52,$C50:$C52)/SUMPRODUCT(M50:M52,$C50:$C52)*M53</f>
        <v>0.0508243057376829</v>
      </c>
      <c r="O53" s="29" cm="1">
        <f t="array" ref="O53">SUMPRODUCT(O50:O52,$C50:$C52)/SUMPRODUCT(N50:N52,$C50:$C52)*N53</f>
        <v>0.0508243057376829</v>
      </c>
      <c r="P53" s="29" cm="1">
        <f t="array" ref="P53">SUMPRODUCT(P50:P52,$C50:$C52)/SUMPRODUCT(O50:O52,$C50:$C52)*O53</f>
        <v>0.0508243057376829</v>
      </c>
      <c r="Q53" s="29" cm="1">
        <f t="array" ref="Q53">SUMPRODUCT(Q50:Q52,$C50:$C52)/SUMPRODUCT(P50:P52,$C50:$C52)*P53</f>
        <v>0.0508243057376829</v>
      </c>
      <c r="R53" s="32">
        <f t="shared" si="34"/>
        <v>0.182057214582745</v>
      </c>
      <c r="S53" s="32">
        <f t="shared" si="35"/>
        <v>0.17995912937613</v>
      </c>
      <c r="T53" s="32">
        <f t="shared" si="36"/>
        <v>-0.00209808520661484</v>
      </c>
    </row>
    <row r="54" spans="2:20">
      <c r="B54" s="1" t="s">
        <v>46</v>
      </c>
    </row>
  </sheetData>
  <mergeCells count="4">
    <mergeCell ref="A1:G1"/>
    <mergeCell ref="A2:H2"/>
    <mergeCell ref="A21:H21"/>
    <mergeCell ref="A39:H39"/>
  </mergeCells>
  <conditionalFormatting sqref="G7:G1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{64bf3ed6-c7b7-4d99-a729-5ebef2a89d73}</x14:id>
        </ext>
      </extLst>
    </cfRule>
  </conditionalFormatting>
  <conditionalFormatting sqref="G23:G3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{83e43c08-92fc-424e-9e37-1227e319ef0f}</x14:id>
        </ext>
      </extLst>
    </cfRule>
  </conditionalFormatting>
  <conditionalFormatting sqref="G42:G5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{1ac1a1b7-0d10-465c-9c56-ee55c9e2adf9}</x14:id>
        </ext>
      </extLst>
    </cfRule>
  </conditionalFormatting>
  <conditionalFormatting sqref="K23:K34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{8419c3ac-36bd-4630-aff9-34d68505e454}</x14:id>
        </ext>
      </extLst>
    </cfRule>
  </conditionalFormatting>
  <conditionalFormatting sqref="K42:K5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{d5a6626e-7746-4c4e-8d1b-4ac043b2acbf}</x14:id>
        </ext>
      </extLst>
    </cfRule>
  </conditionalFormatting>
  <conditionalFormatting sqref="Q23:Q3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{eae82a61-5570-42f4-b87b-f51b88cf857f}</x14:id>
        </ext>
      </extLst>
    </cfRule>
  </conditionalFormatting>
  <conditionalFormatting sqref="Q42:Q5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{5a3e0f3d-7f4d-4436-aaf8-ccc3b5b36161}</x14:id>
        </ext>
      </extLst>
    </cfRule>
  </conditionalFormatting>
  <conditionalFormatting sqref="T42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bf3ed6-c7b7-4d99-a729-5ebef2a89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G7:G17</xm:sqref>
        </x14:conditionalFormatting>
        <x14:conditionalFormatting xmlns:xm="http://schemas.microsoft.com/office/excel/2006/main">
          <x14:cfRule type="dataBar" id="{83e43c08-92fc-424e-9e37-1227e319ef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G23:G33</xm:sqref>
        </x14:conditionalFormatting>
        <x14:conditionalFormatting xmlns:xm="http://schemas.microsoft.com/office/excel/2006/main">
          <x14:cfRule type="dataBar" id="{1ac1a1b7-0d10-465c-9c56-ee55c9e2ad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G42:G52</xm:sqref>
        </x14:conditionalFormatting>
        <x14:conditionalFormatting xmlns:xm="http://schemas.microsoft.com/office/excel/2006/main">
          <x14:cfRule type="dataBar" id="{8419c3ac-36bd-4630-aff9-34d68505e4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K23:K34</xm:sqref>
        </x14:conditionalFormatting>
        <x14:conditionalFormatting xmlns:xm="http://schemas.microsoft.com/office/excel/2006/main">
          <x14:cfRule type="dataBar" id="{d5a6626e-7746-4c4e-8d1b-4ac043b2acb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K42:K53</xm:sqref>
        </x14:conditionalFormatting>
        <x14:conditionalFormatting xmlns:xm="http://schemas.microsoft.com/office/excel/2006/main">
          <x14:cfRule type="dataBar" id="{eae82a61-5570-42f4-b87b-f51b88cf8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Q23:Q34</xm:sqref>
        </x14:conditionalFormatting>
        <x14:conditionalFormatting xmlns:xm="http://schemas.microsoft.com/office/excel/2006/main">
          <x14:cfRule type="dataBar" id="{5a3e0f3d-7f4d-4436-aaf8-ccc3b5b361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Q42:Q53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62"/>
  <sheetViews>
    <sheetView zoomScale="85" zoomScaleNormal="85" workbookViewId="0">
      <selection activeCell="D11" sqref="$A1:$XFD1048576"/>
    </sheetView>
  </sheetViews>
  <sheetFormatPr defaultColWidth="9" defaultRowHeight="14"/>
  <cols>
    <col min="1" max="1" width="9" style="1"/>
    <col min="2" max="2" width="11.8181818181818" style="1" customWidth="1"/>
    <col min="3" max="3" width="16.2727272727273" style="1" customWidth="1"/>
    <col min="4" max="4" width="14" style="1"/>
    <col min="5" max="14" width="12.9090909090909" style="1"/>
    <col min="15" max="15" width="9.54545454545454" style="1"/>
    <col min="16" max="18" width="9" style="1"/>
    <col min="19" max="19" width="11.5545454545455" style="1" customWidth="1"/>
    <col min="20" max="20" width="9" style="1"/>
    <col min="21" max="32" width="9.54545454545454" style="1"/>
    <col min="33" max="33" width="9" style="1"/>
    <col min="34" max="34" width="10.9090909090909" style="1" customWidth="1"/>
    <col min="35" max="35" width="9" style="1"/>
    <col min="36" max="46" width="9.54545454545454" style="1"/>
    <col min="47" max="16378" width="9" style="1"/>
    <col min="16379" max="16384" width="9" style="2"/>
  </cols>
  <sheetData>
    <row r="1" ht="20" spans="1:16">
      <c r="A1" s="3" t="s">
        <v>52</v>
      </c>
      <c r="B1" s="4"/>
      <c r="C1" s="4"/>
      <c r="D1" s="4"/>
      <c r="E1" s="4"/>
      <c r="F1" s="4"/>
      <c r="G1" s="4"/>
      <c r="H1" s="4"/>
    </row>
    <row r="2" s="1" customFormat="1"/>
    <row r="3" s="1" customFormat="1" ht="16.5" spans="1:16">
      <c r="A3" s="5" t="s">
        <v>53</v>
      </c>
      <c r="B3" s="2"/>
      <c r="C3" s="2"/>
      <c r="D3" s="2"/>
      <c r="E3" s="2"/>
      <c r="F3" s="2"/>
      <c r="G3" s="2"/>
      <c r="H3" s="2"/>
    </row>
    <row r="4" s="1" customFormat="1" spans="1:16">
      <c r="A4" s="5"/>
      <c r="B4" s="2"/>
      <c r="C4" s="2"/>
      <c r="D4" s="2"/>
      <c r="E4" s="2"/>
      <c r="F4" s="2"/>
      <c r="G4" s="2"/>
      <c r="H4" s="2"/>
    </row>
    <row r="5" s="1" customFormat="1" spans="1:16">
      <c r="A5" s="6" t="s">
        <v>54</v>
      </c>
      <c r="B5" s="7" t="s">
        <v>55</v>
      </c>
    </row>
    <row r="6" s="1" customFormat="1" spans="1:16">
      <c r="B6" s="1" t="s">
        <v>56</v>
      </c>
      <c r="C6" s="1" t="s">
        <v>57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</row>
    <row r="7" s="1" customFormat="1" spans="1:16">
      <c r="B7" s="8">
        <v>45658</v>
      </c>
      <c r="C7" s="9">
        <v>900</v>
      </c>
      <c r="D7" s="10">
        <v>-0.02</v>
      </c>
      <c r="E7" s="11">
        <v>0.03</v>
      </c>
      <c r="F7" s="11">
        <v>0.03</v>
      </c>
      <c r="G7" s="11">
        <v>0.03</v>
      </c>
      <c r="H7" s="11">
        <v>0.03</v>
      </c>
      <c r="I7" s="11">
        <v>0.03</v>
      </c>
      <c r="J7" s="11">
        <v>0.03</v>
      </c>
      <c r="K7" s="11">
        <v>0.03</v>
      </c>
      <c r="L7" s="11">
        <v>0.03</v>
      </c>
      <c r="M7" s="11">
        <v>0.03</v>
      </c>
      <c r="N7" s="11">
        <v>0.03</v>
      </c>
      <c r="O7" s="11">
        <v>0.03</v>
      </c>
      <c r="P7" s="11"/>
    </row>
    <row r="8" s="1" customFormat="1" spans="1:16">
      <c r="B8" s="8">
        <v>45689</v>
      </c>
      <c r="C8" s="9">
        <f t="shared" ref="C8:C18" si="0">C7+300</f>
        <v>1200</v>
      </c>
      <c r="D8" s="10">
        <v>-0.02</v>
      </c>
      <c r="E8" s="11">
        <v>0.03</v>
      </c>
      <c r="F8" s="11">
        <v>0.03</v>
      </c>
      <c r="G8" s="11">
        <v>0.03</v>
      </c>
      <c r="H8" s="11">
        <v>0.03</v>
      </c>
      <c r="I8" s="11">
        <v>0.03</v>
      </c>
      <c r="J8" s="11">
        <v>0.03</v>
      </c>
      <c r="K8" s="11">
        <v>0.03</v>
      </c>
      <c r="L8" s="11">
        <v>0.03</v>
      </c>
      <c r="M8" s="11">
        <v>0.03</v>
      </c>
      <c r="N8" s="11">
        <v>0.03</v>
      </c>
      <c r="O8" s="11"/>
      <c r="P8" s="11"/>
    </row>
    <row r="9" s="1" customFormat="1" spans="1:16">
      <c r="B9" s="8">
        <v>45717</v>
      </c>
      <c r="C9" s="9">
        <f t="shared" si="0"/>
        <v>1500</v>
      </c>
      <c r="D9" s="10">
        <v>-0.02</v>
      </c>
      <c r="E9" s="11">
        <v>0.03</v>
      </c>
      <c r="F9" s="11">
        <v>0.03</v>
      </c>
      <c r="G9" s="11">
        <v>0.03</v>
      </c>
      <c r="H9" s="11">
        <v>0.03</v>
      </c>
      <c r="I9" s="11">
        <v>0.03</v>
      </c>
      <c r="J9" s="11">
        <v>0.03</v>
      </c>
      <c r="K9" s="11">
        <v>0.03</v>
      </c>
      <c r="L9" s="11">
        <v>0.03</v>
      </c>
      <c r="M9" s="11">
        <v>0.03</v>
      </c>
      <c r="N9" s="11"/>
      <c r="O9" s="11"/>
      <c r="P9" s="11"/>
    </row>
    <row r="10" s="1" customFormat="1" spans="1:16">
      <c r="B10" s="8">
        <v>45748</v>
      </c>
      <c r="C10" s="9">
        <f t="shared" si="0"/>
        <v>1800</v>
      </c>
      <c r="D10" s="10">
        <v>-0.02</v>
      </c>
      <c r="E10" s="11">
        <v>0.03</v>
      </c>
      <c r="F10" s="11">
        <v>0.03</v>
      </c>
      <c r="G10" s="11">
        <v>0.03</v>
      </c>
      <c r="H10" s="11">
        <v>0.03</v>
      </c>
      <c r="I10" s="11">
        <v>0.03</v>
      </c>
      <c r="J10" s="11">
        <v>0.03</v>
      </c>
      <c r="K10" s="11">
        <v>0.03</v>
      </c>
      <c r="L10" s="11">
        <v>0.03</v>
      </c>
      <c r="M10" s="11"/>
      <c r="N10" s="11"/>
      <c r="O10" s="11"/>
      <c r="P10" s="11"/>
    </row>
    <row r="11" s="1" customFormat="1" spans="1:16">
      <c r="B11" s="8">
        <v>45778</v>
      </c>
      <c r="C11" s="9">
        <f t="shared" si="0"/>
        <v>2100</v>
      </c>
      <c r="D11" s="10">
        <v>-0.02</v>
      </c>
      <c r="E11" s="11">
        <v>0.03</v>
      </c>
      <c r="F11" s="11">
        <v>0.03</v>
      </c>
      <c r="G11" s="11">
        <v>0.03</v>
      </c>
      <c r="H11" s="11">
        <v>0.03</v>
      </c>
      <c r="I11" s="11">
        <v>0.03</v>
      </c>
      <c r="J11" s="11">
        <v>0.03</v>
      </c>
      <c r="K11" s="11">
        <v>0.03</v>
      </c>
      <c r="L11" s="11"/>
      <c r="M11" s="11"/>
      <c r="N11" s="11"/>
      <c r="O11" s="11"/>
      <c r="P11" s="11"/>
    </row>
    <row r="12" s="1" customFormat="1" spans="1:16">
      <c r="B12" s="8">
        <v>45809</v>
      </c>
      <c r="C12" s="9">
        <f t="shared" si="0"/>
        <v>2400</v>
      </c>
      <c r="D12" s="10">
        <v>-0.02</v>
      </c>
      <c r="E12" s="11">
        <v>0.03</v>
      </c>
      <c r="F12" s="11">
        <v>0.03</v>
      </c>
      <c r="G12" s="11">
        <v>0.03</v>
      </c>
      <c r="H12" s="11">
        <v>0.03</v>
      </c>
      <c r="I12" s="11">
        <v>0.03</v>
      </c>
      <c r="J12" s="11">
        <v>0.03</v>
      </c>
      <c r="K12" s="11"/>
      <c r="L12" s="11"/>
      <c r="M12" s="11"/>
      <c r="N12" s="11"/>
      <c r="O12" s="11"/>
      <c r="P12" s="11"/>
    </row>
    <row r="13" s="1" customFormat="1" spans="1:16">
      <c r="B13" s="8">
        <v>45839</v>
      </c>
      <c r="C13" s="9">
        <f t="shared" si="0"/>
        <v>2700</v>
      </c>
      <c r="D13" s="10">
        <v>-0.02</v>
      </c>
      <c r="E13" s="11">
        <v>0.03</v>
      </c>
      <c r="F13" s="11">
        <v>0.03</v>
      </c>
      <c r="G13" s="11">
        <v>0.03</v>
      </c>
      <c r="H13" s="11">
        <v>0.03</v>
      </c>
      <c r="I13" s="11">
        <v>0.03</v>
      </c>
      <c r="J13" s="11"/>
      <c r="K13" s="11"/>
      <c r="L13" s="11"/>
      <c r="M13" s="11"/>
      <c r="N13" s="11"/>
      <c r="O13" s="11"/>
      <c r="P13" s="11"/>
    </row>
    <row r="14" s="1" customFormat="1" spans="1:16">
      <c r="B14" s="8">
        <v>45870</v>
      </c>
      <c r="C14" s="9">
        <f t="shared" si="0"/>
        <v>3000</v>
      </c>
      <c r="D14" s="10">
        <v>-0.02</v>
      </c>
      <c r="E14" s="11">
        <v>0.03</v>
      </c>
      <c r="F14" s="11">
        <v>0.03</v>
      </c>
      <c r="G14" s="11">
        <v>0.03</v>
      </c>
      <c r="H14" s="11">
        <v>0.03</v>
      </c>
      <c r="I14" s="11"/>
      <c r="J14" s="11"/>
      <c r="K14" s="11"/>
      <c r="L14" s="11"/>
      <c r="M14" s="11"/>
      <c r="N14" s="11"/>
      <c r="O14" s="11"/>
      <c r="P14" s="11"/>
    </row>
    <row r="15" s="1" customFormat="1" spans="1:16">
      <c r="B15" s="8">
        <v>45901</v>
      </c>
      <c r="C15" s="9">
        <f t="shared" si="0"/>
        <v>3300</v>
      </c>
      <c r="D15" s="10">
        <v>-0.02</v>
      </c>
      <c r="E15" s="11">
        <v>0.03</v>
      </c>
      <c r="F15" s="11">
        <v>0.03</v>
      </c>
      <c r="G15" s="11">
        <v>0.03</v>
      </c>
      <c r="H15" s="11"/>
      <c r="I15" s="11"/>
      <c r="J15" s="11"/>
      <c r="K15" s="11"/>
      <c r="L15" s="11"/>
      <c r="M15" s="11"/>
      <c r="N15" s="11"/>
      <c r="O15" s="11"/>
      <c r="P15" s="11"/>
    </row>
    <row r="16" s="1" customFormat="1" spans="1:16">
      <c r="B16" s="8">
        <v>45931</v>
      </c>
      <c r="C16" s="9">
        <f t="shared" si="0"/>
        <v>3600</v>
      </c>
      <c r="D16" s="10">
        <v>-0.02</v>
      </c>
      <c r="E16" s="11">
        <v>0.03</v>
      </c>
      <c r="F16" s="11">
        <v>0.03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="1" customFormat="1" spans="1:47">
      <c r="B17" s="8">
        <v>45962</v>
      </c>
      <c r="C17" s="9">
        <f t="shared" si="0"/>
        <v>3900</v>
      </c>
      <c r="D17" s="10">
        <v>-0.02</v>
      </c>
      <c r="E17" s="11">
        <v>0.03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="1" customFormat="1" spans="1:47">
      <c r="B18" s="8">
        <v>45992</v>
      </c>
      <c r="C18" s="9">
        <f t="shared" si="0"/>
        <v>4200</v>
      </c>
      <c r="D18" s="10">
        <v>-0.02</v>
      </c>
      <c r="E18" s="11"/>
    </row>
    <row r="19" s="1" customFormat="1"/>
    <row r="20" s="1" customFormat="1" spans="1:47">
      <c r="A20" s="6" t="s">
        <v>58</v>
      </c>
      <c r="B20" s="7" t="s">
        <v>59</v>
      </c>
      <c r="S20" s="12" t="s">
        <v>60</v>
      </c>
      <c r="AH20" s="12" t="s">
        <v>61</v>
      </c>
    </row>
    <row r="21" s="1" customFormat="1" spans="1:47">
      <c r="B21" s="1" t="s">
        <v>56</v>
      </c>
      <c r="C21" s="1" t="s">
        <v>57</v>
      </c>
      <c r="D21" s="1" t="s">
        <v>31</v>
      </c>
      <c r="E21" s="1" t="s">
        <v>32</v>
      </c>
      <c r="F21" s="1" t="s">
        <v>33</v>
      </c>
      <c r="G21" s="1" t="s">
        <v>34</v>
      </c>
      <c r="H21" s="1" t="s">
        <v>35</v>
      </c>
      <c r="I21" s="1" t="s">
        <v>36</v>
      </c>
      <c r="J21" s="1" t="s">
        <v>37</v>
      </c>
      <c r="K21" s="1" t="s">
        <v>38</v>
      </c>
      <c r="L21" s="1" t="s">
        <v>39</v>
      </c>
      <c r="M21" s="1" t="s">
        <v>40</v>
      </c>
      <c r="N21" s="1" t="s">
        <v>41</v>
      </c>
      <c r="O21" s="1" t="s">
        <v>42</v>
      </c>
      <c r="S21" s="1" t="s">
        <v>56</v>
      </c>
      <c r="T21" s="1" t="s">
        <v>57</v>
      </c>
      <c r="U21" s="1" t="s">
        <v>31</v>
      </c>
      <c r="V21" s="1" t="s">
        <v>32</v>
      </c>
      <c r="W21" s="1" t="s">
        <v>33</v>
      </c>
      <c r="X21" s="1" t="s">
        <v>34</v>
      </c>
      <c r="Y21" s="1" t="s">
        <v>35</v>
      </c>
      <c r="Z21" s="1" t="s">
        <v>36</v>
      </c>
      <c r="AA21" s="1" t="s">
        <v>37</v>
      </c>
      <c r="AB21" s="1" t="s">
        <v>38</v>
      </c>
      <c r="AC21" s="1" t="s">
        <v>39</v>
      </c>
      <c r="AD21" s="1" t="s">
        <v>40</v>
      </c>
      <c r="AE21" s="1" t="s">
        <v>41</v>
      </c>
      <c r="AF21" s="1" t="s">
        <v>42</v>
      </c>
      <c r="AH21" s="1" t="s">
        <v>56</v>
      </c>
      <c r="AI21" s="1" t="s">
        <v>57</v>
      </c>
      <c r="AJ21" s="1" t="s">
        <v>31</v>
      </c>
      <c r="AK21" s="1" t="s">
        <v>32</v>
      </c>
      <c r="AL21" s="1" t="s">
        <v>33</v>
      </c>
      <c r="AM21" s="1" t="s">
        <v>34</v>
      </c>
      <c r="AN21" s="1" t="s">
        <v>35</v>
      </c>
      <c r="AO21" s="1" t="s">
        <v>36</v>
      </c>
      <c r="AP21" s="1" t="s">
        <v>37</v>
      </c>
      <c r="AQ21" s="1" t="s">
        <v>38</v>
      </c>
      <c r="AR21" s="1" t="s">
        <v>39</v>
      </c>
      <c r="AS21" s="1" t="s">
        <v>40</v>
      </c>
      <c r="AT21" s="1" t="s">
        <v>41</v>
      </c>
      <c r="AU21" s="1" t="s">
        <v>42</v>
      </c>
    </row>
    <row r="22" s="1" customFormat="1" spans="1:47">
      <c r="B22" s="8">
        <v>45658</v>
      </c>
      <c r="C22" s="9">
        <v>900</v>
      </c>
      <c r="D22" s="9">
        <f t="shared" ref="D22:O22" si="1">U22*AJ22</f>
        <v>10000</v>
      </c>
      <c r="E22" s="9">
        <f t="shared" si="1"/>
        <v>9999.99999999999</v>
      </c>
      <c r="F22" s="9">
        <f t="shared" si="1"/>
        <v>10000</v>
      </c>
      <c r="G22" s="9">
        <f t="shared" si="1"/>
        <v>9999.99999999999</v>
      </c>
      <c r="H22" s="9">
        <f t="shared" si="1"/>
        <v>10000</v>
      </c>
      <c r="I22" s="9">
        <f t="shared" si="1"/>
        <v>9999.99999999999</v>
      </c>
      <c r="J22" s="9">
        <f t="shared" si="1"/>
        <v>10000</v>
      </c>
      <c r="K22" s="9">
        <f t="shared" si="1"/>
        <v>10000</v>
      </c>
      <c r="L22" s="9">
        <f t="shared" si="1"/>
        <v>10000</v>
      </c>
      <c r="M22" s="9">
        <f t="shared" si="1"/>
        <v>9999.99999999999</v>
      </c>
      <c r="N22" s="9">
        <f t="shared" si="1"/>
        <v>10000</v>
      </c>
      <c r="O22" s="9">
        <f t="shared" si="1"/>
        <v>10000</v>
      </c>
      <c r="S22" s="8">
        <v>45658</v>
      </c>
      <c r="T22" s="9"/>
      <c r="U22" s="9">
        <v>20000</v>
      </c>
      <c r="V22" s="9">
        <v>20500</v>
      </c>
      <c r="W22" s="9">
        <v>21000</v>
      </c>
      <c r="X22" s="9">
        <v>21500</v>
      </c>
      <c r="Y22" s="9">
        <v>22000</v>
      </c>
      <c r="Z22" s="9">
        <v>22500</v>
      </c>
      <c r="AA22" s="9">
        <v>23000</v>
      </c>
      <c r="AB22" s="9">
        <v>23500</v>
      </c>
      <c r="AC22" s="9">
        <v>24000</v>
      </c>
      <c r="AD22" s="9">
        <v>24500</v>
      </c>
      <c r="AE22" s="9">
        <v>25000</v>
      </c>
      <c r="AF22" s="9">
        <v>25500</v>
      </c>
      <c r="AH22" s="8">
        <v>45658</v>
      </c>
      <c r="AI22" s="9"/>
      <c r="AJ22" s="13">
        <v>0.5</v>
      </c>
      <c r="AK22" s="13">
        <v>0.48780487804878</v>
      </c>
      <c r="AL22" s="13">
        <v>0.476190476190476</v>
      </c>
      <c r="AM22" s="13">
        <v>0.465116279069767</v>
      </c>
      <c r="AN22" s="13">
        <v>0.454545454545455</v>
      </c>
      <c r="AO22" s="13">
        <v>0.444444444444444</v>
      </c>
      <c r="AP22" s="13">
        <v>0.434782608695652</v>
      </c>
      <c r="AQ22" s="13">
        <v>0.425531914893617</v>
      </c>
      <c r="AR22" s="13">
        <v>0.416666666666667</v>
      </c>
      <c r="AS22" s="13">
        <v>0.408163265306122</v>
      </c>
      <c r="AT22" s="13">
        <v>0.4</v>
      </c>
      <c r="AU22" s="13">
        <v>0.392156862745098</v>
      </c>
    </row>
    <row r="23" s="1" customFormat="1" spans="1:47">
      <c r="B23" s="8">
        <v>45689</v>
      </c>
      <c r="C23" s="9">
        <f t="shared" ref="C23:C33" si="2">C22+300</f>
        <v>1200</v>
      </c>
      <c r="D23" s="9">
        <f t="shared" ref="D23:N23" si="3">U23*AJ23</f>
        <v>10000</v>
      </c>
      <c r="E23" s="9">
        <f t="shared" si="3"/>
        <v>9999.99999999999</v>
      </c>
      <c r="F23" s="9">
        <f t="shared" si="3"/>
        <v>10000</v>
      </c>
      <c r="G23" s="9">
        <f t="shared" si="3"/>
        <v>9999.99999999999</v>
      </c>
      <c r="H23" s="9">
        <f t="shared" si="3"/>
        <v>10000</v>
      </c>
      <c r="I23" s="9">
        <f t="shared" si="3"/>
        <v>9999.99999999999</v>
      </c>
      <c r="J23" s="9">
        <f t="shared" si="3"/>
        <v>10000</v>
      </c>
      <c r="K23" s="9">
        <f t="shared" si="3"/>
        <v>10000</v>
      </c>
      <c r="L23" s="9">
        <f t="shared" si="3"/>
        <v>10000</v>
      </c>
      <c r="M23" s="9">
        <f t="shared" si="3"/>
        <v>9999.99999999999</v>
      </c>
      <c r="N23" s="9">
        <f t="shared" si="3"/>
        <v>10000</v>
      </c>
      <c r="O23" s="9"/>
      <c r="S23" s="8">
        <v>45689</v>
      </c>
      <c r="T23" s="9"/>
      <c r="U23" s="9">
        <v>20000</v>
      </c>
      <c r="V23" s="9">
        <v>20500</v>
      </c>
      <c r="W23" s="9">
        <v>21000</v>
      </c>
      <c r="X23" s="9">
        <v>21500</v>
      </c>
      <c r="Y23" s="9">
        <v>22000</v>
      </c>
      <c r="Z23" s="9">
        <v>22500</v>
      </c>
      <c r="AA23" s="9">
        <v>23000</v>
      </c>
      <c r="AB23" s="9">
        <v>23500</v>
      </c>
      <c r="AC23" s="9">
        <v>24000</v>
      </c>
      <c r="AD23" s="9">
        <v>24500</v>
      </c>
      <c r="AE23" s="9">
        <v>25000</v>
      </c>
      <c r="AF23" s="9"/>
      <c r="AH23" s="8">
        <v>45689</v>
      </c>
      <c r="AI23" s="9"/>
      <c r="AJ23" s="13">
        <v>0.5</v>
      </c>
      <c r="AK23" s="13">
        <v>0.48780487804878</v>
      </c>
      <c r="AL23" s="13">
        <v>0.476190476190476</v>
      </c>
      <c r="AM23" s="13">
        <v>0.465116279069767</v>
      </c>
      <c r="AN23" s="13">
        <v>0.454545454545455</v>
      </c>
      <c r="AO23" s="13">
        <v>0.444444444444444</v>
      </c>
      <c r="AP23" s="13">
        <v>0.434782608695652</v>
      </c>
      <c r="AQ23" s="13">
        <v>0.425531914893617</v>
      </c>
      <c r="AR23" s="13">
        <v>0.416666666666667</v>
      </c>
      <c r="AS23" s="13">
        <v>0.408163265306122</v>
      </c>
      <c r="AT23" s="13">
        <v>0.4</v>
      </c>
      <c r="AU23" s="13"/>
    </row>
    <row r="24" s="1" customFormat="1" spans="1:47">
      <c r="B24" s="8">
        <v>45717</v>
      </c>
      <c r="C24" s="9">
        <f t="shared" si="2"/>
        <v>1500</v>
      </c>
      <c r="D24" s="9">
        <f t="shared" ref="D24:M24" si="4">U24*AJ24</f>
        <v>10000</v>
      </c>
      <c r="E24" s="9">
        <f t="shared" si="4"/>
        <v>9999.99999999999</v>
      </c>
      <c r="F24" s="9">
        <f t="shared" si="4"/>
        <v>10000</v>
      </c>
      <c r="G24" s="9">
        <f t="shared" si="4"/>
        <v>9999.99999999999</v>
      </c>
      <c r="H24" s="9">
        <f t="shared" si="4"/>
        <v>10000</v>
      </c>
      <c r="I24" s="9">
        <f t="shared" si="4"/>
        <v>9999.99999999999</v>
      </c>
      <c r="J24" s="9">
        <f t="shared" si="4"/>
        <v>10000</v>
      </c>
      <c r="K24" s="9">
        <f t="shared" si="4"/>
        <v>10000</v>
      </c>
      <c r="L24" s="9">
        <f t="shared" si="4"/>
        <v>10000</v>
      </c>
      <c r="M24" s="9">
        <f t="shared" si="4"/>
        <v>9999.99999999999</v>
      </c>
      <c r="N24" s="9"/>
      <c r="O24" s="9"/>
      <c r="S24" s="8">
        <v>45717</v>
      </c>
      <c r="T24" s="9"/>
      <c r="U24" s="9">
        <v>20000</v>
      </c>
      <c r="V24" s="9">
        <v>20500</v>
      </c>
      <c r="W24" s="9">
        <v>21000</v>
      </c>
      <c r="X24" s="9">
        <v>21500</v>
      </c>
      <c r="Y24" s="9">
        <v>22000</v>
      </c>
      <c r="Z24" s="9">
        <v>22500</v>
      </c>
      <c r="AA24" s="9">
        <v>23000</v>
      </c>
      <c r="AB24" s="9">
        <v>23500</v>
      </c>
      <c r="AC24" s="9">
        <v>24000</v>
      </c>
      <c r="AD24" s="9">
        <v>24500</v>
      </c>
      <c r="AE24" s="9"/>
      <c r="AF24" s="9"/>
      <c r="AH24" s="8">
        <v>45717</v>
      </c>
      <c r="AI24" s="9"/>
      <c r="AJ24" s="13">
        <v>0.5</v>
      </c>
      <c r="AK24" s="13">
        <v>0.48780487804878</v>
      </c>
      <c r="AL24" s="13">
        <v>0.476190476190476</v>
      </c>
      <c r="AM24" s="13">
        <v>0.465116279069767</v>
      </c>
      <c r="AN24" s="13">
        <v>0.454545454545455</v>
      </c>
      <c r="AO24" s="13">
        <v>0.444444444444444</v>
      </c>
      <c r="AP24" s="13">
        <v>0.434782608695652</v>
      </c>
      <c r="AQ24" s="13">
        <v>0.425531914893617</v>
      </c>
      <c r="AR24" s="13">
        <v>0.416666666666667</v>
      </c>
      <c r="AS24" s="13">
        <v>0.408163265306122</v>
      </c>
      <c r="AT24" s="13"/>
      <c r="AU24" s="13"/>
    </row>
    <row r="25" s="1" customFormat="1" spans="1:47">
      <c r="B25" s="8">
        <v>45748</v>
      </c>
      <c r="C25" s="9">
        <f t="shared" si="2"/>
        <v>1800</v>
      </c>
      <c r="D25" s="9">
        <f t="shared" ref="D25:L25" si="5">U25*AJ25</f>
        <v>10000</v>
      </c>
      <c r="E25" s="9">
        <f t="shared" si="5"/>
        <v>9999.99999999999</v>
      </c>
      <c r="F25" s="9">
        <f t="shared" si="5"/>
        <v>10000</v>
      </c>
      <c r="G25" s="9">
        <f t="shared" si="5"/>
        <v>9999.99999999999</v>
      </c>
      <c r="H25" s="9">
        <f t="shared" si="5"/>
        <v>10000</v>
      </c>
      <c r="I25" s="9">
        <f t="shared" si="5"/>
        <v>9999.99999999999</v>
      </c>
      <c r="J25" s="9">
        <f t="shared" si="5"/>
        <v>10000</v>
      </c>
      <c r="K25" s="9">
        <f t="shared" si="5"/>
        <v>10000</v>
      </c>
      <c r="L25" s="9">
        <f t="shared" si="5"/>
        <v>10000</v>
      </c>
      <c r="M25" s="9"/>
      <c r="N25" s="9"/>
      <c r="O25" s="9"/>
      <c r="S25" s="8">
        <v>45748</v>
      </c>
      <c r="T25" s="9"/>
      <c r="U25" s="9">
        <v>20000</v>
      </c>
      <c r="V25" s="9">
        <v>20500</v>
      </c>
      <c r="W25" s="9">
        <v>21000</v>
      </c>
      <c r="X25" s="9">
        <v>21500</v>
      </c>
      <c r="Y25" s="9">
        <v>22000</v>
      </c>
      <c r="Z25" s="9">
        <v>22500</v>
      </c>
      <c r="AA25" s="9">
        <v>23000</v>
      </c>
      <c r="AB25" s="9">
        <v>23500</v>
      </c>
      <c r="AC25" s="9">
        <v>24000</v>
      </c>
      <c r="AD25" s="9"/>
      <c r="AE25" s="9"/>
      <c r="AF25" s="9"/>
      <c r="AH25" s="8">
        <v>45748</v>
      </c>
      <c r="AI25" s="9"/>
      <c r="AJ25" s="13">
        <v>0.5</v>
      </c>
      <c r="AK25" s="13">
        <v>0.48780487804878</v>
      </c>
      <c r="AL25" s="13">
        <v>0.476190476190476</v>
      </c>
      <c r="AM25" s="13">
        <v>0.465116279069767</v>
      </c>
      <c r="AN25" s="13">
        <v>0.454545454545455</v>
      </c>
      <c r="AO25" s="13">
        <v>0.444444444444444</v>
      </c>
      <c r="AP25" s="13">
        <v>0.434782608695652</v>
      </c>
      <c r="AQ25" s="13">
        <v>0.425531914893617</v>
      </c>
      <c r="AR25" s="13">
        <v>0.416666666666667</v>
      </c>
      <c r="AS25" s="13"/>
      <c r="AT25" s="13"/>
      <c r="AU25" s="13"/>
    </row>
    <row r="26" s="1" customFormat="1" spans="1:47">
      <c r="B26" s="8">
        <v>45778</v>
      </c>
      <c r="C26" s="9">
        <f t="shared" si="2"/>
        <v>2100</v>
      </c>
      <c r="D26" s="9">
        <f t="shared" ref="D26:K26" si="6">U26*AJ26</f>
        <v>10000</v>
      </c>
      <c r="E26" s="9">
        <f t="shared" si="6"/>
        <v>9999.99999999999</v>
      </c>
      <c r="F26" s="9">
        <f t="shared" si="6"/>
        <v>10000</v>
      </c>
      <c r="G26" s="9">
        <f t="shared" si="6"/>
        <v>9999.99999999999</v>
      </c>
      <c r="H26" s="9">
        <f t="shared" si="6"/>
        <v>10000</v>
      </c>
      <c r="I26" s="9">
        <f t="shared" si="6"/>
        <v>9999.99999999999</v>
      </c>
      <c r="J26" s="9">
        <f t="shared" si="6"/>
        <v>10000</v>
      </c>
      <c r="K26" s="9">
        <f t="shared" si="6"/>
        <v>10000</v>
      </c>
      <c r="L26" s="9"/>
      <c r="M26" s="9"/>
      <c r="N26" s="9"/>
      <c r="O26" s="9"/>
      <c r="S26" s="8">
        <v>45778</v>
      </c>
      <c r="T26" s="9"/>
      <c r="U26" s="9">
        <v>20000</v>
      </c>
      <c r="V26" s="9">
        <v>20500</v>
      </c>
      <c r="W26" s="9">
        <v>21000</v>
      </c>
      <c r="X26" s="9">
        <v>21500</v>
      </c>
      <c r="Y26" s="9">
        <v>22000</v>
      </c>
      <c r="Z26" s="9">
        <v>22500</v>
      </c>
      <c r="AA26" s="9">
        <v>23000</v>
      </c>
      <c r="AB26" s="9">
        <v>23500</v>
      </c>
      <c r="AC26" s="9"/>
      <c r="AD26" s="9"/>
      <c r="AE26" s="9"/>
      <c r="AF26" s="9"/>
      <c r="AH26" s="8">
        <v>45778</v>
      </c>
      <c r="AI26" s="9"/>
      <c r="AJ26" s="13">
        <v>0.5</v>
      </c>
      <c r="AK26" s="13">
        <v>0.48780487804878</v>
      </c>
      <c r="AL26" s="13">
        <v>0.476190476190476</v>
      </c>
      <c r="AM26" s="13">
        <v>0.465116279069767</v>
      </c>
      <c r="AN26" s="13">
        <v>0.454545454545455</v>
      </c>
      <c r="AO26" s="13">
        <v>0.444444444444444</v>
      </c>
      <c r="AP26" s="13">
        <v>0.434782608695652</v>
      </c>
      <c r="AQ26" s="13">
        <v>0.425531914893617</v>
      </c>
      <c r="AR26" s="13"/>
      <c r="AS26" s="13"/>
      <c r="AT26" s="13"/>
      <c r="AU26" s="13"/>
    </row>
    <row r="27" s="1" customFormat="1" spans="1:47">
      <c r="B27" s="8">
        <v>45809</v>
      </c>
      <c r="C27" s="9">
        <f t="shared" si="2"/>
        <v>2400</v>
      </c>
      <c r="D27" s="9">
        <f t="shared" ref="D27:J27" si="7">U27*AJ27</f>
        <v>10000</v>
      </c>
      <c r="E27" s="9">
        <f t="shared" si="7"/>
        <v>9999.99999999999</v>
      </c>
      <c r="F27" s="9">
        <f t="shared" si="7"/>
        <v>10000</v>
      </c>
      <c r="G27" s="9">
        <f t="shared" si="7"/>
        <v>9999.99999999999</v>
      </c>
      <c r="H27" s="9">
        <f t="shared" si="7"/>
        <v>10000</v>
      </c>
      <c r="I27" s="9">
        <f t="shared" si="7"/>
        <v>9999.99999999999</v>
      </c>
      <c r="J27" s="9">
        <f t="shared" si="7"/>
        <v>10000</v>
      </c>
      <c r="K27" s="9"/>
      <c r="L27" s="9"/>
      <c r="M27" s="9"/>
      <c r="N27" s="9"/>
      <c r="O27" s="9"/>
      <c r="S27" s="8">
        <v>45809</v>
      </c>
      <c r="T27" s="9"/>
      <c r="U27" s="9">
        <v>20000</v>
      </c>
      <c r="V27" s="9">
        <v>20500</v>
      </c>
      <c r="W27" s="9">
        <v>21000</v>
      </c>
      <c r="X27" s="9">
        <v>21500</v>
      </c>
      <c r="Y27" s="9">
        <v>22000</v>
      </c>
      <c r="Z27" s="9">
        <v>22500</v>
      </c>
      <c r="AA27" s="9">
        <v>23000</v>
      </c>
      <c r="AB27" s="9"/>
      <c r="AC27" s="9"/>
      <c r="AD27" s="9"/>
      <c r="AE27" s="9"/>
      <c r="AF27" s="9"/>
      <c r="AH27" s="8">
        <v>45809</v>
      </c>
      <c r="AI27" s="9"/>
      <c r="AJ27" s="13">
        <v>0.5</v>
      </c>
      <c r="AK27" s="13">
        <v>0.48780487804878</v>
      </c>
      <c r="AL27" s="13">
        <v>0.476190476190476</v>
      </c>
      <c r="AM27" s="13">
        <v>0.465116279069767</v>
      </c>
      <c r="AN27" s="13">
        <v>0.454545454545455</v>
      </c>
      <c r="AO27" s="13">
        <v>0.444444444444444</v>
      </c>
      <c r="AP27" s="13">
        <v>0.434782608695652</v>
      </c>
      <c r="AQ27" s="13"/>
      <c r="AR27" s="13"/>
      <c r="AS27" s="13"/>
      <c r="AT27" s="13"/>
      <c r="AU27" s="13"/>
    </row>
    <row r="28" s="1" customFormat="1" spans="1:47">
      <c r="B28" s="8">
        <v>45839</v>
      </c>
      <c r="C28" s="9">
        <f t="shared" si="2"/>
        <v>2700</v>
      </c>
      <c r="D28" s="9">
        <f t="shared" ref="D28:I28" si="8">U28*AJ28</f>
        <v>10000</v>
      </c>
      <c r="E28" s="9">
        <f t="shared" si="8"/>
        <v>9999.99999999999</v>
      </c>
      <c r="F28" s="9">
        <f t="shared" si="8"/>
        <v>10000</v>
      </c>
      <c r="G28" s="9">
        <f t="shared" si="8"/>
        <v>9999.99999999999</v>
      </c>
      <c r="H28" s="9">
        <f t="shared" si="8"/>
        <v>10000</v>
      </c>
      <c r="I28" s="9">
        <f t="shared" si="8"/>
        <v>9999.99999999999</v>
      </c>
      <c r="J28" s="9"/>
      <c r="K28" s="9"/>
      <c r="L28" s="9"/>
      <c r="M28" s="9"/>
      <c r="N28" s="9"/>
      <c r="O28" s="9"/>
      <c r="S28" s="8">
        <v>45839</v>
      </c>
      <c r="T28" s="9"/>
      <c r="U28" s="9">
        <v>20000</v>
      </c>
      <c r="V28" s="9">
        <v>20500</v>
      </c>
      <c r="W28" s="9">
        <v>21000</v>
      </c>
      <c r="X28" s="9">
        <v>21500</v>
      </c>
      <c r="Y28" s="9">
        <v>22000</v>
      </c>
      <c r="Z28" s="9">
        <v>22500</v>
      </c>
      <c r="AA28" s="9"/>
      <c r="AB28" s="9"/>
      <c r="AC28" s="9"/>
      <c r="AD28" s="9"/>
      <c r="AE28" s="9"/>
      <c r="AF28" s="9"/>
      <c r="AH28" s="8">
        <v>45839</v>
      </c>
      <c r="AI28" s="9"/>
      <c r="AJ28" s="13">
        <v>0.5</v>
      </c>
      <c r="AK28" s="13">
        <v>0.48780487804878</v>
      </c>
      <c r="AL28" s="13">
        <v>0.476190476190476</v>
      </c>
      <c r="AM28" s="13">
        <v>0.465116279069767</v>
      </c>
      <c r="AN28" s="13">
        <v>0.454545454545455</v>
      </c>
      <c r="AO28" s="13">
        <v>0.444444444444444</v>
      </c>
      <c r="AP28" s="13"/>
      <c r="AQ28" s="13"/>
      <c r="AR28" s="13"/>
      <c r="AS28" s="13"/>
      <c r="AT28" s="13"/>
      <c r="AU28" s="13"/>
    </row>
    <row r="29" s="1" customFormat="1" spans="1:47">
      <c r="B29" s="8">
        <v>45870</v>
      </c>
      <c r="C29" s="9">
        <f t="shared" si="2"/>
        <v>3000</v>
      </c>
      <c r="D29" s="9">
        <f t="shared" ref="D29:H29" si="9">U29*AJ29</f>
        <v>10000</v>
      </c>
      <c r="E29" s="9">
        <f t="shared" si="9"/>
        <v>9999.99999999999</v>
      </c>
      <c r="F29" s="9">
        <f t="shared" si="9"/>
        <v>10000</v>
      </c>
      <c r="G29" s="9">
        <f t="shared" si="9"/>
        <v>9999.99999999999</v>
      </c>
      <c r="H29" s="9">
        <f t="shared" si="9"/>
        <v>10000</v>
      </c>
      <c r="I29" s="9"/>
      <c r="J29" s="9"/>
      <c r="K29" s="9"/>
      <c r="L29" s="9"/>
      <c r="M29" s="9"/>
      <c r="N29" s="9"/>
      <c r="O29" s="9"/>
      <c r="S29" s="8">
        <v>45870</v>
      </c>
      <c r="T29" s="9"/>
      <c r="U29" s="9">
        <v>20000</v>
      </c>
      <c r="V29" s="9">
        <v>20500</v>
      </c>
      <c r="W29" s="9">
        <v>21000</v>
      </c>
      <c r="X29" s="9">
        <v>21500</v>
      </c>
      <c r="Y29" s="9">
        <v>22000</v>
      </c>
      <c r="Z29" s="9"/>
      <c r="AA29" s="9"/>
      <c r="AB29" s="9"/>
      <c r="AC29" s="9"/>
      <c r="AD29" s="9"/>
      <c r="AE29" s="9"/>
      <c r="AF29" s="9"/>
      <c r="AH29" s="8">
        <v>45870</v>
      </c>
      <c r="AI29" s="9"/>
      <c r="AJ29" s="13">
        <v>0.5</v>
      </c>
      <c r="AK29" s="13">
        <v>0.48780487804878</v>
      </c>
      <c r="AL29" s="13">
        <v>0.476190476190476</v>
      </c>
      <c r="AM29" s="13">
        <v>0.465116279069767</v>
      </c>
      <c r="AN29" s="13">
        <v>0.454545454545455</v>
      </c>
      <c r="AO29" s="13"/>
      <c r="AP29" s="13"/>
      <c r="AQ29" s="13"/>
      <c r="AR29" s="13"/>
      <c r="AS29" s="13"/>
      <c r="AT29" s="13"/>
      <c r="AU29" s="13"/>
    </row>
    <row r="30" s="1" customFormat="1" spans="1:47">
      <c r="B30" s="8">
        <v>45901</v>
      </c>
      <c r="C30" s="9">
        <f t="shared" si="2"/>
        <v>3300</v>
      </c>
      <c r="D30" s="9">
        <f t="shared" ref="D30:G30" si="10">U30*AJ30</f>
        <v>10000</v>
      </c>
      <c r="E30" s="9">
        <f t="shared" si="10"/>
        <v>9999.99999999999</v>
      </c>
      <c r="F30" s="9">
        <f t="shared" si="10"/>
        <v>10000</v>
      </c>
      <c r="G30" s="9">
        <f t="shared" si="10"/>
        <v>9999.99999999999</v>
      </c>
      <c r="H30" s="9"/>
      <c r="I30" s="9"/>
      <c r="J30" s="9"/>
      <c r="K30" s="9"/>
      <c r="L30" s="9"/>
      <c r="M30" s="9"/>
      <c r="N30" s="9"/>
      <c r="O30" s="9"/>
      <c r="S30" s="8">
        <v>45901</v>
      </c>
      <c r="T30" s="9"/>
      <c r="U30" s="9">
        <v>20000</v>
      </c>
      <c r="V30" s="9">
        <v>20500</v>
      </c>
      <c r="W30" s="9">
        <v>21000</v>
      </c>
      <c r="X30" s="9">
        <v>21500</v>
      </c>
      <c r="Y30" s="9"/>
      <c r="Z30" s="9"/>
      <c r="AA30" s="9"/>
      <c r="AB30" s="9"/>
      <c r="AC30" s="9"/>
      <c r="AD30" s="9"/>
      <c r="AE30" s="9"/>
      <c r="AF30" s="9"/>
      <c r="AH30" s="8">
        <v>45901</v>
      </c>
      <c r="AI30" s="9"/>
      <c r="AJ30" s="13">
        <v>0.5</v>
      </c>
      <c r="AK30" s="13">
        <v>0.48780487804878</v>
      </c>
      <c r="AL30" s="13">
        <v>0.476190476190476</v>
      </c>
      <c r="AM30" s="13">
        <v>0.465116279069767</v>
      </c>
      <c r="AN30" s="13"/>
      <c r="AO30" s="13"/>
      <c r="AP30" s="13"/>
      <c r="AQ30" s="13"/>
      <c r="AR30" s="13"/>
      <c r="AS30" s="13"/>
      <c r="AT30" s="13"/>
      <c r="AU30" s="13"/>
    </row>
    <row r="31" s="1" customFormat="1" spans="1:47">
      <c r="B31" s="8">
        <v>45931</v>
      </c>
      <c r="C31" s="9">
        <f t="shared" si="2"/>
        <v>3600</v>
      </c>
      <c r="D31" s="9">
        <f t="shared" ref="D31:F31" si="11">U31*AJ31</f>
        <v>10000</v>
      </c>
      <c r="E31" s="9">
        <f t="shared" si="11"/>
        <v>9999.99999999999</v>
      </c>
      <c r="F31" s="9">
        <f t="shared" si="11"/>
        <v>10000</v>
      </c>
      <c r="G31" s="9"/>
      <c r="H31" s="9"/>
      <c r="I31" s="9"/>
      <c r="J31" s="9"/>
      <c r="K31" s="9"/>
      <c r="L31" s="9"/>
      <c r="M31" s="9"/>
      <c r="N31" s="9"/>
      <c r="O31" s="9"/>
      <c r="S31" s="8">
        <v>45931</v>
      </c>
      <c r="T31" s="9"/>
      <c r="U31" s="9">
        <v>20000</v>
      </c>
      <c r="V31" s="9">
        <v>20500</v>
      </c>
      <c r="W31" s="9">
        <v>21000</v>
      </c>
      <c r="X31" s="9"/>
      <c r="Y31" s="9"/>
      <c r="Z31" s="9"/>
      <c r="AA31" s="9"/>
      <c r="AB31" s="9"/>
      <c r="AC31" s="9"/>
      <c r="AD31" s="9"/>
      <c r="AE31" s="9"/>
      <c r="AF31" s="9"/>
      <c r="AH31" s="8">
        <v>45931</v>
      </c>
      <c r="AI31" s="9"/>
      <c r="AJ31" s="13">
        <v>0.5</v>
      </c>
      <c r="AK31" s="13">
        <v>0.48780487804878</v>
      </c>
      <c r="AL31" s="13">
        <v>0.476190476190476</v>
      </c>
      <c r="AM31" s="13"/>
      <c r="AN31" s="13"/>
      <c r="AO31" s="13"/>
      <c r="AP31" s="13"/>
      <c r="AQ31" s="13"/>
      <c r="AR31" s="13"/>
      <c r="AS31" s="13"/>
      <c r="AT31" s="13"/>
      <c r="AU31" s="13"/>
    </row>
    <row r="32" s="1" customFormat="1" spans="1:47">
      <c r="B32" s="8">
        <v>45962</v>
      </c>
      <c r="C32" s="9">
        <f t="shared" si="2"/>
        <v>3900</v>
      </c>
      <c r="D32" s="9">
        <f>U32*AJ32</f>
        <v>10000</v>
      </c>
      <c r="E32" s="9">
        <f>V32*AK32</f>
        <v>9999.99999999999</v>
      </c>
      <c r="F32" s="9"/>
      <c r="G32" s="9"/>
      <c r="H32" s="9"/>
      <c r="I32" s="9"/>
      <c r="J32" s="9"/>
      <c r="K32" s="9"/>
      <c r="L32" s="9"/>
      <c r="M32" s="9"/>
      <c r="N32" s="9"/>
      <c r="O32" s="9"/>
      <c r="S32" s="8">
        <v>45962</v>
      </c>
      <c r="T32" s="9"/>
      <c r="U32" s="9">
        <v>20000</v>
      </c>
      <c r="V32" s="9">
        <v>20500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H32" s="8">
        <v>45962</v>
      </c>
      <c r="AI32" s="9"/>
      <c r="AJ32" s="13">
        <v>0.5</v>
      </c>
      <c r="AK32" s="13">
        <v>0.48780487804878</v>
      </c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="1" customFormat="1" spans="1:47">
      <c r="B33" s="8">
        <v>45992</v>
      </c>
      <c r="C33" s="9">
        <f t="shared" si="2"/>
        <v>4200</v>
      </c>
      <c r="D33" s="9">
        <f>U33*AJ33</f>
        <v>10000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S33" s="8">
        <v>45992</v>
      </c>
      <c r="T33" s="9"/>
      <c r="U33" s="9">
        <v>20000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H33" s="8">
        <v>45992</v>
      </c>
      <c r="AI33" s="9"/>
      <c r="AJ33" s="13">
        <v>0.5</v>
      </c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="1" customFormat="1"/>
    <row r="35" s="1" customFormat="1" spans="1:47">
      <c r="A35" s="6" t="s">
        <v>62</v>
      </c>
      <c r="B35" s="12" t="s">
        <v>63</v>
      </c>
    </row>
    <row r="36" s="1" customFormat="1" spans="1:47">
      <c r="B36" s="1" t="s">
        <v>56</v>
      </c>
      <c r="C36" s="1" t="s">
        <v>57</v>
      </c>
      <c r="D36" s="1" t="s">
        <v>31</v>
      </c>
      <c r="E36" s="1" t="s">
        <v>32</v>
      </c>
      <c r="F36" s="1" t="s">
        <v>33</v>
      </c>
      <c r="G36" s="1" t="s">
        <v>34</v>
      </c>
      <c r="H36" s="1" t="s">
        <v>35</v>
      </c>
      <c r="I36" s="1" t="s">
        <v>36</v>
      </c>
      <c r="J36" s="1" t="s">
        <v>37</v>
      </c>
      <c r="K36" s="1" t="s">
        <v>38</v>
      </c>
      <c r="L36" s="1" t="s">
        <v>39</v>
      </c>
      <c r="M36" s="1" t="s">
        <v>40</v>
      </c>
      <c r="N36" s="1" t="s">
        <v>41</v>
      </c>
      <c r="O36" s="1" t="s">
        <v>42</v>
      </c>
    </row>
    <row r="37" s="1" customFormat="1" spans="1:47">
      <c r="B37" s="8">
        <v>45658</v>
      </c>
      <c r="C37" s="9">
        <v>900</v>
      </c>
      <c r="D37" s="9">
        <f t="shared" ref="D37:O37" si="12">D22*D7</f>
        <v>-200</v>
      </c>
      <c r="E37" s="9">
        <f t="shared" si="12"/>
        <v>300</v>
      </c>
      <c r="F37" s="9">
        <f t="shared" si="12"/>
        <v>300</v>
      </c>
      <c r="G37" s="9">
        <f t="shared" si="12"/>
        <v>300</v>
      </c>
      <c r="H37" s="9">
        <f t="shared" si="12"/>
        <v>300</v>
      </c>
      <c r="I37" s="9">
        <f t="shared" si="12"/>
        <v>300</v>
      </c>
      <c r="J37" s="9">
        <f t="shared" si="12"/>
        <v>300</v>
      </c>
      <c r="K37" s="9">
        <f t="shared" si="12"/>
        <v>300</v>
      </c>
      <c r="L37" s="9">
        <f t="shared" si="12"/>
        <v>300</v>
      </c>
      <c r="M37" s="9">
        <f t="shared" si="12"/>
        <v>300</v>
      </c>
      <c r="N37" s="9">
        <f t="shared" si="12"/>
        <v>300</v>
      </c>
      <c r="O37" s="9">
        <f t="shared" si="12"/>
        <v>300</v>
      </c>
    </row>
    <row r="38" s="1" customFormat="1" spans="1:47">
      <c r="B38" s="8">
        <v>45689</v>
      </c>
      <c r="C38" s="9">
        <f t="shared" ref="C38:C48" si="13">C37+300</f>
        <v>1200</v>
      </c>
      <c r="D38" s="9">
        <f t="shared" ref="D38:N38" si="14">D23*D8</f>
        <v>-200</v>
      </c>
      <c r="E38" s="9">
        <f t="shared" si="14"/>
        <v>300</v>
      </c>
      <c r="F38" s="9">
        <f t="shared" si="14"/>
        <v>300</v>
      </c>
      <c r="G38" s="9">
        <f t="shared" si="14"/>
        <v>300</v>
      </c>
      <c r="H38" s="9">
        <f t="shared" si="14"/>
        <v>300</v>
      </c>
      <c r="I38" s="9">
        <f t="shared" si="14"/>
        <v>300</v>
      </c>
      <c r="J38" s="9">
        <f t="shared" si="14"/>
        <v>300</v>
      </c>
      <c r="K38" s="9">
        <f t="shared" si="14"/>
        <v>300</v>
      </c>
      <c r="L38" s="9">
        <f t="shared" si="14"/>
        <v>300</v>
      </c>
      <c r="M38" s="9">
        <f t="shared" si="14"/>
        <v>300</v>
      </c>
      <c r="N38" s="9">
        <f t="shared" si="14"/>
        <v>300</v>
      </c>
      <c r="O38" s="9"/>
    </row>
    <row r="39" s="1" customFormat="1" spans="1:47">
      <c r="B39" s="8">
        <v>45717</v>
      </c>
      <c r="C39" s="9">
        <f t="shared" si="13"/>
        <v>1500</v>
      </c>
      <c r="D39" s="9">
        <f t="shared" ref="D39:M39" si="15">D24*D9</f>
        <v>-200</v>
      </c>
      <c r="E39" s="9">
        <f t="shared" si="15"/>
        <v>300</v>
      </c>
      <c r="F39" s="9">
        <f t="shared" si="15"/>
        <v>300</v>
      </c>
      <c r="G39" s="9">
        <f t="shared" si="15"/>
        <v>300</v>
      </c>
      <c r="H39" s="9">
        <f t="shared" si="15"/>
        <v>300</v>
      </c>
      <c r="I39" s="9">
        <f t="shared" si="15"/>
        <v>300</v>
      </c>
      <c r="J39" s="9">
        <f t="shared" si="15"/>
        <v>300</v>
      </c>
      <c r="K39" s="9">
        <f t="shared" si="15"/>
        <v>300</v>
      </c>
      <c r="L39" s="9">
        <f t="shared" si="15"/>
        <v>300</v>
      </c>
      <c r="M39" s="9">
        <f t="shared" si="15"/>
        <v>300</v>
      </c>
      <c r="N39" s="9"/>
      <c r="O39" s="9"/>
    </row>
    <row r="40" s="1" customFormat="1" spans="1:47">
      <c r="B40" s="8">
        <v>45748</v>
      </c>
      <c r="C40" s="9">
        <f t="shared" si="13"/>
        <v>1800</v>
      </c>
      <c r="D40" s="9">
        <f t="shared" ref="D40:L40" si="16">D25*D10</f>
        <v>-200</v>
      </c>
      <c r="E40" s="9">
        <f t="shared" si="16"/>
        <v>300</v>
      </c>
      <c r="F40" s="9">
        <f t="shared" si="16"/>
        <v>300</v>
      </c>
      <c r="G40" s="9">
        <f t="shared" si="16"/>
        <v>300</v>
      </c>
      <c r="H40" s="9">
        <f t="shared" si="16"/>
        <v>300</v>
      </c>
      <c r="I40" s="9">
        <f t="shared" si="16"/>
        <v>300</v>
      </c>
      <c r="J40" s="9">
        <f t="shared" si="16"/>
        <v>300</v>
      </c>
      <c r="K40" s="9">
        <f t="shared" si="16"/>
        <v>300</v>
      </c>
      <c r="L40" s="9">
        <f t="shared" si="16"/>
        <v>300</v>
      </c>
      <c r="M40" s="9"/>
      <c r="N40" s="9"/>
      <c r="O40" s="9"/>
    </row>
    <row r="41" s="1" customFormat="1" spans="1:47">
      <c r="B41" s="8">
        <v>45778</v>
      </c>
      <c r="C41" s="9">
        <f t="shared" si="13"/>
        <v>2100</v>
      </c>
      <c r="D41" s="9">
        <f t="shared" ref="D41:K41" si="17">D26*D11</f>
        <v>-200</v>
      </c>
      <c r="E41" s="9">
        <f t="shared" si="17"/>
        <v>300</v>
      </c>
      <c r="F41" s="9">
        <f t="shared" si="17"/>
        <v>300</v>
      </c>
      <c r="G41" s="9">
        <f t="shared" si="17"/>
        <v>300</v>
      </c>
      <c r="H41" s="9">
        <f t="shared" si="17"/>
        <v>300</v>
      </c>
      <c r="I41" s="9">
        <f t="shared" si="17"/>
        <v>300</v>
      </c>
      <c r="J41" s="9">
        <f t="shared" si="17"/>
        <v>300</v>
      </c>
      <c r="K41" s="9">
        <f t="shared" si="17"/>
        <v>300</v>
      </c>
      <c r="L41" s="9"/>
      <c r="M41" s="9"/>
      <c r="N41" s="9"/>
      <c r="O41" s="9"/>
    </row>
    <row r="42" s="1" customFormat="1" spans="1:47">
      <c r="B42" s="8">
        <v>45809</v>
      </c>
      <c r="C42" s="9">
        <f t="shared" si="13"/>
        <v>2400</v>
      </c>
      <c r="D42" s="9">
        <f t="shared" ref="D42:J42" si="18">D27*D12</f>
        <v>-200</v>
      </c>
      <c r="E42" s="9">
        <f t="shared" si="18"/>
        <v>300</v>
      </c>
      <c r="F42" s="9">
        <f t="shared" si="18"/>
        <v>300</v>
      </c>
      <c r="G42" s="9">
        <f t="shared" si="18"/>
        <v>300</v>
      </c>
      <c r="H42" s="9">
        <f t="shared" si="18"/>
        <v>300</v>
      </c>
      <c r="I42" s="9">
        <f t="shared" si="18"/>
        <v>300</v>
      </c>
      <c r="J42" s="9">
        <f t="shared" si="18"/>
        <v>300</v>
      </c>
      <c r="K42" s="9"/>
      <c r="L42" s="9"/>
      <c r="M42" s="9"/>
      <c r="N42" s="9"/>
      <c r="O42" s="9"/>
    </row>
    <row r="43" s="1" customFormat="1" spans="1:47">
      <c r="B43" s="8">
        <v>45839</v>
      </c>
      <c r="C43" s="9">
        <f t="shared" si="13"/>
        <v>2700</v>
      </c>
      <c r="D43" s="9">
        <f t="shared" ref="D43:I43" si="19">D28*D13</f>
        <v>-200</v>
      </c>
      <c r="E43" s="9">
        <f t="shared" si="19"/>
        <v>300</v>
      </c>
      <c r="F43" s="9">
        <f t="shared" si="19"/>
        <v>300</v>
      </c>
      <c r="G43" s="9">
        <f t="shared" si="19"/>
        <v>300</v>
      </c>
      <c r="H43" s="9">
        <f t="shared" si="19"/>
        <v>300</v>
      </c>
      <c r="I43" s="9">
        <f t="shared" si="19"/>
        <v>300</v>
      </c>
      <c r="J43" s="9"/>
      <c r="K43" s="9"/>
      <c r="L43" s="9"/>
      <c r="M43" s="9"/>
      <c r="N43" s="9"/>
      <c r="O43" s="9"/>
    </row>
    <row r="44" s="1" customFormat="1" spans="1:47">
      <c r="B44" s="8">
        <v>45870</v>
      </c>
      <c r="C44" s="9">
        <f t="shared" si="13"/>
        <v>3000</v>
      </c>
      <c r="D44" s="9">
        <f t="shared" ref="D44:H44" si="20">D29*D14</f>
        <v>-200</v>
      </c>
      <c r="E44" s="9">
        <f t="shared" si="20"/>
        <v>300</v>
      </c>
      <c r="F44" s="9">
        <f t="shared" si="20"/>
        <v>300</v>
      </c>
      <c r="G44" s="9">
        <f t="shared" si="20"/>
        <v>300</v>
      </c>
      <c r="H44" s="9">
        <f t="shared" si="20"/>
        <v>300</v>
      </c>
      <c r="I44" s="9"/>
      <c r="J44" s="9"/>
      <c r="K44" s="9"/>
      <c r="L44" s="9"/>
      <c r="M44" s="9"/>
      <c r="N44" s="9"/>
      <c r="O44" s="9"/>
    </row>
    <row r="45" s="1" customFormat="1" spans="1:47">
      <c r="B45" s="8">
        <v>45901</v>
      </c>
      <c r="C45" s="9">
        <f t="shared" si="13"/>
        <v>3300</v>
      </c>
      <c r="D45" s="9">
        <f t="shared" ref="D45:G45" si="21">D30*D15</f>
        <v>-200</v>
      </c>
      <c r="E45" s="9">
        <f t="shared" si="21"/>
        <v>300</v>
      </c>
      <c r="F45" s="9">
        <f t="shared" si="21"/>
        <v>300</v>
      </c>
      <c r="G45" s="9">
        <f t="shared" si="21"/>
        <v>300</v>
      </c>
      <c r="H45" s="9"/>
      <c r="I45" s="9"/>
      <c r="J45" s="9"/>
      <c r="K45" s="9"/>
      <c r="L45" s="9"/>
      <c r="M45" s="9"/>
      <c r="N45" s="9"/>
      <c r="O45" s="9"/>
    </row>
    <row r="46" s="1" customFormat="1" spans="1:47">
      <c r="B46" s="8">
        <v>45931</v>
      </c>
      <c r="C46" s="9">
        <f t="shared" si="13"/>
        <v>3600</v>
      </c>
      <c r="D46" s="9">
        <f t="shared" ref="D46:F46" si="22">D31*D16</f>
        <v>-200</v>
      </c>
      <c r="E46" s="9">
        <f t="shared" si="22"/>
        <v>300</v>
      </c>
      <c r="F46" s="9">
        <f t="shared" si="22"/>
        <v>300</v>
      </c>
      <c r="G46" s="9"/>
      <c r="H46" s="9"/>
      <c r="I46" s="9"/>
      <c r="J46" s="9"/>
      <c r="K46" s="9"/>
      <c r="L46" s="9"/>
      <c r="M46" s="9"/>
      <c r="N46" s="9"/>
      <c r="O46" s="9"/>
    </row>
    <row r="47" s="1" customFormat="1" spans="1:47">
      <c r="B47" s="8">
        <v>45962</v>
      </c>
      <c r="C47" s="9">
        <f t="shared" si="13"/>
        <v>3900</v>
      </c>
      <c r="D47" s="9">
        <f>D32*D17</f>
        <v>-200</v>
      </c>
      <c r="E47" s="9">
        <f>E32*E17</f>
        <v>300</v>
      </c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="1" customFormat="1" spans="1:47">
      <c r="B48" s="8">
        <v>45992</v>
      </c>
      <c r="C48" s="9">
        <f t="shared" si="13"/>
        <v>4200</v>
      </c>
      <c r="D48" s="9">
        <f>D33*D18</f>
        <v>-200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="1" customFormat="1"/>
    <row r="50" s="1" customFormat="1" spans="1:15">
      <c r="A50" s="6" t="s">
        <v>64</v>
      </c>
      <c r="B50" s="12" t="s">
        <v>65</v>
      </c>
    </row>
    <row r="51" s="1" customFormat="1" spans="1:15">
      <c r="B51" s="1" t="s">
        <v>56</v>
      </c>
      <c r="C51" s="1" t="s">
        <v>57</v>
      </c>
      <c r="D51" s="1" t="s">
        <v>31</v>
      </c>
      <c r="E51" s="1" t="s">
        <v>32</v>
      </c>
      <c r="F51" s="1" t="s">
        <v>33</v>
      </c>
      <c r="G51" s="1" t="s">
        <v>34</v>
      </c>
      <c r="H51" s="1" t="s">
        <v>35</v>
      </c>
      <c r="I51" s="1" t="s">
        <v>36</v>
      </c>
      <c r="J51" s="1" t="s">
        <v>37</v>
      </c>
      <c r="K51" s="1" t="s">
        <v>38</v>
      </c>
      <c r="L51" s="1" t="s">
        <v>39</v>
      </c>
      <c r="M51" s="1" t="s">
        <v>40</v>
      </c>
      <c r="N51" s="1" t="s">
        <v>41</v>
      </c>
      <c r="O51" s="1" t="s">
        <v>42</v>
      </c>
    </row>
    <row r="52" s="1" customFormat="1" spans="1:15">
      <c r="B52" s="8">
        <v>45658</v>
      </c>
      <c r="C52" s="9">
        <v>900</v>
      </c>
      <c r="D52" s="14">
        <f>SUM($D37:D37)/$C37</f>
        <v>-0.222222222222222</v>
      </c>
      <c r="E52" s="14">
        <f>SUM($D37:E37)/$C37</f>
        <v>0.111111111111111</v>
      </c>
      <c r="F52" s="14">
        <f>SUM($D37:F37)/$C37</f>
        <v>0.444444444444444</v>
      </c>
      <c r="G52" s="14">
        <f>SUM($D37:G37)/$C37</f>
        <v>0.777777777777777</v>
      </c>
      <c r="H52" s="14">
        <f>SUM($D37:H37)/$C37</f>
        <v>1.11111111111111</v>
      </c>
      <c r="I52" s="14">
        <f>SUM($D37:I37)/$C37</f>
        <v>1.44444444444444</v>
      </c>
      <c r="J52" s="14">
        <f>SUM($D37:J37)/$C37</f>
        <v>1.77777777777778</v>
      </c>
      <c r="K52" s="14">
        <f>SUM($D37:K37)/$C37</f>
        <v>2.11111111111111</v>
      </c>
      <c r="L52" s="14">
        <f>SUM($D37:L37)/$C37</f>
        <v>2.44444444444444</v>
      </c>
      <c r="M52" s="14">
        <f>SUM($D37:M37)/$C37</f>
        <v>2.77777777777778</v>
      </c>
      <c r="N52" s="14">
        <f>SUM($D37:N37)/$C37</f>
        <v>3.11111111111111</v>
      </c>
      <c r="O52" s="14">
        <f>SUM($D37:O37)/$C37</f>
        <v>3.44444444444444</v>
      </c>
    </row>
    <row r="53" s="1" customFormat="1" spans="1:15">
      <c r="B53" s="8">
        <v>45689</v>
      </c>
      <c r="C53" s="9">
        <f t="shared" ref="C53:C63" si="23">C52+300</f>
        <v>1200</v>
      </c>
      <c r="D53" s="14">
        <f>SUM($D38:D38)/$C38</f>
        <v>-0.166666666666667</v>
      </c>
      <c r="E53" s="14">
        <f>SUM($D38:E38)/$C38</f>
        <v>0.0833333333333331</v>
      </c>
      <c r="F53" s="14">
        <f>SUM($D38:F38)/$C38</f>
        <v>0.333333333333333</v>
      </c>
      <c r="G53" s="14">
        <f>SUM($D38:G38)/$C38</f>
        <v>0.583333333333333</v>
      </c>
      <c r="H53" s="14">
        <f>SUM($D38:H38)/$C38</f>
        <v>0.833333333333333</v>
      </c>
      <c r="I53" s="14">
        <f>SUM($D38:I38)/$C38</f>
        <v>1.08333333333333</v>
      </c>
      <c r="J53" s="14">
        <f>SUM($D38:J38)/$C38</f>
        <v>1.33333333333333</v>
      </c>
      <c r="K53" s="14">
        <f>SUM($D38:K38)/$C38</f>
        <v>1.58333333333333</v>
      </c>
      <c r="L53" s="14">
        <f>SUM($D38:L38)/$C38</f>
        <v>1.83333333333333</v>
      </c>
      <c r="M53" s="14">
        <f>SUM($D38:M38)/$C38</f>
        <v>2.08333333333333</v>
      </c>
      <c r="N53" s="14">
        <f>SUM($D38:N38)/$C38</f>
        <v>2.33333333333333</v>
      </c>
      <c r="O53" s="14"/>
    </row>
    <row r="54" s="1" customFormat="1" spans="1:15">
      <c r="B54" s="8">
        <v>45717</v>
      </c>
      <c r="C54" s="9">
        <f t="shared" si="23"/>
        <v>1500</v>
      </c>
      <c r="D54" s="14">
        <f>SUM($D39:D39)/$C39</f>
        <v>-0.133333333333333</v>
      </c>
      <c r="E54" s="14">
        <f>SUM($D39:E39)/$C39</f>
        <v>0.0666666666666664</v>
      </c>
      <c r="F54" s="14">
        <f>SUM($D39:F39)/$C39</f>
        <v>0.266666666666666</v>
      </c>
      <c r="G54" s="14">
        <f>SUM($D39:G39)/$C39</f>
        <v>0.466666666666666</v>
      </c>
      <c r="H54" s="14">
        <f>SUM($D39:H39)/$C39</f>
        <v>0.666666666666666</v>
      </c>
      <c r="I54" s="14">
        <f>SUM($D39:I39)/$C39</f>
        <v>0.866666666666666</v>
      </c>
      <c r="J54" s="14">
        <f>SUM($D39:J39)/$C39</f>
        <v>1.06666666666667</v>
      </c>
      <c r="K54" s="14">
        <f>SUM($D39:K39)/$C39</f>
        <v>1.26666666666667</v>
      </c>
      <c r="L54" s="14">
        <f>SUM($D39:L39)/$C39</f>
        <v>1.46666666666667</v>
      </c>
      <c r="M54" s="14">
        <f>SUM($D39:M39)/$C39</f>
        <v>1.66666666666667</v>
      </c>
      <c r="N54" s="14"/>
      <c r="O54" s="14"/>
    </row>
    <row r="55" s="1" customFormat="1" spans="1:15">
      <c r="B55" s="8">
        <v>45748</v>
      </c>
      <c r="C55" s="9">
        <f t="shared" si="23"/>
        <v>1800</v>
      </c>
      <c r="D55" s="14">
        <f>SUM($D40:D40)/$C40</f>
        <v>-0.111111111111111</v>
      </c>
      <c r="E55" s="14">
        <f>SUM($D40:E40)/$C40</f>
        <v>0.0555555555555554</v>
      </c>
      <c r="F55" s="14">
        <f>SUM($D40:F40)/$C40</f>
        <v>0.222222222222222</v>
      </c>
      <c r="G55" s="14">
        <f>SUM($D40:G40)/$C40</f>
        <v>0.388888888888889</v>
      </c>
      <c r="H55" s="14">
        <f>SUM($D40:H40)/$C40</f>
        <v>0.555555555555555</v>
      </c>
      <c r="I55" s="14">
        <f>SUM($D40:I40)/$C40</f>
        <v>0.722222222222222</v>
      </c>
      <c r="J55" s="14">
        <f>SUM($D40:J40)/$C40</f>
        <v>0.888888888888888</v>
      </c>
      <c r="K55" s="14">
        <f>SUM($D40:K40)/$C40</f>
        <v>1.05555555555556</v>
      </c>
      <c r="L55" s="14">
        <f>SUM($D40:L40)/$C40</f>
        <v>1.22222222222222</v>
      </c>
      <c r="M55" s="14"/>
      <c r="N55" s="14"/>
      <c r="O55" s="14"/>
    </row>
    <row r="56" s="1" customFormat="1" spans="1:15">
      <c r="B56" s="8">
        <v>45778</v>
      </c>
      <c r="C56" s="9">
        <f t="shared" si="23"/>
        <v>2100</v>
      </c>
      <c r="D56" s="14">
        <f>SUM($D41:D41)/$C41</f>
        <v>-0.0952380952380952</v>
      </c>
      <c r="E56" s="14">
        <f>SUM($D41:E41)/$C41</f>
        <v>0.0476190476190475</v>
      </c>
      <c r="F56" s="14">
        <f>SUM($D41:F41)/$C41</f>
        <v>0.19047619047619</v>
      </c>
      <c r="G56" s="14">
        <f>SUM($D41:G41)/$C41</f>
        <v>0.333333333333333</v>
      </c>
      <c r="H56" s="14">
        <f>SUM($D41:H41)/$C41</f>
        <v>0.476190476190476</v>
      </c>
      <c r="I56" s="14">
        <f>SUM($D41:I41)/$C41</f>
        <v>0.619047619047619</v>
      </c>
      <c r="J56" s="14">
        <f>SUM($D41:J41)/$C41</f>
        <v>0.761904761904761</v>
      </c>
      <c r="K56" s="14">
        <f>SUM($D41:K41)/$C41</f>
        <v>0.904761904761904</v>
      </c>
      <c r="L56" s="14"/>
      <c r="M56" s="14"/>
      <c r="N56" s="14"/>
      <c r="O56" s="14"/>
    </row>
    <row r="57" s="1" customFormat="1" spans="1:15">
      <c r="B57" s="8">
        <v>45809</v>
      </c>
      <c r="C57" s="9">
        <f t="shared" si="23"/>
        <v>2400</v>
      </c>
      <c r="D57" s="14">
        <f>SUM($D42:D42)/$C42</f>
        <v>-0.0833333333333333</v>
      </c>
      <c r="E57" s="14">
        <f>SUM($D42:E42)/$C42</f>
        <v>0.0416666666666665</v>
      </c>
      <c r="F57" s="14">
        <f>SUM($D42:F42)/$C42</f>
        <v>0.166666666666666</v>
      </c>
      <c r="G57" s="14">
        <f>SUM($D42:G42)/$C42</f>
        <v>0.291666666666666</v>
      </c>
      <c r="H57" s="14">
        <f>SUM($D42:H42)/$C42</f>
        <v>0.416666666666666</v>
      </c>
      <c r="I57" s="14">
        <f>SUM($D42:I42)/$C42</f>
        <v>0.541666666666666</v>
      </c>
      <c r="J57" s="14">
        <f>SUM($D42:J42)/$C42</f>
        <v>0.666666666666666</v>
      </c>
      <c r="K57" s="14"/>
      <c r="L57" s="14"/>
      <c r="M57" s="14"/>
      <c r="N57" s="14"/>
      <c r="O57" s="14"/>
    </row>
    <row r="58" s="1" customFormat="1" spans="1:15">
      <c r="B58" s="8">
        <v>45839</v>
      </c>
      <c r="C58" s="9">
        <f t="shared" si="23"/>
        <v>2700</v>
      </c>
      <c r="D58" s="14">
        <f>SUM($D43:D43)/$C43</f>
        <v>-0.0740740740740741</v>
      </c>
      <c r="E58" s="14">
        <f>SUM($D43:E43)/$C43</f>
        <v>0.0370370370370369</v>
      </c>
      <c r="F58" s="14">
        <f>SUM($D43:F43)/$C43</f>
        <v>0.148148148148148</v>
      </c>
      <c r="G58" s="14">
        <f>SUM($D43:G43)/$C43</f>
        <v>0.259259259259259</v>
      </c>
      <c r="H58" s="14">
        <f>SUM($D43:H43)/$C43</f>
        <v>0.37037037037037</v>
      </c>
      <c r="I58" s="14">
        <f>SUM($D43:I43)/$C43</f>
        <v>0.481481481481481</v>
      </c>
      <c r="J58" s="14"/>
      <c r="K58" s="14"/>
      <c r="L58" s="14"/>
      <c r="M58" s="14"/>
      <c r="N58" s="14"/>
      <c r="O58" s="14"/>
    </row>
    <row r="59" s="1" customFormat="1" spans="1:15">
      <c r="B59" s="8">
        <v>45870</v>
      </c>
      <c r="C59" s="9">
        <f t="shared" si="23"/>
        <v>3000</v>
      </c>
      <c r="D59" s="14">
        <f>SUM($D44:D44)/$C44</f>
        <v>-0.0666666666666667</v>
      </c>
      <c r="E59" s="14">
        <f>SUM($D44:E44)/$C44</f>
        <v>0.0333333333333332</v>
      </c>
      <c r="F59" s="14">
        <f>SUM($D44:F44)/$C44</f>
        <v>0.133333333333333</v>
      </c>
      <c r="G59" s="14">
        <f>SUM($D44:G44)/$C44</f>
        <v>0.233333333333333</v>
      </c>
      <c r="H59" s="14">
        <f>SUM($D44:H44)/$C44</f>
        <v>0.333333333333333</v>
      </c>
      <c r="I59" s="14"/>
      <c r="J59" s="14"/>
      <c r="K59" s="14"/>
      <c r="L59" s="14"/>
      <c r="M59" s="14"/>
      <c r="N59" s="14"/>
      <c r="O59" s="14"/>
    </row>
    <row r="60" s="1" customFormat="1" spans="1:15">
      <c r="B60" s="8">
        <v>45901</v>
      </c>
      <c r="C60" s="9">
        <f t="shared" si="23"/>
        <v>3300</v>
      </c>
      <c r="D60" s="14">
        <f>SUM($D45:D45)/$C45</f>
        <v>-0.0606060606060606</v>
      </c>
      <c r="E60" s="14">
        <f>SUM($D45:E45)/$C45</f>
        <v>0.0303030303030302</v>
      </c>
      <c r="F60" s="14">
        <f>SUM($D45:F45)/$C45</f>
        <v>0.121212121212121</v>
      </c>
      <c r="G60" s="14">
        <f>SUM($D45:G45)/$C45</f>
        <v>0.212121212121212</v>
      </c>
      <c r="H60" s="14"/>
      <c r="I60" s="14"/>
      <c r="J60" s="14"/>
      <c r="K60" s="14"/>
      <c r="L60" s="14"/>
      <c r="M60" s="14"/>
      <c r="N60" s="14"/>
      <c r="O60" s="14"/>
    </row>
    <row r="61" s="1" customFormat="1" spans="1:15">
      <c r="B61" s="8">
        <v>45931</v>
      </c>
      <c r="C61" s="9">
        <f t="shared" si="23"/>
        <v>3600</v>
      </c>
      <c r="D61" s="14">
        <f>SUM($D46:D46)/$C46</f>
        <v>-0.0555555555555556</v>
      </c>
      <c r="E61" s="14">
        <f>SUM($D46:E46)/$C46</f>
        <v>0.0277777777777777</v>
      </c>
      <c r="F61" s="14">
        <f>SUM($D46:F46)/$C46</f>
        <v>0.111111111111111</v>
      </c>
      <c r="G61" s="14"/>
      <c r="H61" s="14"/>
      <c r="I61" s="14"/>
      <c r="J61" s="14"/>
      <c r="K61" s="14"/>
      <c r="L61" s="14"/>
      <c r="M61" s="14"/>
      <c r="N61" s="14"/>
      <c r="O61" s="14"/>
    </row>
    <row r="62" s="1" customFormat="1" spans="1:15">
      <c r="B62" s="8">
        <v>45962</v>
      </c>
      <c r="C62" s="9">
        <f t="shared" si="23"/>
        <v>3900</v>
      </c>
      <c r="D62" s="14">
        <f>SUM($D47:D47)/$C47</f>
        <v>-0.0512820512820513</v>
      </c>
      <c r="E62" s="14">
        <f>SUM($D47:E47)/$C47</f>
        <v>0.0256410256410256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="1" customFormat="1" spans="1:15">
      <c r="B63" s="8">
        <v>45992</v>
      </c>
      <c r="C63" s="9">
        <f t="shared" si="23"/>
        <v>4200</v>
      </c>
      <c r="D63" s="14">
        <f>SUM($D48:D48)/$C48</f>
        <v>-0.0476190476190476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="1" customFormat="1"/>
    <row r="65" s="1" customFormat="1" spans="2:2">
      <c r="B65" s="1" t="s">
        <v>66</v>
      </c>
    </row>
    <row r="66" s="1" customFormat="1" spans="2:2">
      <c r="B66" s="1" t="s">
        <v>67</v>
      </c>
    </row>
    <row r="67" s="1" customFormat="1" spans="2:2">
      <c r="B67" s="1" t="s">
        <v>68</v>
      </c>
    </row>
    <row r="68" s="1" customFormat="1"/>
    <row r="69" s="1" customFormat="1"/>
    <row r="70" s="1" customFormat="1" spans="2:2">
      <c r="B70" s="15" t="s">
        <v>69</v>
      </c>
    </row>
    <row r="71" s="1" customFormat="1"/>
    <row r="72" s="1" customFormat="1"/>
    <row r="73" s="1" customFormat="1"/>
    <row r="74" s="1" customFormat="1"/>
    <row r="75" s="1" customFormat="1" spans="2:2">
      <c r="B75" s="1" t="s">
        <v>70</v>
      </c>
    </row>
    <row r="76" s="1" customFormat="1"/>
    <row r="77" s="1" customFormat="1" spans="2:2">
      <c r="B77" s="1" t="s">
        <v>71</v>
      </c>
    </row>
    <row r="78" s="1" customFormat="1" spans="2:2">
      <c r="B78" s="1" t="s">
        <v>72</v>
      </c>
    </row>
    <row r="79" s="1" customFormat="1" spans="2:2">
      <c r="B79" s="1" t="s">
        <v>73</v>
      </c>
    </row>
    <row r="83" ht="20" spans="1:14">
      <c r="A83" s="16" t="s">
        <v>74</v>
      </c>
      <c r="B83" s="4"/>
      <c r="C83" s="4"/>
      <c r="D83" s="4"/>
      <c r="E83" s="4"/>
      <c r="F83" s="4"/>
      <c r="G83" s="4"/>
      <c r="H83" s="4"/>
    </row>
    <row r="84" spans="1:14">
      <c r="A84" s="1" t="s">
        <v>75</v>
      </c>
    </row>
    <row r="85" spans="1:14">
      <c r="A85" s="1" t="s">
        <v>76</v>
      </c>
    </row>
    <row r="86" spans="1:14">
      <c r="A86" s="1" t="s">
        <v>77</v>
      </c>
    </row>
    <row r="87" spans="1:14">
      <c r="A87" s="1" t="s">
        <v>78</v>
      </c>
    </row>
    <row r="89" spans="1:14">
      <c r="A89" s="6" t="s">
        <v>79</v>
      </c>
      <c r="B89" s="17" t="s">
        <v>80</v>
      </c>
    </row>
    <row r="90" spans="1:14">
      <c r="B90" s="1" t="s">
        <v>56</v>
      </c>
      <c r="C90" s="1" t="s">
        <v>31</v>
      </c>
      <c r="D90" s="1" t="s">
        <v>32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38</v>
      </c>
      <c r="K90" s="1" t="s">
        <v>39</v>
      </c>
      <c r="L90" s="1" t="s">
        <v>40</v>
      </c>
      <c r="M90" s="1" t="s">
        <v>41</v>
      </c>
      <c r="N90" s="1" t="s">
        <v>42</v>
      </c>
    </row>
    <row r="91" spans="1:14">
      <c r="B91" s="8">
        <v>45658</v>
      </c>
      <c r="C91" s="18">
        <f>C106+C121+C136+C151</f>
        <v>0.127949930209691</v>
      </c>
      <c r="D91" s="18">
        <f t="shared" ref="D91:N91" si="24">D106+D121+D136+D151</f>
        <v>0.140052820973219</v>
      </c>
      <c r="E91" s="18">
        <f t="shared" si="24"/>
        <v>0.139355456179956</v>
      </c>
      <c r="F91" s="18">
        <f t="shared" si="24"/>
        <v>0.144567676787582</v>
      </c>
      <c r="G91" s="18">
        <f t="shared" si="24"/>
        <v>0.13961672741829</v>
      </c>
      <c r="H91" s="18">
        <f t="shared" si="24"/>
        <v>0.143965544544302</v>
      </c>
      <c r="I91" s="18">
        <f t="shared" si="24"/>
        <v>0.14377914254207</v>
      </c>
      <c r="J91" s="18">
        <f t="shared" si="24"/>
        <v>0.150358655317753</v>
      </c>
      <c r="K91" s="18">
        <f t="shared" si="24"/>
        <v>0.140742304819158</v>
      </c>
      <c r="L91" s="18">
        <f t="shared" si="24"/>
        <v>0.139139375974384</v>
      </c>
      <c r="M91" s="18">
        <f t="shared" si="24"/>
        <v>0.141962681324179</v>
      </c>
      <c r="N91" s="18">
        <f t="shared" si="24"/>
        <v>0.141733122276957</v>
      </c>
    </row>
    <row r="92" spans="1:14">
      <c r="B92" s="8">
        <v>45689</v>
      </c>
      <c r="C92" s="18">
        <f t="shared" ref="C92:C102" si="25">C107+C122+C137+C152</f>
        <v>0.127215328300449</v>
      </c>
      <c r="D92" s="18">
        <f t="shared" ref="D92:N92" si="26">D107+D122+D137+D152</f>
        <v>0.142747639849431</v>
      </c>
      <c r="E92" s="18">
        <f t="shared" si="26"/>
        <v>0.135492282775347</v>
      </c>
      <c r="F92" s="18">
        <f t="shared" si="26"/>
        <v>0.143128110880528</v>
      </c>
      <c r="G92" s="18">
        <f t="shared" si="26"/>
        <v>0.139699132454058</v>
      </c>
      <c r="H92" s="18">
        <f t="shared" si="26"/>
        <v>0.144864440151952</v>
      </c>
      <c r="I92" s="18">
        <f t="shared" si="26"/>
        <v>0.145970913980856</v>
      </c>
      <c r="J92" s="18">
        <f t="shared" si="26"/>
        <v>0.140461621506142</v>
      </c>
      <c r="K92" s="18">
        <f t="shared" si="26"/>
        <v>0.145911728206511</v>
      </c>
      <c r="L92" s="18">
        <f t="shared" si="26"/>
        <v>0.142331422825543</v>
      </c>
      <c r="M92" s="18">
        <f t="shared" si="26"/>
        <v>0.143480418095427</v>
      </c>
      <c r="N92" s="18"/>
    </row>
    <row r="93" spans="1:14">
      <c r="B93" s="8">
        <v>45717</v>
      </c>
      <c r="C93" s="18">
        <f t="shared" si="25"/>
        <v>0.120339233713479</v>
      </c>
      <c r="D93" s="18">
        <f t="shared" ref="D93:N93" si="27">D108+D123+D138+D153</f>
        <v>0.131876791899622</v>
      </c>
      <c r="E93" s="18">
        <f t="shared" si="27"/>
        <v>0.132277520592828</v>
      </c>
      <c r="F93" s="18">
        <f t="shared" si="27"/>
        <v>0.146557994825853</v>
      </c>
      <c r="G93" s="18">
        <f t="shared" si="27"/>
        <v>0.14197724877989</v>
      </c>
      <c r="H93" s="18">
        <f t="shared" si="27"/>
        <v>0.135508239629429</v>
      </c>
      <c r="I93" s="18">
        <f t="shared" si="27"/>
        <v>0.148096627554536</v>
      </c>
      <c r="J93" s="18">
        <f t="shared" si="27"/>
        <v>0.146752594291186</v>
      </c>
      <c r="K93" s="18">
        <f t="shared" si="27"/>
        <v>0.147594876785033</v>
      </c>
      <c r="L93" s="18">
        <f t="shared" si="27"/>
        <v>0.149246016247984</v>
      </c>
      <c r="M93" s="18"/>
      <c r="N93" s="18"/>
    </row>
    <row r="94" spans="1:14">
      <c r="B94" s="8">
        <v>45748</v>
      </c>
      <c r="C94" s="18">
        <f t="shared" si="25"/>
        <v>0.110491742491596</v>
      </c>
      <c r="D94" s="18">
        <f t="shared" ref="D94:N94" si="28">D109+D124+D139+D154</f>
        <v>0.12975694215426</v>
      </c>
      <c r="E94" s="18">
        <f t="shared" si="28"/>
        <v>0.134961929504681</v>
      </c>
      <c r="F94" s="18">
        <f t="shared" si="28"/>
        <v>0.140732531607438</v>
      </c>
      <c r="G94" s="18">
        <f t="shared" si="28"/>
        <v>0.142474441100885</v>
      </c>
      <c r="H94" s="18">
        <f t="shared" si="28"/>
        <v>0.14978862791289</v>
      </c>
      <c r="I94" s="18">
        <f t="shared" si="28"/>
        <v>0.155182468008712</v>
      </c>
      <c r="J94" s="18">
        <f t="shared" si="28"/>
        <v>0.143670191108435</v>
      </c>
      <c r="K94" s="18">
        <f t="shared" si="28"/>
        <v>0.143398876901516</v>
      </c>
      <c r="L94" s="18"/>
      <c r="M94" s="18"/>
      <c r="N94" s="18"/>
    </row>
    <row r="95" spans="1:14">
      <c r="B95" s="8">
        <v>45778</v>
      </c>
      <c r="C95" s="18">
        <f t="shared" si="25"/>
        <v>0.118982399989534</v>
      </c>
      <c r="D95" s="18">
        <f t="shared" ref="D95:N95" si="29">D110+D125+D140+D155</f>
        <v>0.132018544052633</v>
      </c>
      <c r="E95" s="18">
        <f t="shared" si="29"/>
        <v>0.137498700094291</v>
      </c>
      <c r="F95" s="18">
        <f t="shared" si="29"/>
        <v>0.139300760653065</v>
      </c>
      <c r="G95" s="18">
        <f t="shared" si="29"/>
        <v>0.142203834429214</v>
      </c>
      <c r="H95" s="18">
        <f t="shared" si="29"/>
        <v>0.150706882900374</v>
      </c>
      <c r="I95" s="18">
        <f t="shared" si="29"/>
        <v>0.139627716472901</v>
      </c>
      <c r="J95" s="18">
        <f t="shared" si="29"/>
        <v>0.147850634889288</v>
      </c>
      <c r="K95" s="18"/>
      <c r="L95" s="18"/>
      <c r="M95" s="18"/>
      <c r="N95" s="18"/>
    </row>
    <row r="96" spans="1:14">
      <c r="B96" s="8">
        <v>45809</v>
      </c>
      <c r="C96" s="18">
        <f t="shared" si="25"/>
        <v>0.11399150012634</v>
      </c>
      <c r="D96" s="18">
        <f t="shared" ref="D96:N96" si="30">D111+D126+D141+D156</f>
        <v>0.134489827997317</v>
      </c>
      <c r="E96" s="18">
        <f t="shared" si="30"/>
        <v>0.128397262176507</v>
      </c>
      <c r="F96" s="18">
        <f t="shared" si="30"/>
        <v>0.143189420696745</v>
      </c>
      <c r="G96" s="18">
        <f t="shared" si="30"/>
        <v>0.146079060835822</v>
      </c>
      <c r="H96" s="18">
        <f t="shared" si="30"/>
        <v>0.147446538846588</v>
      </c>
      <c r="I96" s="18">
        <f t="shared" si="30"/>
        <v>0.145468797337109</v>
      </c>
      <c r="J96" s="18"/>
      <c r="K96" s="18"/>
      <c r="L96" s="18"/>
      <c r="M96" s="18"/>
      <c r="N96" s="18"/>
    </row>
    <row r="97" spans="1:14">
      <c r="B97" s="8">
        <v>45839</v>
      </c>
      <c r="C97" s="18">
        <f t="shared" si="25"/>
        <v>0.116694451029979</v>
      </c>
      <c r="D97" s="18">
        <f t="shared" ref="D97:N97" si="31">D112+D127+D142+D157</f>
        <v>0.133960340080877</v>
      </c>
      <c r="E97" s="18">
        <f t="shared" si="31"/>
        <v>0.129198247722593</v>
      </c>
      <c r="F97" s="18">
        <f t="shared" si="31"/>
        <v>0.15271144636904</v>
      </c>
      <c r="G97" s="18">
        <f t="shared" si="31"/>
        <v>0.145802493332853</v>
      </c>
      <c r="H97" s="18">
        <f t="shared" si="31"/>
        <v>0.148456270968764</v>
      </c>
      <c r="I97" s="18"/>
      <c r="J97" s="18"/>
      <c r="K97" s="18"/>
      <c r="L97" s="18"/>
      <c r="M97" s="18"/>
      <c r="N97" s="18"/>
    </row>
    <row r="98" spans="1:14">
      <c r="B98" s="8">
        <v>45870</v>
      </c>
      <c r="C98" s="18">
        <f t="shared" si="25"/>
        <v>0.110098277593711</v>
      </c>
      <c r="D98" s="18">
        <f>D113+D128+D143+D158</f>
        <v>0.125667619159892</v>
      </c>
      <c r="E98" s="18">
        <f>E113+E128+E143+E158</f>
        <v>0.136435061280659</v>
      </c>
      <c r="F98" s="18">
        <f>F113+F128+F143+F158</f>
        <v>0.147273001929574</v>
      </c>
      <c r="G98" s="18">
        <f>G113+G128+G143+G158</f>
        <v>0.141283119780457</v>
      </c>
      <c r="H98" s="18"/>
      <c r="I98" s="18"/>
      <c r="J98" s="18"/>
      <c r="K98" s="18"/>
      <c r="L98" s="18"/>
      <c r="M98" s="18"/>
      <c r="N98" s="18"/>
    </row>
    <row r="99" spans="1:14">
      <c r="B99" s="8">
        <v>45901</v>
      </c>
      <c r="C99" s="18">
        <f t="shared" si="25"/>
        <v>0.109936664358388</v>
      </c>
      <c r="D99" s="18">
        <f>D114+D129+D144+D159</f>
        <v>0.140421504365818</v>
      </c>
      <c r="E99" s="18">
        <f>E114+E129+E144+E159</f>
        <v>0.138438384956731</v>
      </c>
      <c r="F99" s="18">
        <f>F114+F129+F144+F159</f>
        <v>0.143034033862457</v>
      </c>
      <c r="G99" s="18"/>
      <c r="H99" s="18"/>
      <c r="I99" s="18"/>
      <c r="J99" s="18"/>
      <c r="K99" s="18"/>
      <c r="L99" s="18"/>
      <c r="M99" s="18"/>
      <c r="N99" s="18"/>
    </row>
    <row r="100" spans="1:14">
      <c r="B100" s="8">
        <v>45931</v>
      </c>
      <c r="C100" s="18">
        <f t="shared" si="25"/>
        <v>0.117889357027515</v>
      </c>
      <c r="D100" s="18">
        <f>D115+D130+D145+D160</f>
        <v>0.133934660990552</v>
      </c>
      <c r="E100" s="18">
        <f>E115+E130+E145+E160</f>
        <v>0.133789531137116</v>
      </c>
      <c r="F100" s="18"/>
      <c r="G100" s="18"/>
      <c r="H100" s="18"/>
      <c r="I100" s="18"/>
      <c r="J100" s="18"/>
      <c r="K100" s="18"/>
      <c r="L100" s="18"/>
      <c r="M100" s="18"/>
      <c r="N100" s="18"/>
    </row>
    <row r="101" spans="1:14">
      <c r="B101" s="8">
        <v>45962</v>
      </c>
      <c r="C101" s="18">
        <f t="shared" si="25"/>
        <v>0.116966465107484</v>
      </c>
      <c r="D101" s="18">
        <f>D116+D131+D146+D161</f>
        <v>0.126123625387495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 spans="1:14">
      <c r="B102" s="8">
        <v>45992</v>
      </c>
      <c r="C102" s="18">
        <f t="shared" si="25"/>
        <v>0.115944090751796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4" spans="1:14">
      <c r="A104" s="6" t="s">
        <v>81</v>
      </c>
      <c r="B104" s="17" t="s">
        <v>82</v>
      </c>
    </row>
    <row r="105" spans="1:14">
      <c r="B105" s="1" t="s">
        <v>56</v>
      </c>
      <c r="C105" s="1" t="s">
        <v>31</v>
      </c>
      <c r="D105" s="1" t="s">
        <v>32</v>
      </c>
      <c r="E105" s="1" t="s">
        <v>33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38</v>
      </c>
      <c r="K105" s="1" t="s">
        <v>39</v>
      </c>
      <c r="L105" s="1" t="s">
        <v>40</v>
      </c>
      <c r="M105" s="1" t="s">
        <v>41</v>
      </c>
      <c r="N105" s="1" t="s">
        <v>42</v>
      </c>
    </row>
    <row r="106" spans="1:14">
      <c r="B106" s="8">
        <v>45658</v>
      </c>
      <c r="C106" s="18">
        <v>0.229624662895711</v>
      </c>
      <c r="D106" s="18">
        <v>0.224826543981496</v>
      </c>
      <c r="E106" s="18">
        <v>0.22521649556913</v>
      </c>
      <c r="F106" s="18">
        <v>0.229452884370429</v>
      </c>
      <c r="G106" s="18">
        <v>0.222462403504438</v>
      </c>
      <c r="H106" s="18">
        <v>0.229831127008225</v>
      </c>
      <c r="I106" s="18">
        <v>0.226061749264824</v>
      </c>
      <c r="J106" s="18">
        <v>0.226546460266165</v>
      </c>
      <c r="K106" s="18">
        <v>0.225974551448984</v>
      </c>
      <c r="L106" s="18">
        <v>0.221414772778937</v>
      </c>
      <c r="M106" s="18">
        <v>0.22553633551438</v>
      </c>
      <c r="N106" s="18">
        <v>0.224900950595164</v>
      </c>
    </row>
    <row r="107" spans="1:14">
      <c r="B107" s="8">
        <v>45689</v>
      </c>
      <c r="C107" s="18">
        <v>0.229531723233057</v>
      </c>
      <c r="D107" s="18">
        <v>0.229984532768213</v>
      </c>
      <c r="E107" s="18">
        <v>0.229296154968039</v>
      </c>
      <c r="F107" s="18">
        <v>0.221648509887276</v>
      </c>
      <c r="G107" s="18">
        <v>0.224733645087005</v>
      </c>
      <c r="H107" s="18">
        <v>0.223499738813029</v>
      </c>
      <c r="I107" s="18">
        <v>0.223415566190895</v>
      </c>
      <c r="J107" s="18">
        <v>0.228199478454809</v>
      </c>
      <c r="K107" s="18">
        <v>0.222595014796729</v>
      </c>
      <c r="L107" s="18">
        <v>0.222896145197022</v>
      </c>
      <c r="M107" s="18">
        <v>0.221370860631677</v>
      </c>
      <c r="N107" s="18"/>
    </row>
    <row r="108" spans="1:14">
      <c r="B108" s="8">
        <v>45717</v>
      </c>
      <c r="C108" s="18">
        <v>0.224110081553433</v>
      </c>
      <c r="D108" s="18">
        <v>0.220043117681454</v>
      </c>
      <c r="E108" s="18">
        <v>0.224392154520156</v>
      </c>
      <c r="F108" s="18">
        <v>0.225699752029885</v>
      </c>
      <c r="G108" s="18">
        <v>0.224655721830433</v>
      </c>
      <c r="H108" s="18">
        <v>0.220297329389593</v>
      </c>
      <c r="I108" s="18">
        <v>0.228860182093086</v>
      </c>
      <c r="J108" s="18">
        <v>0.221126052298444</v>
      </c>
      <c r="K108" s="18">
        <v>0.226718316112099</v>
      </c>
      <c r="L108" s="18">
        <v>0.225747549620047</v>
      </c>
      <c r="M108" s="18"/>
      <c r="N108" s="18"/>
    </row>
    <row r="109" spans="1:14">
      <c r="B109" s="8">
        <v>45748</v>
      </c>
      <c r="C109" s="18">
        <v>0.224675424782057</v>
      </c>
      <c r="D109" s="18">
        <v>0.222698680971922</v>
      </c>
      <c r="E109" s="18">
        <v>0.227689420906485</v>
      </c>
      <c r="F109" s="18">
        <v>0.222469451503388</v>
      </c>
      <c r="G109" s="18">
        <v>0.223822743253451</v>
      </c>
      <c r="H109" s="18">
        <v>0.229317972817271</v>
      </c>
      <c r="I109" s="18">
        <v>0.228608388821446</v>
      </c>
      <c r="J109" s="18">
        <v>0.222028036168911</v>
      </c>
      <c r="K109" s="18">
        <v>0.221206057176405</v>
      </c>
      <c r="L109" s="18"/>
      <c r="M109" s="18"/>
      <c r="N109" s="18"/>
    </row>
    <row r="110" spans="1:14">
      <c r="B110" s="8">
        <v>45778</v>
      </c>
      <c r="C110" s="18">
        <v>0.225742863600417</v>
      </c>
      <c r="D110" s="18">
        <v>0.223615865724931</v>
      </c>
      <c r="E110" s="18">
        <v>0.226082342324733</v>
      </c>
      <c r="F110" s="18">
        <v>0.224039242653351</v>
      </c>
      <c r="G110" s="18">
        <v>0.223726917025786</v>
      </c>
      <c r="H110" s="18">
        <v>0.228826930358449</v>
      </c>
      <c r="I110" s="18">
        <v>0.221401767141137</v>
      </c>
      <c r="J110" s="18">
        <v>0.227173718209974</v>
      </c>
      <c r="K110" s="18"/>
      <c r="L110" s="18"/>
      <c r="M110" s="18"/>
      <c r="N110" s="18"/>
    </row>
    <row r="111" spans="1:14">
      <c r="B111" s="8">
        <v>45809</v>
      </c>
      <c r="C111" s="18">
        <v>0.228207230355895</v>
      </c>
      <c r="D111" s="18">
        <v>0.229091350185288</v>
      </c>
      <c r="E111" s="18">
        <v>0.220420654581828</v>
      </c>
      <c r="F111" s="18">
        <v>0.22723316249249</v>
      </c>
      <c r="G111" s="18">
        <v>0.228647698000555</v>
      </c>
      <c r="H111" s="18">
        <v>0.225236769626656</v>
      </c>
      <c r="I111" s="18">
        <v>0.223889094950648</v>
      </c>
      <c r="J111" s="18"/>
      <c r="K111" s="18"/>
      <c r="L111" s="18"/>
      <c r="M111" s="18"/>
      <c r="N111" s="18"/>
    </row>
    <row r="112" spans="1:14">
      <c r="B112" s="8">
        <v>45839</v>
      </c>
      <c r="C112" s="18">
        <v>0.22661709211031</v>
      </c>
      <c r="D112" s="18">
        <v>0.224025639360245</v>
      </c>
      <c r="E112" s="18">
        <v>0.226557062633702</v>
      </c>
      <c r="F112" s="18">
        <v>0.229972635816275</v>
      </c>
      <c r="G112" s="18">
        <v>0.222631169062257</v>
      </c>
      <c r="H112" s="18">
        <v>0.226125075306035</v>
      </c>
      <c r="I112" s="18"/>
      <c r="J112" s="18"/>
      <c r="K112" s="18"/>
      <c r="L112" s="18"/>
      <c r="M112" s="18"/>
      <c r="N112" s="18"/>
    </row>
    <row r="113" spans="1:14">
      <c r="B113" s="8">
        <v>45870</v>
      </c>
      <c r="C113" s="18">
        <v>0.220686216118962</v>
      </c>
      <c r="D113" s="18">
        <v>0.220111254671167</v>
      </c>
      <c r="E113" s="18">
        <v>0.225699801660344</v>
      </c>
      <c r="F113" s="18">
        <v>0.229110808144243</v>
      </c>
      <c r="G113" s="18">
        <v>0.223766512133212</v>
      </c>
      <c r="H113" s="18"/>
      <c r="I113" s="18"/>
      <c r="J113" s="18"/>
      <c r="K113" s="18"/>
      <c r="L113" s="18"/>
      <c r="M113" s="18"/>
      <c r="N113" s="18"/>
    </row>
    <row r="114" spans="1:14">
      <c r="B114" s="8">
        <v>45901</v>
      </c>
      <c r="C114" s="18">
        <v>0.221723594133246</v>
      </c>
      <c r="D114" s="18">
        <v>0.22782281797538</v>
      </c>
      <c r="E114" s="18">
        <v>0.226288293906397</v>
      </c>
      <c r="F114" s="18">
        <v>0.227855720288518</v>
      </c>
      <c r="G114" s="18"/>
      <c r="H114" s="18"/>
      <c r="I114" s="18"/>
      <c r="J114" s="18"/>
      <c r="K114" s="18"/>
      <c r="L114" s="18"/>
      <c r="M114" s="18"/>
      <c r="N114" s="18"/>
    </row>
    <row r="115" spans="1:14">
      <c r="B115" s="8">
        <v>45931</v>
      </c>
      <c r="C115" s="18">
        <v>0.22850308895535</v>
      </c>
      <c r="D115" s="18">
        <v>0.22919928181362</v>
      </c>
      <c r="E115" s="18">
        <v>0.223302215831708</v>
      </c>
      <c r="F115" s="18"/>
      <c r="G115" s="18"/>
      <c r="H115" s="18"/>
      <c r="I115" s="18"/>
      <c r="J115" s="18"/>
      <c r="K115" s="18"/>
      <c r="L115" s="18"/>
      <c r="M115" s="18"/>
      <c r="N115" s="18"/>
    </row>
    <row r="116" spans="1:14">
      <c r="B116" s="8">
        <v>45962</v>
      </c>
      <c r="C116" s="18">
        <v>0.225869548061369</v>
      </c>
      <c r="D116" s="18">
        <v>0.220401816124616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 spans="1:14">
      <c r="B117" s="8">
        <v>45992</v>
      </c>
      <c r="C117" s="18">
        <v>0.224551887982603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9" spans="1:14">
      <c r="A119" s="6" t="s">
        <v>83</v>
      </c>
      <c r="B119" s="19" t="s">
        <v>84</v>
      </c>
    </row>
    <row r="120" spans="1:14">
      <c r="B120" s="1" t="s">
        <v>85</v>
      </c>
      <c r="C120" s="1" t="s">
        <v>31</v>
      </c>
      <c r="D120" s="1" t="s">
        <v>32</v>
      </c>
      <c r="E120" s="1" t="s">
        <v>33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38</v>
      </c>
      <c r="K120" s="1" t="s">
        <v>39</v>
      </c>
      <c r="L120" s="1" t="s">
        <v>40</v>
      </c>
      <c r="M120" s="1" t="s">
        <v>41</v>
      </c>
      <c r="N120" s="1" t="s">
        <v>42</v>
      </c>
    </row>
    <row r="121" spans="1:14">
      <c r="B121" s="8">
        <v>45658</v>
      </c>
      <c r="C121" s="20">
        <v>-0.0416747326860195</v>
      </c>
      <c r="D121" s="20">
        <v>-0.0227737230082775</v>
      </c>
      <c r="E121" s="20">
        <v>-0.0248610393891737</v>
      </c>
      <c r="F121" s="20">
        <v>-0.0198852075828466</v>
      </c>
      <c r="G121" s="20">
        <v>-0.0188456760861481</v>
      </c>
      <c r="H121" s="20">
        <v>-0.0188655824639236</v>
      </c>
      <c r="I121" s="20">
        <v>-0.0162826067227533</v>
      </c>
      <c r="J121" s="20">
        <v>-0.0111878049484127</v>
      </c>
      <c r="K121" s="20">
        <v>-0.0172322466298258</v>
      </c>
      <c r="L121" s="20">
        <v>-0.0192753968045537</v>
      </c>
      <c r="M121" s="20">
        <v>-0.0175736541902009</v>
      </c>
      <c r="N121" s="20">
        <v>-0.0176678283182064</v>
      </c>
    </row>
    <row r="122" spans="1:14">
      <c r="B122" s="8">
        <v>45689</v>
      </c>
      <c r="C122" s="20">
        <v>-0.0403163949326083</v>
      </c>
      <c r="D122" s="20">
        <v>-0.026236892918782</v>
      </c>
      <c r="E122" s="20">
        <v>-0.028803872192692</v>
      </c>
      <c r="F122" s="20">
        <v>-0.0145203990067477</v>
      </c>
      <c r="G122" s="20">
        <v>-0.0180345126329462</v>
      </c>
      <c r="H122" s="20">
        <v>-0.0126352986610773</v>
      </c>
      <c r="I122" s="20">
        <v>-0.0124446522100385</v>
      </c>
      <c r="J122" s="20">
        <v>-0.0197378569486666</v>
      </c>
      <c r="K122" s="20">
        <v>-0.0136832865902173</v>
      </c>
      <c r="L122" s="20">
        <v>-0.0145647223714795</v>
      </c>
      <c r="M122" s="20">
        <v>-0.0123904425362507</v>
      </c>
      <c r="N122" s="20"/>
    </row>
    <row r="123" spans="1:14">
      <c r="B123" s="8">
        <v>45717</v>
      </c>
      <c r="C123" s="20">
        <v>-0.0427708478399539</v>
      </c>
      <c r="D123" s="20">
        <v>-0.0231663257818317</v>
      </c>
      <c r="E123" s="20">
        <v>-0.0281146339273275</v>
      </c>
      <c r="F123" s="20">
        <v>-0.0121417572040316</v>
      </c>
      <c r="G123" s="20">
        <v>-0.0166784730505431</v>
      </c>
      <c r="H123" s="20">
        <v>-0.0197890897601632</v>
      </c>
      <c r="I123" s="20">
        <v>-0.0127635545385494</v>
      </c>
      <c r="J123" s="20">
        <v>-0.0113734580072585</v>
      </c>
      <c r="K123" s="20">
        <v>-0.0131234393270653</v>
      </c>
      <c r="L123" s="20">
        <v>-0.0110015333720629</v>
      </c>
      <c r="M123" s="20"/>
      <c r="N123" s="20"/>
    </row>
    <row r="124" spans="1:14">
      <c r="B124" s="8">
        <v>45748</v>
      </c>
      <c r="C124" s="20">
        <v>-0.0491836822904615</v>
      </c>
      <c r="D124" s="20">
        <v>-0.0289417388176619</v>
      </c>
      <c r="E124" s="20">
        <v>-0.0257274914018038</v>
      </c>
      <c r="F124" s="20">
        <v>-0.0157369198959505</v>
      </c>
      <c r="G124" s="20">
        <v>-0.0163483021525666</v>
      </c>
      <c r="H124" s="20">
        <v>-0.0115293449043812</v>
      </c>
      <c r="I124" s="20">
        <v>-0.0104259208127339</v>
      </c>
      <c r="J124" s="20">
        <v>-0.0123578450604764</v>
      </c>
      <c r="K124" s="20">
        <v>-0.0123071802748896</v>
      </c>
      <c r="L124" s="20"/>
      <c r="M124" s="20"/>
      <c r="N124" s="20"/>
    </row>
    <row r="125" spans="1:14">
      <c r="B125" s="8">
        <v>45778</v>
      </c>
      <c r="C125" s="20">
        <v>-0.0427604636108827</v>
      </c>
      <c r="D125" s="20">
        <v>-0.0245973216722977</v>
      </c>
      <c r="E125" s="20">
        <v>-0.0225836422304419</v>
      </c>
      <c r="F125" s="20">
        <v>-0.0197384820002858</v>
      </c>
      <c r="G125" s="20">
        <v>-0.0135230825965712</v>
      </c>
      <c r="H125" s="20">
        <v>-0.0151200474580751</v>
      </c>
      <c r="I125" s="20">
        <v>-0.0157740506682354</v>
      </c>
      <c r="J125" s="20">
        <v>-0.013823083320686</v>
      </c>
      <c r="K125" s="20"/>
      <c r="L125" s="20"/>
      <c r="M125" s="20"/>
      <c r="N125" s="20"/>
    </row>
    <row r="126" spans="1:14">
      <c r="B126" s="8">
        <v>45809</v>
      </c>
      <c r="C126" s="20">
        <v>-0.0472157302295547</v>
      </c>
      <c r="D126" s="20">
        <v>-0.0286015221879719</v>
      </c>
      <c r="E126" s="20">
        <v>-0.027023392405321</v>
      </c>
      <c r="F126" s="20">
        <v>-0.0160437417957453</v>
      </c>
      <c r="G126" s="20">
        <v>-0.0195686371647331</v>
      </c>
      <c r="H126" s="20">
        <v>-0.0117902307800682</v>
      </c>
      <c r="I126" s="20">
        <v>-0.0129202976135391</v>
      </c>
      <c r="J126" s="20"/>
      <c r="K126" s="20"/>
      <c r="L126" s="20"/>
      <c r="M126" s="20"/>
      <c r="N126" s="20"/>
    </row>
    <row r="127" spans="1:14">
      <c r="B127" s="8">
        <v>45839</v>
      </c>
      <c r="C127" s="20">
        <v>-0.0439226410803312</v>
      </c>
      <c r="D127" s="20">
        <v>-0.0250652992793676</v>
      </c>
      <c r="E127" s="20">
        <v>-0.0293588149111083</v>
      </c>
      <c r="F127" s="20">
        <v>-0.0142611894472353</v>
      </c>
      <c r="G127" s="20">
        <v>-0.0108286757294041</v>
      </c>
      <c r="H127" s="20">
        <v>-0.0121688043372708</v>
      </c>
      <c r="I127" s="20"/>
      <c r="J127" s="20"/>
      <c r="K127" s="20"/>
      <c r="L127" s="20"/>
      <c r="M127" s="20"/>
      <c r="N127" s="20"/>
    </row>
    <row r="128" spans="1:14">
      <c r="B128" s="8">
        <v>45870</v>
      </c>
      <c r="C128" s="20">
        <v>-0.0455879385252518</v>
      </c>
      <c r="D128" s="20">
        <v>-0.0264436355112746</v>
      </c>
      <c r="E128" s="20">
        <v>-0.0262647403796851</v>
      </c>
      <c r="F128" s="20">
        <v>-0.015837806214669</v>
      </c>
      <c r="G128" s="20">
        <v>-0.0169833923527552</v>
      </c>
      <c r="H128" s="20"/>
      <c r="I128" s="20"/>
      <c r="J128" s="20"/>
      <c r="K128" s="20"/>
      <c r="L128" s="20"/>
      <c r="M128" s="20"/>
      <c r="N128" s="20"/>
    </row>
    <row r="129" spans="1:14">
      <c r="B129" s="8">
        <v>45901</v>
      </c>
      <c r="C129" s="20">
        <v>-0.0437869297748581</v>
      </c>
      <c r="D129" s="20">
        <v>-0.024401313609562</v>
      </c>
      <c r="E129" s="20">
        <v>-0.021849908949666</v>
      </c>
      <c r="F129" s="20">
        <v>-0.0193216864260604</v>
      </c>
      <c r="G129" s="20"/>
      <c r="H129" s="20"/>
      <c r="I129" s="20"/>
      <c r="J129" s="20"/>
      <c r="K129" s="20"/>
      <c r="L129" s="20"/>
      <c r="M129" s="20"/>
      <c r="N129" s="20"/>
    </row>
    <row r="130" spans="1:14">
      <c r="B130" s="8">
        <v>45931</v>
      </c>
      <c r="C130" s="20">
        <v>-0.047613731927835</v>
      </c>
      <c r="D130" s="20">
        <v>-0.0292646208230676</v>
      </c>
      <c r="E130" s="20">
        <v>-0.0240126846945921</v>
      </c>
      <c r="F130" s="20"/>
      <c r="G130" s="20"/>
      <c r="H130" s="20"/>
      <c r="I130" s="20"/>
      <c r="J130" s="20"/>
      <c r="K130" s="20"/>
      <c r="L130" s="20"/>
      <c r="M130" s="20"/>
      <c r="N130" s="20"/>
    </row>
    <row r="131" spans="1:14">
      <c r="B131" s="8">
        <v>45962</v>
      </c>
      <c r="C131" s="20">
        <v>-0.0429030829538848</v>
      </c>
      <c r="D131" s="20">
        <v>-0.0287781907371209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</row>
    <row r="132" spans="1:14">
      <c r="B132" s="8">
        <v>45992</v>
      </c>
      <c r="C132" s="20">
        <v>-0.0431077972308074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</row>
    <row r="134" spans="1:14">
      <c r="A134" s="6" t="s">
        <v>86</v>
      </c>
      <c r="B134" s="17" t="s">
        <v>87</v>
      </c>
    </row>
    <row r="135" spans="1:14">
      <c r="B135" s="1" t="s">
        <v>56</v>
      </c>
      <c r="C135" s="1" t="s">
        <v>31</v>
      </c>
      <c r="D135" s="1" t="s">
        <v>32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38</v>
      </c>
      <c r="K135" s="1" t="s">
        <v>39</v>
      </c>
      <c r="L135" s="1" t="s">
        <v>40</v>
      </c>
      <c r="M135" s="1" t="s">
        <v>41</v>
      </c>
      <c r="N135" s="1" t="s">
        <v>42</v>
      </c>
    </row>
    <row r="136" spans="1:14">
      <c r="B136" s="8">
        <v>45658</v>
      </c>
      <c r="C136" s="10">
        <v>-0.05</v>
      </c>
      <c r="D136" s="10">
        <v>-0.05</v>
      </c>
      <c r="E136" s="10">
        <v>-0.05</v>
      </c>
      <c r="F136" s="10">
        <v>-0.05</v>
      </c>
      <c r="G136" s="10">
        <v>-0.05</v>
      </c>
      <c r="H136" s="10">
        <v>-0.05</v>
      </c>
      <c r="I136" s="10">
        <v>-0.05</v>
      </c>
      <c r="J136" s="10">
        <v>-0.05</v>
      </c>
      <c r="K136" s="10">
        <v>-0.05</v>
      </c>
      <c r="L136" s="10">
        <v>-0.05</v>
      </c>
      <c r="M136" s="10">
        <v>-0.05</v>
      </c>
      <c r="N136" s="10">
        <v>-0.05</v>
      </c>
    </row>
    <row r="137" spans="1:14">
      <c r="B137" s="8">
        <v>45689</v>
      </c>
      <c r="C137" s="10">
        <v>-0.05</v>
      </c>
      <c r="D137" s="10">
        <v>-0.05</v>
      </c>
      <c r="E137" s="10">
        <v>-0.05</v>
      </c>
      <c r="F137" s="10">
        <v>-0.05</v>
      </c>
      <c r="G137" s="10">
        <v>-0.05</v>
      </c>
      <c r="H137" s="10">
        <v>-0.05</v>
      </c>
      <c r="I137" s="10">
        <v>-0.05</v>
      </c>
      <c r="J137" s="10">
        <v>-0.05</v>
      </c>
      <c r="K137" s="10">
        <v>-0.05</v>
      </c>
      <c r="L137" s="10">
        <v>-0.05</v>
      </c>
      <c r="M137" s="10">
        <v>-0.05</v>
      </c>
      <c r="N137" s="10"/>
    </row>
    <row r="138" spans="1:14">
      <c r="B138" s="8">
        <v>45717</v>
      </c>
      <c r="C138" s="10">
        <v>-0.05</v>
      </c>
      <c r="D138" s="10">
        <v>-0.05</v>
      </c>
      <c r="E138" s="10">
        <v>-0.05</v>
      </c>
      <c r="F138" s="10">
        <v>-0.05</v>
      </c>
      <c r="G138" s="10">
        <v>-0.05</v>
      </c>
      <c r="H138" s="10">
        <v>-0.05</v>
      </c>
      <c r="I138" s="10">
        <v>-0.05</v>
      </c>
      <c r="J138" s="10">
        <v>-0.05</v>
      </c>
      <c r="K138" s="10">
        <v>-0.05</v>
      </c>
      <c r="L138" s="10">
        <v>-0.05</v>
      </c>
      <c r="M138" s="10"/>
      <c r="N138" s="10"/>
    </row>
    <row r="139" spans="1:14">
      <c r="B139" s="8">
        <v>45748</v>
      </c>
      <c r="C139" s="10">
        <v>-0.05</v>
      </c>
      <c r="D139" s="10">
        <v>-0.05</v>
      </c>
      <c r="E139" s="10">
        <v>-0.05</v>
      </c>
      <c r="F139" s="10">
        <v>-0.05</v>
      </c>
      <c r="G139" s="10">
        <v>-0.05</v>
      </c>
      <c r="H139" s="10">
        <v>-0.05</v>
      </c>
      <c r="I139" s="10">
        <v>-0.05</v>
      </c>
      <c r="J139" s="10">
        <v>-0.05</v>
      </c>
      <c r="K139" s="10">
        <v>-0.05</v>
      </c>
      <c r="L139" s="10"/>
      <c r="M139" s="10"/>
      <c r="N139" s="10"/>
    </row>
    <row r="140" spans="1:14">
      <c r="B140" s="8">
        <v>45778</v>
      </c>
      <c r="C140" s="10">
        <v>-0.05</v>
      </c>
      <c r="D140" s="10">
        <v>-0.05</v>
      </c>
      <c r="E140" s="10">
        <v>-0.05</v>
      </c>
      <c r="F140" s="10">
        <v>-0.05</v>
      </c>
      <c r="G140" s="10">
        <v>-0.05</v>
      </c>
      <c r="H140" s="10">
        <v>-0.05</v>
      </c>
      <c r="I140" s="10">
        <v>-0.05</v>
      </c>
      <c r="J140" s="10">
        <v>-0.05</v>
      </c>
      <c r="K140" s="10"/>
      <c r="L140" s="10"/>
      <c r="M140" s="10"/>
      <c r="N140" s="10"/>
    </row>
    <row r="141" spans="1:14">
      <c r="B141" s="8">
        <v>45809</v>
      </c>
      <c r="C141" s="10">
        <v>-0.05</v>
      </c>
      <c r="D141" s="10">
        <v>-0.05</v>
      </c>
      <c r="E141" s="10">
        <v>-0.05</v>
      </c>
      <c r="F141" s="10">
        <v>-0.05</v>
      </c>
      <c r="G141" s="10">
        <v>-0.05</v>
      </c>
      <c r="H141" s="10">
        <v>-0.05</v>
      </c>
      <c r="I141" s="10">
        <v>-0.05</v>
      </c>
      <c r="J141" s="10"/>
      <c r="K141" s="10"/>
      <c r="L141" s="10"/>
      <c r="M141" s="10"/>
      <c r="N141" s="10"/>
    </row>
    <row r="142" spans="1:14">
      <c r="B142" s="8">
        <v>45839</v>
      </c>
      <c r="C142" s="10">
        <v>-0.05</v>
      </c>
      <c r="D142" s="10">
        <v>-0.05</v>
      </c>
      <c r="E142" s="10">
        <v>-0.05</v>
      </c>
      <c r="F142" s="10">
        <v>-0.05</v>
      </c>
      <c r="G142" s="10">
        <v>-0.05</v>
      </c>
      <c r="H142" s="10">
        <v>-0.05</v>
      </c>
      <c r="I142" s="10"/>
      <c r="J142" s="10"/>
      <c r="K142" s="10"/>
      <c r="L142" s="10"/>
      <c r="M142" s="10"/>
      <c r="N142" s="10"/>
    </row>
    <row r="143" spans="1:14">
      <c r="B143" s="8">
        <v>45870</v>
      </c>
      <c r="C143" s="10">
        <v>-0.05</v>
      </c>
      <c r="D143" s="10">
        <v>-0.05</v>
      </c>
      <c r="E143" s="10">
        <v>-0.05</v>
      </c>
      <c r="F143" s="10">
        <v>-0.05</v>
      </c>
      <c r="G143" s="10">
        <v>-0.05</v>
      </c>
      <c r="H143" s="10"/>
      <c r="I143" s="10"/>
      <c r="J143" s="10"/>
      <c r="K143" s="10"/>
      <c r="L143" s="10"/>
      <c r="M143" s="10"/>
      <c r="N143" s="10"/>
    </row>
    <row r="144" spans="1:14">
      <c r="B144" s="8">
        <v>45901</v>
      </c>
      <c r="C144" s="10">
        <v>-0.05</v>
      </c>
      <c r="D144" s="10">
        <v>-0.05</v>
      </c>
      <c r="E144" s="10">
        <v>-0.05</v>
      </c>
      <c r="F144" s="10">
        <v>-0.05</v>
      </c>
      <c r="G144" s="10"/>
      <c r="H144" s="10"/>
      <c r="I144" s="10"/>
      <c r="J144" s="10"/>
      <c r="K144" s="10"/>
      <c r="L144" s="10"/>
      <c r="M144" s="10"/>
      <c r="N144" s="10"/>
    </row>
    <row r="145" spans="1:14">
      <c r="B145" s="8">
        <v>45931</v>
      </c>
      <c r="C145" s="10">
        <v>-0.05</v>
      </c>
      <c r="D145" s="10">
        <v>-0.05</v>
      </c>
      <c r="E145" s="10">
        <v>-0.05</v>
      </c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>
      <c r="B146" s="8">
        <v>45962</v>
      </c>
      <c r="C146" s="10">
        <v>-0.05</v>
      </c>
      <c r="D146" s="10">
        <v>-0.05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>
      <c r="B147" s="8">
        <v>45992</v>
      </c>
      <c r="C147" s="10">
        <v>-0.05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9" spans="1:14">
      <c r="A149" s="6" t="s">
        <v>88</v>
      </c>
      <c r="B149" s="17" t="s">
        <v>89</v>
      </c>
    </row>
    <row r="150" spans="1:14">
      <c r="B150" s="1" t="s">
        <v>56</v>
      </c>
      <c r="C150" s="1" t="s">
        <v>31</v>
      </c>
      <c r="D150" s="1" t="s">
        <v>32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38</v>
      </c>
      <c r="K150" s="1" t="s">
        <v>39</v>
      </c>
      <c r="L150" s="1" t="s">
        <v>40</v>
      </c>
      <c r="M150" s="1" t="s">
        <v>41</v>
      </c>
      <c r="N150" s="1" t="s">
        <v>42</v>
      </c>
    </row>
    <row r="151" spans="1:14">
      <c r="B151" s="8">
        <v>45658</v>
      </c>
      <c r="C151" s="18">
        <v>-0.01</v>
      </c>
      <c r="D151" s="18">
        <v>-0.012</v>
      </c>
      <c r="E151" s="18">
        <v>-0.011</v>
      </c>
      <c r="F151" s="18">
        <v>-0.015</v>
      </c>
      <c r="G151" s="18">
        <v>-0.014</v>
      </c>
      <c r="H151" s="18">
        <v>-0.017</v>
      </c>
      <c r="I151" s="18">
        <v>-0.016</v>
      </c>
      <c r="J151" s="18">
        <v>-0.015</v>
      </c>
      <c r="K151" s="18">
        <v>-0.018</v>
      </c>
      <c r="L151" s="18">
        <v>-0.013</v>
      </c>
      <c r="M151" s="18">
        <v>-0.016</v>
      </c>
      <c r="N151" s="18">
        <v>-0.0155</v>
      </c>
    </row>
    <row r="152" spans="1:14">
      <c r="B152" s="8">
        <v>45689</v>
      </c>
      <c r="C152" s="18">
        <v>-0.012</v>
      </c>
      <c r="D152" s="18">
        <v>-0.011</v>
      </c>
      <c r="E152" s="18">
        <v>-0.015</v>
      </c>
      <c r="F152" s="18">
        <v>-0.014</v>
      </c>
      <c r="G152" s="18">
        <v>-0.017</v>
      </c>
      <c r="H152" s="18">
        <v>-0.016</v>
      </c>
      <c r="I152" s="18">
        <v>-0.015</v>
      </c>
      <c r="J152" s="18">
        <v>-0.018</v>
      </c>
      <c r="K152" s="18">
        <v>-0.013</v>
      </c>
      <c r="L152" s="18">
        <v>-0.016</v>
      </c>
      <c r="M152" s="18">
        <v>-0.0155</v>
      </c>
      <c r="N152" s="18"/>
    </row>
    <row r="153" spans="1:14">
      <c r="B153" s="8">
        <v>45717</v>
      </c>
      <c r="C153" s="18">
        <v>-0.011</v>
      </c>
      <c r="D153" s="18">
        <v>-0.015</v>
      </c>
      <c r="E153" s="18">
        <v>-0.014</v>
      </c>
      <c r="F153" s="18">
        <v>-0.017</v>
      </c>
      <c r="G153" s="18">
        <v>-0.016</v>
      </c>
      <c r="H153" s="18">
        <v>-0.015</v>
      </c>
      <c r="I153" s="18">
        <v>-0.018</v>
      </c>
      <c r="J153" s="18">
        <v>-0.013</v>
      </c>
      <c r="K153" s="18">
        <v>-0.016</v>
      </c>
      <c r="L153" s="18">
        <v>-0.0155</v>
      </c>
      <c r="M153" s="18"/>
      <c r="N153" s="18"/>
    </row>
    <row r="154" spans="1:14">
      <c r="B154" s="8">
        <v>45748</v>
      </c>
      <c r="C154" s="18">
        <v>-0.015</v>
      </c>
      <c r="D154" s="18">
        <v>-0.014</v>
      </c>
      <c r="E154" s="18">
        <v>-0.017</v>
      </c>
      <c r="F154" s="18">
        <v>-0.016</v>
      </c>
      <c r="G154" s="18">
        <v>-0.015</v>
      </c>
      <c r="H154" s="18">
        <v>-0.018</v>
      </c>
      <c r="I154" s="18">
        <v>-0.013</v>
      </c>
      <c r="J154" s="18">
        <v>-0.016</v>
      </c>
      <c r="K154" s="18">
        <v>-0.0155</v>
      </c>
      <c r="L154" s="18"/>
      <c r="M154" s="18"/>
      <c r="N154" s="18"/>
    </row>
    <row r="155" spans="1:14">
      <c r="B155" s="8">
        <v>45778</v>
      </c>
      <c r="C155" s="18">
        <v>-0.014</v>
      </c>
      <c r="D155" s="18">
        <v>-0.017</v>
      </c>
      <c r="E155" s="18">
        <v>-0.016</v>
      </c>
      <c r="F155" s="18">
        <v>-0.015</v>
      </c>
      <c r="G155" s="18">
        <v>-0.018</v>
      </c>
      <c r="H155" s="18">
        <v>-0.013</v>
      </c>
      <c r="I155" s="18">
        <v>-0.016</v>
      </c>
      <c r="J155" s="18">
        <v>-0.0155</v>
      </c>
      <c r="K155" s="18"/>
      <c r="L155" s="18"/>
      <c r="M155" s="18"/>
      <c r="N155" s="18"/>
    </row>
    <row r="156" spans="1:14">
      <c r="B156" s="8">
        <v>45809</v>
      </c>
      <c r="C156" s="18">
        <v>-0.017</v>
      </c>
      <c r="D156" s="18">
        <v>-0.016</v>
      </c>
      <c r="E156" s="18">
        <v>-0.015</v>
      </c>
      <c r="F156" s="18">
        <v>-0.018</v>
      </c>
      <c r="G156" s="18">
        <v>-0.013</v>
      </c>
      <c r="H156" s="18">
        <v>-0.016</v>
      </c>
      <c r="I156" s="18">
        <v>-0.0155</v>
      </c>
      <c r="J156" s="18"/>
      <c r="K156" s="18"/>
      <c r="L156" s="18"/>
      <c r="M156" s="18"/>
      <c r="N156" s="18"/>
    </row>
    <row r="157" spans="1:14">
      <c r="B157" s="8">
        <v>45839</v>
      </c>
      <c r="C157" s="18">
        <v>-0.016</v>
      </c>
      <c r="D157" s="18">
        <v>-0.015</v>
      </c>
      <c r="E157" s="18">
        <v>-0.018</v>
      </c>
      <c r="F157" s="18">
        <v>-0.013</v>
      </c>
      <c r="G157" s="18">
        <v>-0.016</v>
      </c>
      <c r="H157" s="18">
        <v>-0.0155</v>
      </c>
      <c r="I157" s="18"/>
      <c r="J157" s="18"/>
      <c r="K157" s="18"/>
      <c r="L157" s="18"/>
      <c r="M157" s="18"/>
      <c r="N157" s="18"/>
    </row>
    <row r="158" spans="1:14">
      <c r="B158" s="8">
        <v>45870</v>
      </c>
      <c r="C158" s="18">
        <v>-0.015</v>
      </c>
      <c r="D158" s="18">
        <v>-0.018</v>
      </c>
      <c r="E158" s="18">
        <v>-0.013</v>
      </c>
      <c r="F158" s="18">
        <v>-0.016</v>
      </c>
      <c r="G158" s="18">
        <v>-0.0155</v>
      </c>
      <c r="H158" s="18"/>
      <c r="I158" s="18"/>
      <c r="J158" s="18"/>
      <c r="K158" s="18"/>
      <c r="L158" s="18"/>
      <c r="M158" s="18"/>
      <c r="N158" s="18"/>
    </row>
    <row r="159" spans="1:14">
      <c r="B159" s="8">
        <v>45901</v>
      </c>
      <c r="C159" s="18">
        <v>-0.018</v>
      </c>
      <c r="D159" s="18">
        <v>-0.013</v>
      </c>
      <c r="E159" s="18">
        <v>-0.016</v>
      </c>
      <c r="F159" s="18">
        <v>-0.0155</v>
      </c>
      <c r="G159" s="18"/>
      <c r="H159" s="18"/>
      <c r="I159" s="18"/>
      <c r="J159" s="18"/>
      <c r="K159" s="18"/>
      <c r="L159" s="18"/>
      <c r="M159" s="18"/>
      <c r="N159" s="18"/>
    </row>
    <row r="160" spans="1:14">
      <c r="B160" s="8">
        <v>45931</v>
      </c>
      <c r="C160" s="18">
        <v>-0.013</v>
      </c>
      <c r="D160" s="18">
        <v>-0.016</v>
      </c>
      <c r="E160" s="18">
        <v>-0.0155</v>
      </c>
      <c r="F160" s="18"/>
      <c r="G160" s="18"/>
      <c r="H160" s="18"/>
      <c r="I160" s="18"/>
      <c r="J160" s="18"/>
      <c r="K160" s="18"/>
      <c r="L160" s="18"/>
      <c r="M160" s="18"/>
      <c r="N160" s="18"/>
    </row>
    <row r="161" spans="2:14">
      <c r="B161" s="8">
        <v>45962</v>
      </c>
      <c r="C161" s="18">
        <v>-0.016</v>
      </c>
      <c r="D161" s="18">
        <v>-0.0155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spans="2:14">
      <c r="B162" s="8">
        <v>45992</v>
      </c>
      <c r="C162" s="18">
        <v>-0.0155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</sheetData>
  <mergeCells count="8">
    <mergeCell ref="A1:H1"/>
    <mergeCell ref="A3:H3"/>
    <mergeCell ref="A83:H83"/>
    <mergeCell ref="B89:I89"/>
    <mergeCell ref="B104:I104"/>
    <mergeCell ref="B119:I119"/>
    <mergeCell ref="B134:I134"/>
    <mergeCell ref="B149:I149"/>
  </mergeCells>
  <conditionalFormatting sqref="C151:N1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1.贷中监控预警测算</vt:lpstr>
      <vt:lpstr>2.Vintage</vt:lpstr>
      <vt:lpstr>3.LTV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2026-04-02T09:33:00Z</dcterms:created>
  <dcterms:modified xsi:type="dcterms:W3CDTF">2026-04-15T09:58:44Z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9A7BE4E0B85E41BE89BE85DEB71C646C_12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