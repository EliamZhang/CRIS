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数字化转型规划测算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<sst xmlns="http://schemas.openxmlformats.org/spreadsheetml/2006/main" count="29" uniqueCount="25">
  <si>
    <t>十、总结与建议 — 三年数字化转型投入产出测算</t>
  </si>
  <si>
    <t>1. 三年分阶段投入测算(万元)</t>
  </si>
  <si>
    <t>建设内容</t>
  </si>
  <si>
    <t>第一年</t>
  </si>
  <si>
    <t>第二年</t>
  </si>
  <si>
    <t>第三年</t>
  </si>
  <si>
    <t>合计</t>
  </si>
  <si>
    <t>数据中台建设</t>
  </si>
  <si>
    <t>评分卡与ML模型</t>
  </si>
  <si>
    <t>图计算反欺诈</t>
  </si>
  <si>
    <t>EWS预警体系</t>
  </si>
  <si>
    <t>AI催收机器人</t>
  </si>
  <si>
    <t>实时决策引擎</t>
  </si>
  <si>
    <t>差异化定价引擎</t>
  </si>
  <si>
    <t>年度投入小计</t>
  </si>
  <si>
    <t>2. 三年收益测算(万元)</t>
  </si>
  <si>
    <t>收益项</t>
  </si>
  <si>
    <t>逾期率下降减少损失</t>
  </si>
  <si>
    <t>催收成本节约</t>
  </si>
  <si>
    <t>运营效率提升</t>
  </si>
  <si>
    <t>优质客户提升留存</t>
  </si>
  <si>
    <t>年度收益小计</t>
  </si>
  <si>
    <t>3. ROI测算</t>
  </si>
  <si>
    <t>年度净收益(万元)</t>
  </si>
  <si>
    <t>累计ROI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</si>
</sst>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* #,##0_ ;_ * \-#,##0_ ;_ * &quot;-&quot;??_ ;_ @_ "/>
    <numFmt numFmtId="177" formatCode="0.0%"/>
  </numFmts>
  <fonts count="28">
    <font>
      <sz val="11"/>
      <color theme="1"/>
      <name val="宋体"/>
      <charset val="134"/>
      <scheme val="minor"/>
    </font>
    <font>
      <b/>
      <sz val="14"/>
      <color rgb="FF1F3864"/>
      <name val="微软雅黑"/>
      <charset val="134"/>
    </font>
    <font>
      <b/>
      <sz val="11"/>
      <color rgb="FF2E75B6"/>
      <name val="微软雅黑"/>
      <charset val="134"/>
    </font>
    <font>
      <b/>
      <sz val="10"/>
      <color rgb="FFFFFFFF"/>
      <name val="微软雅黑"/>
      <charset val="134"/>
    </font>
    <font>
      <sz val="10"/>
      <color theme="1"/>
      <name val="微软雅黑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2E75B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rgb="FFCCCCCC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7" borderId="9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176" fontId="4" fillId="3" borderId="1" xfId="0" applyNumberFormat="1" applyFont="1" applyFill="1" applyBorder="1" applyAlignment="1">
      <alignment horizontal="left" vertical="center" wrapText="1"/>
    </xf>
    <xf numFmtId="176" fontId="5" fillId="3" borderId="1" xfId="0" applyNumberFormat="1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left" vertical="center" wrapText="1"/>
    </xf>
    <xf numFmtId="176" fontId="4" fillId="3" borderId="3" xfId="0" applyNumberFormat="1" applyFont="1" applyFill="1" applyBorder="1" applyAlignment="1">
      <alignment horizontal="left" vertical="center" wrapText="1"/>
    </xf>
    <xf numFmtId="0" fontId="6" fillId="0" borderId="0" xfId="0" applyFont="1" applyFill="1" applyAlignment="1"/>
    <xf numFmtId="0" fontId="4" fillId="3" borderId="1" xfId="0" applyFont="1" applyFill="1" applyBorder="1" applyAlignment="1">
      <alignment horizontal="left" vertical="center" wrapText="1"/>
    </xf>
    <xf numFmtId="176" fontId="4" fillId="3" borderId="1" xfId="0" applyNumberFormat="1" applyFont="1" applyFill="1" applyBorder="1" applyAlignment="1">
      <alignment horizontal="left" vertical="center" wrapText="1"/>
    </xf>
    <xf numFmtId="176" fontId="5" fillId="3" borderId="1" xfId="0" applyNumberFormat="1" applyFont="1" applyFill="1" applyBorder="1" applyAlignment="1">
      <alignment horizontal="left" vertical="center" wrapText="1"/>
    </xf>
    <xf numFmtId="0" fontId="2" fillId="0" borderId="0" xfId="0" applyFont="1" applyFill="1" applyAlignment="1"/>
    <xf numFmtId="0" fontId="7" fillId="0" borderId="0" xfId="0" applyFont="1" applyFill="1" applyAlignment="1"/>
    <xf numFmtId="176" fontId="7" fillId="0" borderId="0" xfId="0" applyNumberFormat="1" applyFont="1" applyFill="1" applyAlignment="1"/>
    <xf numFmtId="177" fontId="8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tabSelected="1" topLeftCell="A8" workbookViewId="0">
      <selection activeCell="F17" sqref="F17"/>
    </sheetView>
  </sheetViews>
  <sheetFormatPr defaultColWidth="9" defaultRowHeight="14" outlineLevelCol="7"/>
  <cols>
    <col min="1" max="1" width="27" customWidth="1"/>
    <col min="2" max="5" width="17" customWidth="1"/>
  </cols>
  <sheetData>
    <row r="1" ht="35" customHeight="1" spans="1:8">
      <c r="A1" s="1" t="s">
        <v>0</v>
      </c>
    </row>
    <row r="3" ht="16.5" spans="1:8">
      <c r="A3" s="2" t="s">
        <v>1</v>
      </c>
    </row>
    <row r="4" ht="14.5" spans="1:8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ht="14.5" spans="1:8">
      <c r="A5" s="4" t="s">
        <v>7</v>
      </c>
      <c r="B5" s="5">
        <v>500</v>
      </c>
      <c r="C5" s="5">
        <v>200</v>
      </c>
      <c r="D5" s="5">
        <v>100</v>
      </c>
      <c r="E5" s="5">
        <f t="shared" ref="E5:E11" si="0">SUM(B5:D5)</f>
        <v>800</v>
      </c>
    </row>
    <row r="6" ht="14.5" spans="1:8">
      <c r="A6" s="4" t="s">
        <v>8</v>
      </c>
      <c r="B6" s="5">
        <v>300</v>
      </c>
      <c r="C6" s="5">
        <v>200</v>
      </c>
      <c r="D6" s="5">
        <v>150</v>
      </c>
      <c r="E6" s="5">
        <f t="shared" si="0"/>
        <v>650</v>
      </c>
    </row>
    <row r="7" ht="14.5" spans="1:8">
      <c r="A7" s="4" t="s">
        <v>9</v>
      </c>
      <c r="B7" s="5">
        <v>0</v>
      </c>
      <c r="C7" s="5">
        <v>350</v>
      </c>
      <c r="D7" s="5">
        <v>100</v>
      </c>
      <c r="E7" s="5">
        <f t="shared" si="0"/>
        <v>450</v>
      </c>
    </row>
    <row r="8" ht="14.5" spans="1:8">
      <c r="A8" s="4" t="s">
        <v>10</v>
      </c>
      <c r="B8" s="5">
        <v>0</v>
      </c>
      <c r="C8" s="5">
        <v>250</v>
      </c>
      <c r="D8" s="5">
        <v>100</v>
      </c>
      <c r="E8" s="5">
        <f t="shared" si="0"/>
        <v>350</v>
      </c>
    </row>
    <row r="9" ht="14.5" spans="1:8">
      <c r="A9" s="4" t="s">
        <v>11</v>
      </c>
      <c r="B9" s="5">
        <v>0</v>
      </c>
      <c r="C9" s="5">
        <v>300</v>
      </c>
      <c r="D9" s="5">
        <v>100</v>
      </c>
      <c r="E9" s="5">
        <f t="shared" si="0"/>
        <v>400</v>
      </c>
    </row>
    <row r="10" ht="14.5" spans="1:8">
      <c r="A10" s="4" t="s">
        <v>12</v>
      </c>
      <c r="B10" s="5">
        <v>100</v>
      </c>
      <c r="C10" s="5">
        <v>200</v>
      </c>
      <c r="D10" s="5"/>
      <c r="E10" s="5">
        <f t="shared" si="0"/>
        <v>300</v>
      </c>
    </row>
    <row r="11" ht="14.5" spans="1:8">
      <c r="A11" s="4" t="s">
        <v>13</v>
      </c>
      <c r="B11" s="5">
        <v>0</v>
      </c>
      <c r="C11" s="5">
        <v>0</v>
      </c>
      <c r="D11" s="5">
        <v>300</v>
      </c>
      <c r="E11" s="5">
        <f t="shared" si="0"/>
        <v>300</v>
      </c>
    </row>
    <row r="12" ht="14.5" spans="1:8">
      <c r="A12" s="4" t="s">
        <v>14</v>
      </c>
      <c r="B12" s="6">
        <f>SUM(B5:B11)</f>
        <v>900</v>
      </c>
      <c r="C12" s="6">
        <f>SUM(C5:C11)</f>
        <v>1500</v>
      </c>
      <c r="D12" s="6">
        <f>SUM(D5:D11)</f>
        <v>850</v>
      </c>
      <c r="E12" s="6">
        <f>SUM(E5:E11)</f>
        <v>3250</v>
      </c>
    </row>
    <row r="14" ht="16.5" spans="1:8">
      <c r="A14" s="2" t="s">
        <v>15</v>
      </c>
    </row>
    <row r="15" ht="14.5" spans="1:8">
      <c r="A15" s="7" t="s">
        <v>16</v>
      </c>
      <c r="B15" s="7" t="s">
        <v>3</v>
      </c>
      <c r="C15" s="7" t="s">
        <v>4</v>
      </c>
      <c r="D15" s="7" t="s">
        <v>5</v>
      </c>
      <c r="E15" s="7" t="s">
        <v>6</v>
      </c>
    </row>
    <row r="16" ht="14.5" spans="1:8">
      <c r="A16" s="8" t="s">
        <v>17</v>
      </c>
      <c r="B16" s="9">
        <v>3000</v>
      </c>
      <c r="C16" s="9">
        <v>6000</v>
      </c>
      <c r="D16" s="9">
        <v>9000</v>
      </c>
      <c r="E16" s="9">
        <f t="shared" ref="E16:E20" si="1">SUM(B16:D16)</f>
        <v>18000</v>
      </c>
      <c r="F16" s="10"/>
      <c r="G16" s="10"/>
      <c r="H16" s="10"/>
    </row>
    <row r="17" ht="14.5" spans="1:8">
      <c r="A17" s="11" t="s">
        <v>18</v>
      </c>
      <c r="B17" s="12">
        <v>0</v>
      </c>
      <c r="C17" s="12">
        <v>1200</v>
      </c>
      <c r="D17" s="12">
        <v>2000</v>
      </c>
      <c r="E17" s="12">
        <f t="shared" si="1"/>
        <v>3200</v>
      </c>
      <c r="F17" s="10"/>
      <c r="G17" s="10"/>
      <c r="H17" s="10"/>
    </row>
    <row r="18" ht="14.5" spans="1:8">
      <c r="A18" s="11" t="s">
        <v>19</v>
      </c>
      <c r="B18" s="13">
        <f>SUM(B14:B17)</f>
        <v>3000</v>
      </c>
      <c r="C18" s="13">
        <f>SUM(C14:C17)</f>
        <v>7200</v>
      </c>
      <c r="D18" s="13">
        <f>SUM(D14:D17)</f>
        <v>11000</v>
      </c>
      <c r="E18" s="13">
        <f>SUM(E14:E17)</f>
        <v>21200</v>
      </c>
      <c r="F18" s="10"/>
      <c r="G18" s="10"/>
      <c r="H18" s="10"/>
    </row>
    <row r="19" ht="14.5" spans="1:8">
      <c r="A19" s="11" t="s">
        <v>20</v>
      </c>
      <c r="B19" s="12">
        <v>800</v>
      </c>
      <c r="C19" s="12">
        <v>2000</v>
      </c>
      <c r="D19" s="12">
        <v>4000</v>
      </c>
      <c r="E19" s="12">
        <f t="shared" si="1"/>
        <v>6800</v>
      </c>
      <c r="F19" s="10"/>
      <c r="G19" s="10"/>
      <c r="H19" s="10"/>
    </row>
    <row r="20" ht="14.5" spans="1:8">
      <c r="A20" s="11" t="s">
        <v>21</v>
      </c>
      <c r="B20" s="12">
        <f>SUM(B16:B19)</f>
        <v>6800</v>
      </c>
      <c r="C20" s="12">
        <f>SUM(C16:C19)</f>
        <v>16400</v>
      </c>
      <c r="D20" s="12">
        <f>SUM(D16:D19)</f>
        <v>26000</v>
      </c>
      <c r="E20" s="12">
        <f t="shared" si="1"/>
        <v>49200</v>
      </c>
      <c r="F20" s="10"/>
      <c r="G20" s="10"/>
      <c r="H20" s="10"/>
    </row>
    <row r="21" spans="1:8">
      <c r="A21" s="10"/>
      <c r="B21" s="10"/>
      <c r="C21" s="10"/>
      <c r="D21" s="10"/>
      <c r="E21" s="10"/>
      <c r="F21" s="10"/>
      <c r="G21" s="10"/>
      <c r="H21" s="10"/>
    </row>
    <row r="22" ht="16.5" spans="1:8">
      <c r="A22" s="14" t="s">
        <v>22</v>
      </c>
      <c r="B22" s="10"/>
      <c r="C22" s="10"/>
      <c r="D22" s="10"/>
      <c r="E22" s="10"/>
      <c r="F22" s="10"/>
      <c r="G22" s="10"/>
      <c r="H22" s="10"/>
    </row>
    <row r="23" spans="1:8">
      <c r="A23" s="15" t="s">
        <v>23</v>
      </c>
      <c r="B23" s="16">
        <f>B20-B12</f>
        <v>5900</v>
      </c>
      <c r="C23" s="16">
        <f>C20-C12</f>
        <v>14900</v>
      </c>
      <c r="D23" s="16">
        <f>D20-D12</f>
        <v>25150</v>
      </c>
      <c r="E23" s="16">
        <f>E20-E12</f>
        <v>45950</v>
      </c>
      <c r="F23" s="10"/>
      <c r="G23" s="10"/>
      <c r="H23" s="10"/>
    </row>
    <row r="24" spans="1:8">
      <c r="A24" s="15" t="s">
        <v>24</v>
      </c>
      <c r="B24" s="10"/>
      <c r="C24" s="10"/>
      <c r="D24" s="10"/>
      <c r="E24" s="17">
        <f>E20/E12</f>
        <v>15.1384615384615</v>
      </c>
      <c r="F24" s="10"/>
      <c r="G24" s="10"/>
      <c r="H24" s="10"/>
    </row>
  </sheetData>
  <mergeCells count="4">
    <mergeCell ref="A1:H1"/>
    <mergeCell ref="A3:H3"/>
    <mergeCell ref="A14:H14"/>
    <mergeCell ref="A22:H22"/>
  </mergeCells>
  <pageMargins left="0.75" right="0.75" top="1" bottom="1" header="0.5" footer="0.5"/>
  <headerFooter/>
  <ignoredErrors>
    <ignoredError sqref="E18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数字化转型规划测算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2026-04-02T09:33:00Z</dcterms:created>
  <dcterms:modified xsi:type="dcterms:W3CDTF">2026-04-04T14:32:25Z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FF6B477D295D4BB8805B086D1E7F68A4_12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