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1.额度测算" sheetId="1" r:id="rId1"/>
    <sheet name="2.定价测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<sst xmlns="http://schemas.openxmlformats.org/spreadsheetml/2006/main" count="134" uniqueCount="118">
  <si>
    <r>
      <rPr>
        <b/>
        <sz val="14"/>
        <color rgb="FF1F3864"/>
        <rFont val="Arial"/>
        <charset val="134"/>
      </rPr>
      <t>4.1</t>
    </r>
    <r>
      <rPr>
        <b/>
        <sz val="14"/>
        <color rgb="FF1F3864"/>
        <rFont val="微软雅黑"/>
        <charset val="134"/>
      </rPr>
      <t>、额度策略</t>
    </r>
    <r>
      <rPr>
        <b/>
        <sz val="14"/>
        <color rgb="FF1F3864"/>
        <rFont val="Arial"/>
        <charset val="134"/>
      </rPr>
      <t xml:space="preserve"> — </t>
    </r>
    <r>
      <rPr>
        <b/>
        <sz val="14"/>
        <color rgb="FF1F3864"/>
        <rFont val="微软雅黑"/>
        <charset val="134"/>
      </rPr>
      <t>差异化额度测算</t>
    </r>
  </si>
  <si>
    <t>4.1.1 初始额度流程</t>
  </si>
  <si>
    <r>
      <rPr>
        <b/>
        <sz val="11"/>
        <color theme="1"/>
        <rFont val="宋体"/>
        <charset val="134"/>
      </rPr>
      <t>用户额度输出</t>
    </r>
    <r>
      <rPr>
        <b/>
        <sz val="11"/>
        <color theme="1"/>
        <rFont val="Arial"/>
        <charset val="134"/>
      </rPr>
      <t>:</t>
    </r>
  </si>
  <si>
    <r>
      <rPr>
        <b/>
        <sz val="11"/>
        <color theme="1"/>
        <rFont val="Arial"/>
        <charset val="134"/>
      </rPr>
      <t>1).</t>
    </r>
    <r>
      <rPr>
        <b/>
        <sz val="11"/>
        <color theme="1"/>
        <rFont val="宋体"/>
        <charset val="134"/>
      </rPr>
      <t>只有还款意愿数据，没有还款能力数据：</t>
    </r>
  </si>
  <si>
    <r>
      <rPr>
        <b/>
        <sz val="10"/>
        <color rgb="FFFFFFFF"/>
        <rFont val="宋体"/>
        <charset val="134"/>
      </rPr>
      <t>评分区间</t>
    </r>
  </si>
  <si>
    <r>
      <rPr>
        <b/>
        <sz val="10"/>
        <color rgb="FFFFFFFF"/>
        <rFont val="宋体"/>
        <charset val="134"/>
      </rPr>
      <t>风险等级</t>
    </r>
  </si>
  <si>
    <r>
      <rPr>
        <b/>
        <sz val="10"/>
        <color rgb="FFFFFFFF"/>
        <rFont val="宋体"/>
        <charset val="134"/>
      </rPr>
      <t>逾期率预估</t>
    </r>
  </si>
  <si>
    <r>
      <rPr>
        <b/>
        <sz val="10"/>
        <color rgb="FFFFFFFF"/>
        <rFont val="宋体"/>
        <charset val="134"/>
      </rPr>
      <t>建议授信额度</t>
    </r>
  </si>
  <si>
    <r>
      <rPr>
        <b/>
        <sz val="10"/>
        <color rgb="FFFFFFFF"/>
        <rFont val="宋体"/>
        <charset val="134"/>
      </rPr>
      <t>额度策略</t>
    </r>
  </si>
  <si>
    <t>[700,+)</t>
  </si>
  <si>
    <r>
      <rPr>
        <sz val="10"/>
        <color theme="1"/>
        <rFont val="宋体"/>
        <charset val="134"/>
      </rPr>
      <t>极低风险</t>
    </r>
  </si>
  <si>
    <t>&lt; 0.5%</t>
  </si>
  <si>
    <r>
      <rPr>
        <sz val="10"/>
        <color theme="1"/>
        <rFont val="Arial"/>
        <charset val="134"/>
      </rPr>
      <t>20,000–50,000</t>
    </r>
    <r>
      <rPr>
        <sz val="10"/>
        <color theme="1"/>
        <rFont val="宋体"/>
        <charset val="134"/>
      </rPr>
      <t>元</t>
    </r>
  </si>
  <si>
    <r>
      <rPr>
        <sz val="10"/>
        <color theme="1"/>
        <rFont val="宋体"/>
        <charset val="134"/>
      </rPr>
      <t>高额度激励，主动营销</t>
    </r>
  </si>
  <si>
    <t>[600,700)</t>
  </si>
  <si>
    <r>
      <rPr>
        <sz val="10"/>
        <color theme="1"/>
        <rFont val="宋体"/>
        <charset val="134"/>
      </rPr>
      <t>低风险</t>
    </r>
  </si>
  <si>
    <t>0.5%–1.5%</t>
  </si>
  <si>
    <r>
      <rPr>
        <sz val="10"/>
        <color theme="1"/>
        <rFont val="Arial"/>
        <charset val="134"/>
      </rPr>
      <t>10,000–20,000</t>
    </r>
    <r>
      <rPr>
        <sz val="10"/>
        <color theme="1"/>
        <rFont val="宋体"/>
        <charset val="134"/>
      </rPr>
      <t>元</t>
    </r>
  </si>
  <si>
    <r>
      <rPr>
        <sz val="10"/>
        <color theme="1"/>
        <rFont val="宋体"/>
        <charset val="134"/>
      </rPr>
      <t>常规授信，适度提额</t>
    </r>
  </si>
  <si>
    <t>[500,600)</t>
  </si>
  <si>
    <r>
      <rPr>
        <sz val="10"/>
        <color theme="1"/>
        <rFont val="宋体"/>
        <charset val="134"/>
      </rPr>
      <t>中等风险</t>
    </r>
  </si>
  <si>
    <t>1.5%–3.5%</t>
  </si>
  <si>
    <r>
      <rPr>
        <sz val="10"/>
        <color theme="1"/>
        <rFont val="Arial"/>
        <charset val="134"/>
      </rPr>
      <t>5,000–10,000</t>
    </r>
    <r>
      <rPr>
        <sz val="10"/>
        <color theme="1"/>
        <rFont val="宋体"/>
        <charset val="134"/>
      </rPr>
      <t>元</t>
    </r>
  </si>
  <si>
    <r>
      <rPr>
        <sz val="10"/>
        <color theme="1"/>
        <rFont val="宋体"/>
        <charset val="134"/>
      </rPr>
      <t>保守授信，关注行为</t>
    </r>
  </si>
  <si>
    <t>[400,500)</t>
  </si>
  <si>
    <r>
      <rPr>
        <sz val="10"/>
        <color theme="1"/>
        <rFont val="宋体"/>
        <charset val="134"/>
      </rPr>
      <t>较高风险</t>
    </r>
  </si>
  <si>
    <t>3.5%–6.0%</t>
  </si>
  <si>
    <r>
      <rPr>
        <sz val="10"/>
        <color theme="1"/>
        <rFont val="Arial"/>
        <charset val="134"/>
      </rPr>
      <t>2,000–5,000</t>
    </r>
    <r>
      <rPr>
        <sz val="10"/>
        <color theme="1"/>
        <rFont val="宋体"/>
        <charset val="134"/>
      </rPr>
      <t>元</t>
    </r>
  </si>
  <si>
    <r>
      <rPr>
        <sz val="10"/>
        <color theme="1"/>
        <rFont val="宋体"/>
        <charset val="134"/>
      </rPr>
      <t>低起始额度，观察期</t>
    </r>
  </si>
  <si>
    <r>
      <rPr>
        <sz val="10"/>
        <color theme="1"/>
        <rFont val="Arial"/>
        <charset val="134"/>
      </rPr>
      <t>&lt; 400</t>
    </r>
    <r>
      <rPr>
        <sz val="10"/>
        <color theme="1"/>
        <rFont val="宋体"/>
        <charset val="134"/>
      </rPr>
      <t>分</t>
    </r>
  </si>
  <si>
    <r>
      <rPr>
        <sz val="10"/>
        <color theme="1"/>
        <rFont val="宋体"/>
        <charset val="134"/>
      </rPr>
      <t>高风险</t>
    </r>
  </si>
  <si>
    <t>&gt; 6.0%</t>
  </si>
  <si>
    <r>
      <rPr>
        <sz val="10"/>
        <color theme="1"/>
        <rFont val="宋体"/>
        <charset val="134"/>
      </rPr>
      <t>拒绝或</t>
    </r>
    <r>
      <rPr>
        <sz val="10"/>
        <color theme="1"/>
        <rFont val="Arial"/>
        <charset val="134"/>
      </rPr>
      <t>500–2,000</t>
    </r>
    <r>
      <rPr>
        <sz val="10"/>
        <color theme="1"/>
        <rFont val="宋体"/>
        <charset val="134"/>
      </rPr>
      <t>元</t>
    </r>
  </si>
  <si>
    <r>
      <rPr>
        <sz val="10"/>
        <color theme="1"/>
        <rFont val="宋体"/>
        <charset val="134"/>
      </rPr>
      <t>拒贷或安全网兜底</t>
    </r>
  </si>
  <si>
    <r>
      <rPr>
        <b/>
        <sz val="11"/>
        <color theme="1"/>
        <rFont val="Arial"/>
        <charset val="134"/>
      </rPr>
      <t>2).</t>
    </r>
    <r>
      <rPr>
        <b/>
        <sz val="11"/>
        <color theme="1"/>
        <rFont val="宋体"/>
        <charset val="134"/>
      </rPr>
      <t>既有还款能力数据，也有还款意愿数据</t>
    </r>
  </si>
  <si>
    <r>
      <rPr>
        <b/>
        <sz val="11"/>
        <color theme="1"/>
        <rFont val="宋体"/>
        <charset val="134"/>
      </rPr>
      <t>基础额度</t>
    </r>
    <r>
      <rPr>
        <b/>
        <sz val="11"/>
        <color theme="1"/>
        <rFont val="Arial"/>
        <charset val="134"/>
      </rPr>
      <t>:5000</t>
    </r>
  </si>
  <si>
    <r>
      <rPr>
        <b/>
        <sz val="11"/>
        <color theme="1"/>
        <rFont val="宋体"/>
        <charset val="134"/>
      </rPr>
      <t>额度系数如下</t>
    </r>
    <r>
      <rPr>
        <b/>
        <sz val="11"/>
        <color theme="1"/>
        <rFont val="Arial"/>
        <charset val="134"/>
      </rPr>
      <t>:</t>
    </r>
  </si>
  <si>
    <r>
      <rPr>
        <b/>
        <sz val="11"/>
        <color theme="0"/>
        <rFont val="Arial"/>
        <charset val="134"/>
      </rPr>
      <t xml:space="preserve">                 </t>
    </r>
    <r>
      <rPr>
        <b/>
        <sz val="11"/>
        <color theme="0"/>
        <rFont val="宋体"/>
        <charset val="134"/>
      </rPr>
      <t>还款能力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宋体"/>
        <charset val="134"/>
      </rPr>
      <t>还款意愿</t>
    </r>
  </si>
  <si>
    <r>
      <rPr>
        <b/>
        <sz val="11"/>
        <color theme="0"/>
        <rFont val="宋体"/>
        <charset val="134"/>
      </rPr>
      <t>高</t>
    </r>
  </si>
  <si>
    <r>
      <rPr>
        <b/>
        <sz val="11"/>
        <color theme="0"/>
        <rFont val="宋体"/>
        <charset val="134"/>
      </rPr>
      <t>中高</t>
    </r>
    <r>
      <rPr>
        <b/>
        <sz val="11"/>
        <color theme="0"/>
        <rFont val="Arial"/>
        <charset val="134"/>
      </rPr>
      <t xml:space="preserve"> </t>
    </r>
  </si>
  <si>
    <t>中</t>
  </si>
  <si>
    <t>低</t>
  </si>
  <si>
    <r>
      <rPr>
        <sz val="11"/>
        <color theme="1"/>
        <rFont val="宋体"/>
        <charset val="134"/>
      </rPr>
      <t>用户授信额度</t>
    </r>
    <r>
      <rPr>
        <sz val="11"/>
        <color theme="1"/>
        <rFont val="Arial"/>
        <charset val="134"/>
      </rPr>
      <t>=max(</t>
    </r>
    <r>
      <rPr>
        <sz val="11"/>
        <color theme="1"/>
        <rFont val="宋体"/>
        <charset val="134"/>
      </rPr>
      <t>产品最低额度，</t>
    </r>
    <r>
      <rPr>
        <sz val="11"/>
        <color theme="1"/>
        <rFont val="Arial"/>
        <charset val="134"/>
      </rPr>
      <t>min(</t>
    </r>
    <r>
      <rPr>
        <sz val="11"/>
        <color theme="1"/>
        <rFont val="宋体"/>
        <charset val="134"/>
      </rPr>
      <t>基础额度</t>
    </r>
    <r>
      <rPr>
        <sz val="11"/>
        <color theme="1"/>
        <rFont val="Arial"/>
        <charset val="134"/>
      </rPr>
      <t>*</t>
    </r>
    <r>
      <rPr>
        <sz val="11"/>
        <color theme="1"/>
        <rFont val="宋体"/>
        <charset val="134"/>
      </rPr>
      <t>额度系数</t>
    </r>
    <r>
      <rPr>
        <sz val="11"/>
        <color theme="1"/>
        <rFont val="Arial"/>
        <charset val="134"/>
      </rPr>
      <t>,</t>
    </r>
    <r>
      <rPr>
        <sz val="11"/>
        <color theme="1"/>
        <rFont val="宋体"/>
        <charset val="134"/>
      </rPr>
      <t>产品额度帽子</t>
    </r>
    <r>
      <rPr>
        <sz val="11"/>
        <color theme="1"/>
        <rFont val="Arial"/>
        <charset val="134"/>
      </rPr>
      <t>))</t>
    </r>
  </si>
  <si>
    <r>
      <rPr>
        <b/>
        <sz val="11"/>
        <color theme="1"/>
        <rFont val="宋体"/>
        <charset val="134"/>
      </rPr>
      <t>3)额度效果监控</t>
    </r>
    <r>
      <rPr>
        <b/>
        <sz val="11"/>
        <color theme="1"/>
        <rFont val="Arial"/>
        <charset val="134"/>
      </rPr>
      <t>:</t>
    </r>
  </si>
  <si>
    <r>
      <rPr>
        <sz val="10"/>
        <color theme="1"/>
        <rFont val="Arial"/>
        <charset val="134"/>
      </rPr>
      <t>3.1</t>
    </r>
    <r>
      <rPr>
        <sz val="11"/>
        <color theme="1"/>
        <rFont val="宋体"/>
        <charset val="134"/>
      </rPr>
      <t>风险：</t>
    </r>
  </si>
  <si>
    <r>
      <rPr>
        <sz val="10"/>
        <color theme="1"/>
        <rFont val="Arial"/>
        <charset val="134"/>
      </rPr>
      <t xml:space="preserve">1) </t>
    </r>
    <r>
      <rPr>
        <sz val="10"/>
        <color theme="1"/>
        <rFont val="宋体"/>
        <charset val="134"/>
      </rPr>
      <t>比较快速的反应指标为</t>
    </r>
    <r>
      <rPr>
        <sz val="10"/>
        <color theme="1"/>
        <rFont val="Arial"/>
        <charset val="134"/>
      </rPr>
      <t>fpd7%,</t>
    </r>
    <r>
      <rPr>
        <sz val="10"/>
        <color theme="1"/>
        <rFont val="宋体"/>
        <charset val="134"/>
      </rPr>
      <t>监控用户的评分卡</t>
    </r>
    <r>
      <rPr>
        <sz val="10"/>
        <color theme="1"/>
        <rFont val="Arial"/>
        <charset val="134"/>
      </rPr>
      <t>(A/B/CD)</t>
    </r>
    <r>
      <rPr>
        <sz val="10"/>
        <color theme="1"/>
        <rFont val="宋体"/>
        <charset val="134"/>
      </rPr>
      <t>是否符合预期</t>
    </r>
  </si>
  <si>
    <r>
      <rPr>
        <sz val="10"/>
        <color theme="1"/>
        <rFont val="Arial"/>
        <charset val="134"/>
      </rPr>
      <t xml:space="preserve">2) </t>
    </r>
    <r>
      <rPr>
        <sz val="10"/>
        <color theme="1"/>
        <rFont val="宋体"/>
        <charset val="134"/>
      </rPr>
      <t>长期指标，结合</t>
    </r>
    <r>
      <rPr>
        <sz val="10"/>
        <color theme="1"/>
        <rFont val="Arial"/>
        <charset val="134"/>
      </rPr>
      <t>vintage</t>
    </r>
    <r>
      <rPr>
        <sz val="10"/>
        <color theme="1"/>
        <rFont val="宋体"/>
        <charset val="134"/>
      </rPr>
      <t>平稳趋势最早的</t>
    </r>
    <r>
      <rPr>
        <sz val="10"/>
        <color theme="1"/>
        <rFont val="Arial"/>
        <charset val="134"/>
      </rPr>
      <t>mob</t>
    </r>
    <r>
      <rPr>
        <sz val="10"/>
        <color theme="1"/>
        <rFont val="宋体"/>
        <charset val="134"/>
      </rPr>
      <t>和</t>
    </r>
    <r>
      <rPr>
        <sz val="10"/>
        <color theme="1"/>
        <rFont val="Arial"/>
        <charset val="134"/>
      </rPr>
      <t>roll rate</t>
    </r>
    <r>
      <rPr>
        <sz val="10"/>
        <color theme="1"/>
        <rFont val="宋体"/>
        <charset val="134"/>
      </rPr>
      <t>滚动率较高的</t>
    </r>
    <r>
      <rPr>
        <sz val="10"/>
        <color theme="1"/>
        <rFont val="Arial"/>
        <charset val="134"/>
      </rPr>
      <t>bucket</t>
    </r>
  </si>
  <si>
    <r>
      <rPr>
        <sz val="10"/>
        <color theme="1"/>
        <rFont val="Arial"/>
        <charset val="134"/>
      </rPr>
      <t xml:space="preserve">3.2.2 </t>
    </r>
    <r>
      <rPr>
        <sz val="10"/>
        <color theme="1"/>
        <rFont val="宋体"/>
        <charset val="134"/>
      </rPr>
      <t>额度使用率</t>
    </r>
  </si>
  <si>
    <r>
      <rPr>
        <sz val="10"/>
        <color theme="1"/>
        <rFont val="Arial"/>
        <charset val="134"/>
      </rPr>
      <t xml:space="preserve">3.2.3 </t>
    </r>
    <r>
      <rPr>
        <sz val="10"/>
        <color theme="1"/>
        <rFont val="宋体"/>
        <charset val="134"/>
      </rPr>
      <t>利润率</t>
    </r>
  </si>
  <si>
    <r>
      <rPr>
        <sz val="11"/>
        <color theme="1"/>
        <rFont val="Arial"/>
        <charset val="134"/>
      </rPr>
      <t xml:space="preserve">3.2.4 </t>
    </r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GMV</t>
    </r>
    <r>
      <rPr>
        <sz val="11"/>
        <color theme="1"/>
        <rFont val="宋体"/>
        <charset val="134"/>
      </rPr>
      <t>的影响</t>
    </r>
  </si>
  <si>
    <r>
      <rPr>
        <sz val="11"/>
        <color theme="1"/>
        <rFont val="Arial"/>
        <charset val="134"/>
      </rPr>
      <t xml:space="preserve">3.2.5 </t>
    </r>
    <r>
      <rPr>
        <sz val="11"/>
        <color theme="1"/>
        <rFont val="宋体"/>
        <charset val="134"/>
      </rPr>
      <t>用户满意度，提升用户体验</t>
    </r>
  </si>
  <si>
    <t>4.1.2 贷中提额策略</t>
  </si>
  <si>
    <r>
      <rPr>
        <b/>
        <sz val="10.5"/>
        <color theme="1"/>
        <rFont val="宋体"/>
        <charset val="134"/>
      </rPr>
      <t>场景</t>
    </r>
    <r>
      <rPr>
        <b/>
        <sz val="10.5"/>
        <color theme="1"/>
        <rFont val="Arial"/>
        <charset val="134"/>
      </rPr>
      <t>1</t>
    </r>
    <r>
      <rPr>
        <b/>
        <sz val="10.5"/>
        <color theme="1"/>
        <rFont val="宋体"/>
        <charset val="134"/>
      </rPr>
      <t>：不同风险等级用户的提额幅度测算</t>
    </r>
  </si>
  <si>
    <r>
      <rPr>
        <sz val="11"/>
        <color theme="1"/>
        <rFont val="Arial"/>
        <charset val="134"/>
      </rPr>
      <t xml:space="preserve">* </t>
    </r>
    <r>
      <rPr>
        <sz val="11"/>
        <color theme="1"/>
        <rFont val="宋体"/>
        <charset val="134"/>
      </rPr>
      <t>值为</t>
    </r>
    <r>
      <rPr>
        <sz val="11"/>
        <color theme="1"/>
        <rFont val="Arial"/>
        <charset val="134"/>
      </rPr>
      <t>Mob6@30+</t>
    </r>
  </si>
  <si>
    <r>
      <rPr>
        <sz val="11"/>
        <color theme="1"/>
        <rFont val="Arial"/>
        <charset val="134"/>
      </rPr>
      <t xml:space="preserve">             </t>
    </r>
    <r>
      <rPr>
        <sz val="11"/>
        <color theme="1"/>
        <rFont val="宋体"/>
        <charset val="134"/>
      </rPr>
      <t>提额幅度</t>
    </r>
    <r>
      <rPr>
        <sz val="11"/>
        <color theme="1"/>
        <rFont val="Arial"/>
        <charset val="134"/>
      </rPr>
      <t xml:space="preserve">
Bscore</t>
    </r>
  </si>
  <si>
    <r>
      <rPr>
        <sz val="11"/>
        <color theme="1"/>
        <rFont val="宋体"/>
        <charset val="134"/>
      </rPr>
      <t>测试</t>
    </r>
    <r>
      <rPr>
        <sz val="11"/>
        <color theme="1"/>
        <rFont val="Arial"/>
        <charset val="134"/>
      </rPr>
      <t>Bscore</t>
    </r>
    <r>
      <rPr>
        <sz val="11"/>
        <color theme="1"/>
        <rFont val="宋体"/>
        <charset val="134"/>
      </rPr>
      <t>为</t>
    </r>
    <r>
      <rPr>
        <sz val="11"/>
        <color theme="1"/>
        <rFont val="Arial"/>
        <charset val="134"/>
      </rPr>
      <t>[500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600)</t>
    </r>
    <r>
      <rPr>
        <sz val="11"/>
        <color theme="1"/>
        <rFont val="宋体"/>
        <charset val="134"/>
      </rPr>
      <t>的合理增长幅度</t>
    </r>
  </si>
  <si>
    <r>
      <rPr>
        <sz val="11"/>
        <color theme="1"/>
        <rFont val="宋体"/>
        <charset val="134"/>
      </rPr>
      <t>对照组</t>
    </r>
  </si>
  <si>
    <r>
      <rPr>
        <sz val="11"/>
        <color theme="1"/>
        <rFont val="宋体"/>
        <charset val="134"/>
      </rPr>
      <t>测试组</t>
    </r>
  </si>
  <si>
    <r>
      <rPr>
        <b/>
        <sz val="10.5"/>
        <color theme="1"/>
        <rFont val="宋体"/>
        <charset val="134"/>
      </rPr>
      <t>场景</t>
    </r>
    <r>
      <rPr>
        <b/>
        <sz val="10.5"/>
        <color theme="1"/>
        <rFont val="Arial"/>
        <charset val="134"/>
      </rPr>
      <t>2</t>
    </r>
    <r>
      <rPr>
        <b/>
        <sz val="10.5"/>
        <color theme="1"/>
        <rFont val="宋体"/>
        <charset val="134"/>
      </rPr>
      <t>：同一风险等级，不同初始额度提额幅度测算：</t>
    </r>
  </si>
  <si>
    <r>
      <rPr>
        <b/>
        <sz val="11"/>
        <color rgb="FFFF0000"/>
        <rFont val="Arial"/>
        <charset val="134"/>
      </rPr>
      <t>Bscore</t>
    </r>
    <r>
      <rPr>
        <b/>
        <sz val="11"/>
        <color rgb="FFFF0000"/>
        <rFont val="宋体"/>
        <charset val="134"/>
      </rPr>
      <t>为</t>
    </r>
    <r>
      <rPr>
        <b/>
        <sz val="11"/>
        <color rgb="FFFF0000"/>
        <rFont val="Arial"/>
        <charset val="134"/>
      </rPr>
      <t>[600,700)</t>
    </r>
  </si>
  <si>
    <r>
      <rPr>
        <sz val="11"/>
        <color theme="1"/>
        <rFont val="Arial"/>
        <charset val="134"/>
      </rPr>
      <t xml:space="preserve">             </t>
    </r>
    <r>
      <rPr>
        <sz val="11"/>
        <color theme="1"/>
        <rFont val="宋体"/>
        <charset val="134"/>
      </rPr>
      <t>提额幅度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初始额度</t>
    </r>
  </si>
  <si>
    <t>[5000,8000)</t>
  </si>
  <si>
    <t>[8000,10000)</t>
  </si>
  <si>
    <t>[10000,15000)</t>
  </si>
  <si>
    <t>[15000,+)</t>
  </si>
  <si>
    <r>
      <rPr>
        <b/>
        <sz val="14"/>
        <color rgb="FF1F3864"/>
        <rFont val="Arial"/>
        <charset val="134"/>
      </rPr>
      <t>4.2</t>
    </r>
    <r>
      <rPr>
        <b/>
        <sz val="14"/>
        <color rgb="FF1F3864"/>
        <rFont val="微软雅黑"/>
        <charset val="134"/>
      </rPr>
      <t>、定价策略</t>
    </r>
    <r>
      <rPr>
        <b/>
        <sz val="14"/>
        <color rgb="FF1F3864"/>
        <rFont val="Arial"/>
        <charset val="134"/>
      </rPr>
      <t xml:space="preserve"> — </t>
    </r>
    <r>
      <rPr>
        <b/>
        <sz val="14"/>
        <color rgb="FF1F3864"/>
        <rFont val="微软雅黑"/>
        <charset val="134"/>
      </rPr>
      <t>差异化定价测算</t>
    </r>
  </si>
  <si>
    <r>
      <rPr>
        <b/>
        <sz val="11"/>
        <color theme="1"/>
        <rFont val="Arial"/>
        <charset val="134"/>
      </rPr>
      <t xml:space="preserve">4.2.1 </t>
    </r>
    <r>
      <rPr>
        <b/>
        <sz val="11"/>
        <color theme="1"/>
        <rFont val="宋体"/>
        <charset val="134"/>
      </rPr>
      <t>利润构成说明</t>
    </r>
  </si>
  <si>
    <r>
      <rPr>
        <b/>
        <sz val="10"/>
        <color rgb="FFFFFFFF"/>
        <rFont val="宋体"/>
        <charset val="134"/>
      </rPr>
      <t>一级目录</t>
    </r>
  </si>
  <si>
    <r>
      <rPr>
        <b/>
        <sz val="10"/>
        <color rgb="FFFFFFFF"/>
        <rFont val="宋体"/>
        <charset val="134"/>
      </rPr>
      <t>二级目录</t>
    </r>
  </si>
  <si>
    <r>
      <rPr>
        <b/>
        <sz val="10"/>
        <color rgb="FFFFFFFF"/>
        <rFont val="宋体"/>
        <charset val="134"/>
      </rPr>
      <t>描述</t>
    </r>
  </si>
  <si>
    <r>
      <rPr>
        <b/>
        <sz val="14"/>
        <rFont val="宋体"/>
        <charset val="134"/>
      </rPr>
      <t>收入</t>
    </r>
  </si>
  <si>
    <r>
      <rPr>
        <sz val="11"/>
        <rFont val="宋体"/>
        <charset val="134"/>
      </rPr>
      <t>利息</t>
    </r>
  </si>
  <si>
    <r>
      <rPr>
        <sz val="11"/>
        <rFont val="宋体"/>
        <charset val="134"/>
      </rPr>
      <t>放款出去，预期收到利息</t>
    </r>
  </si>
  <si>
    <r>
      <rPr>
        <sz val="11"/>
        <rFont val="宋体"/>
        <charset val="134"/>
      </rPr>
      <t>罚息</t>
    </r>
  </si>
  <si>
    <r>
      <rPr>
        <sz val="11"/>
        <rFont val="宋体"/>
        <charset val="134"/>
      </rPr>
      <t>逾期收到的罚息</t>
    </r>
  </si>
  <si>
    <r>
      <rPr>
        <sz val="11"/>
        <rFont val="宋体"/>
        <charset val="134"/>
      </rPr>
      <t>其他一些收入项</t>
    </r>
  </si>
  <si>
    <r>
      <rPr>
        <sz val="11"/>
        <rFont val="宋体"/>
        <charset val="134"/>
      </rPr>
      <t>根据业务具体情况，其他收入</t>
    </r>
  </si>
  <si>
    <r>
      <rPr>
        <b/>
        <sz val="14"/>
        <rFont val="宋体"/>
        <charset val="134"/>
      </rPr>
      <t>支出</t>
    </r>
  </si>
  <si>
    <r>
      <rPr>
        <sz val="11"/>
        <rFont val="宋体"/>
        <charset val="134"/>
      </rPr>
      <t>资金成本</t>
    </r>
  </si>
  <si>
    <r>
      <rPr>
        <sz val="11"/>
        <rFont val="宋体"/>
        <charset val="134"/>
      </rPr>
      <t>借出资金的成本</t>
    </r>
  </si>
  <si>
    <r>
      <rPr>
        <sz val="11"/>
        <rFont val="宋体"/>
        <charset val="134"/>
      </rPr>
      <t>坏账</t>
    </r>
  </si>
  <si>
    <r>
      <rPr>
        <sz val="11"/>
        <rFont val="宋体"/>
        <charset val="134"/>
      </rPr>
      <t>放款出去，未回收的本金</t>
    </r>
  </si>
  <si>
    <r>
      <rPr>
        <sz val="11"/>
        <rFont val="宋体"/>
        <charset val="134"/>
      </rPr>
      <t>利息损失</t>
    </r>
  </si>
  <si>
    <r>
      <rPr>
        <sz val="11"/>
        <rFont val="宋体"/>
        <charset val="134"/>
      </rPr>
      <t>由于坏账，未收到的利息</t>
    </r>
  </si>
  <si>
    <r>
      <rPr>
        <sz val="11"/>
        <rFont val="宋体"/>
        <charset val="134"/>
      </rPr>
      <t>获客成本</t>
    </r>
  </si>
  <si>
    <r>
      <rPr>
        <sz val="11"/>
        <rFont val="宋体"/>
        <charset val="134"/>
      </rPr>
      <t>获取新客，或者激活老客的成本</t>
    </r>
  </si>
  <si>
    <r>
      <rPr>
        <sz val="11"/>
        <rFont val="宋体"/>
        <charset val="134"/>
      </rPr>
      <t>其他一些支出项</t>
    </r>
  </si>
  <si>
    <r>
      <rPr>
        <sz val="11"/>
        <rFont val="宋体"/>
        <charset val="134"/>
      </rPr>
      <t>根据业务具体情况，其他支出</t>
    </r>
  </si>
  <si>
    <r>
      <rPr>
        <b/>
        <sz val="11"/>
        <color theme="1"/>
        <rFont val="Arial"/>
        <charset val="134"/>
      </rPr>
      <t xml:space="preserve">4.2.2 </t>
    </r>
    <r>
      <rPr>
        <b/>
        <sz val="11"/>
        <color theme="1"/>
        <rFont val="宋体"/>
        <charset val="134"/>
      </rPr>
      <t>风险定价计算实例</t>
    </r>
    <r>
      <rPr>
        <b/>
        <sz val="11"/>
        <color theme="1"/>
        <rFont val="Arial"/>
        <charset val="134"/>
      </rPr>
      <t>:</t>
    </r>
  </si>
  <si>
    <r>
      <rPr>
        <b/>
        <sz val="10"/>
        <color rgb="FFFFFFFF"/>
        <rFont val="微软雅黑"/>
        <charset val="134"/>
      </rPr>
      <t>费项</t>
    </r>
  </si>
  <si>
    <r>
      <rPr>
        <b/>
        <sz val="10"/>
        <color rgb="FFFFFFFF"/>
        <rFont val="微软雅黑"/>
        <charset val="134"/>
      </rPr>
      <t>低风险</t>
    </r>
  </si>
  <si>
    <r>
      <rPr>
        <b/>
        <sz val="10"/>
        <color rgb="FFFFFFFF"/>
        <rFont val="微软雅黑"/>
        <charset val="134"/>
      </rPr>
      <t>中风险</t>
    </r>
  </si>
  <si>
    <r>
      <rPr>
        <b/>
        <sz val="10"/>
        <color rgb="FFFFFFFF"/>
        <rFont val="微软雅黑"/>
        <charset val="134"/>
      </rPr>
      <t>高风险</t>
    </r>
  </si>
  <si>
    <r>
      <rPr>
        <sz val="10"/>
        <color theme="1"/>
        <rFont val="微软雅黑"/>
        <charset val="134"/>
      </rPr>
      <t>平均期限</t>
    </r>
  </si>
  <si>
    <r>
      <rPr>
        <sz val="11"/>
        <color theme="1"/>
        <rFont val="宋体"/>
        <charset val="134"/>
      </rPr>
      <t>年化资金成本</t>
    </r>
  </si>
  <si>
    <r>
      <rPr>
        <sz val="10"/>
        <color theme="1"/>
        <rFont val="微软雅黑"/>
        <charset val="134"/>
      </rPr>
      <t>资金成本率</t>
    </r>
    <r>
      <rPr>
        <sz val="10"/>
        <color theme="1"/>
        <rFont val="Arial"/>
        <charset val="134"/>
      </rPr>
      <t>(</t>
    </r>
    <r>
      <rPr>
        <sz val="10"/>
        <color theme="1"/>
        <rFont val="微软雅黑"/>
        <charset val="134"/>
      </rPr>
      <t>与期限挂钩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</si>
  <si>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微软雅黑"/>
        <charset val="134"/>
      </rPr>
      <t>运营成本率</t>
    </r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分摊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</si>
  <si>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微软雅黑"/>
        <charset val="134"/>
      </rPr>
      <t>坏账率</t>
    </r>
  </si>
  <si>
    <r>
      <rPr>
        <sz val="10"/>
        <color theme="1"/>
        <rFont val="微软雅黑"/>
        <charset val="134"/>
      </rPr>
      <t>目标利润率</t>
    </r>
  </si>
  <si>
    <r>
      <rPr>
        <b/>
        <sz val="10"/>
        <color theme="1"/>
        <rFont val="微软雅黑"/>
        <charset val="134"/>
      </rPr>
      <t>合计</t>
    </r>
  </si>
  <si>
    <r>
      <rPr>
        <sz val="10"/>
        <color theme="1"/>
        <rFont val="微软雅黑"/>
        <charset val="134"/>
      </rPr>
      <t>完成利润目标总利息</t>
    </r>
  </si>
  <si>
    <r>
      <rPr>
        <b/>
        <sz val="10"/>
        <color theme="1"/>
        <rFont val="微软雅黑"/>
        <charset val="134"/>
      </rPr>
      <t>完成利润目标月息</t>
    </r>
  </si>
  <si>
    <r>
      <rPr>
        <b/>
        <sz val="10"/>
        <color theme="1"/>
        <rFont val="宋体"/>
        <charset val="134"/>
      </rPr>
      <t>年化利息</t>
    </r>
  </si>
  <si>
    <t>年化利润率</t>
  </si>
  <si>
    <r>
      <rPr>
        <sz val="9"/>
        <color rgb="FFFF0000"/>
        <rFont val="宋体"/>
        <charset val="134"/>
      </rPr>
      <t>备注</t>
    </r>
    <r>
      <rPr>
        <sz val="9"/>
        <color rgb="FFFF0000"/>
        <rFont val="Arial"/>
        <charset val="134"/>
      </rPr>
      <t>:</t>
    </r>
  </si>
  <si>
    <r>
      <rPr>
        <sz val="9"/>
        <color rgb="FFFF0000"/>
        <rFont val="Arial"/>
        <charset val="134"/>
      </rPr>
      <t>1.</t>
    </r>
    <r>
      <rPr>
        <sz val="9"/>
        <color rgb="FFFF0000"/>
        <rFont val="宋体"/>
        <charset val="134"/>
      </rPr>
      <t>此模型为通用模型，可根据具体业务新增收入和成本项</t>
    </r>
  </si>
  <si>
    <r>
      <rPr>
        <sz val="9"/>
        <color rgb="FFFF0000"/>
        <rFont val="Arial"/>
        <charset val="134"/>
      </rPr>
      <t>2.</t>
    </r>
    <r>
      <rPr>
        <sz val="9"/>
        <color rgb="FFFF0000"/>
        <rFont val="宋体"/>
        <charset val="134"/>
      </rPr>
      <t>为简化模型，不含利息损失</t>
    </r>
  </si>
  <si>
    <r>
      <rPr>
        <b/>
        <sz val="11"/>
        <color theme="1"/>
        <rFont val="Arial"/>
        <charset val="134"/>
      </rPr>
      <t xml:space="preserve">4.2.3 </t>
    </r>
    <r>
      <rPr>
        <b/>
        <sz val="11"/>
        <color theme="1"/>
        <rFont val="宋体"/>
        <charset val="134"/>
      </rPr>
      <t>同一风险等级用户，定价如何设定</t>
    </r>
  </si>
  <si>
    <r>
      <rPr>
        <sz val="10"/>
        <color theme="1"/>
        <rFont val="宋体"/>
        <charset val="134"/>
      </rPr>
      <t>月息</t>
    </r>
  </si>
  <si>
    <r>
      <rPr>
        <sz val="10"/>
        <color theme="1"/>
        <rFont val="宋体"/>
        <charset val="134"/>
      </rPr>
      <t>总利息</t>
    </r>
  </si>
  <si>
    <t>UE%</t>
  </si>
  <si>
    <r>
      <rPr>
        <b/>
        <sz val="11"/>
        <color theme="1"/>
        <rFont val="宋体"/>
        <charset val="134"/>
      </rPr>
      <t>监控</t>
    </r>
    <r>
      <rPr>
        <b/>
        <sz val="11"/>
        <color theme="1"/>
        <rFont val="Arial"/>
        <charset val="134"/>
      </rPr>
      <t>: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</si>
  <si>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风险是否符合逾期</t>
    </r>
  </si>
  <si>
    <r>
      <rPr>
        <sz val="11"/>
        <color theme="1"/>
        <rFont val="Arial"/>
        <charset val="134"/>
      </rPr>
      <t xml:space="preserve">2. </t>
    </r>
    <r>
      <rPr>
        <sz val="11"/>
        <color theme="1"/>
        <rFont val="宋体"/>
        <charset val="134"/>
      </rPr>
      <t>支用是否符合预期</t>
    </r>
  </si>
  <si>
    <r>
      <rPr>
        <sz val="11"/>
        <color theme="1"/>
        <rFont val="Arial"/>
        <charset val="134"/>
      </rPr>
      <t xml:space="preserve">3. </t>
    </r>
    <r>
      <rPr>
        <sz val="11"/>
        <color theme="1"/>
        <rFont val="宋体"/>
        <charset val="134"/>
      </rPr>
      <t>交易金额是否符合预期</t>
    </r>
  </si>
  <si>
    <r>
      <rPr>
        <sz val="11"/>
        <color theme="1"/>
        <rFont val="Arial"/>
        <charset val="134"/>
      </rPr>
      <t xml:space="preserve">4. </t>
    </r>
    <r>
      <rPr>
        <sz val="11"/>
        <color theme="1"/>
        <rFont val="宋体"/>
        <charset val="134"/>
      </rPr>
      <t>对月度利润的影响</t>
    </r>
  </si>
  <si>
    <r>
      <rPr>
        <sz val="11"/>
        <color theme="1"/>
        <rFont val="Arial"/>
        <charset val="134"/>
      </rPr>
      <t xml:space="preserve">5. </t>
    </r>
    <r>
      <rPr>
        <sz val="11"/>
        <color theme="1"/>
        <rFont val="宋体"/>
        <charset val="134"/>
      </rPr>
      <t>根据实际情况看风险在维持的情况下，定价最大接受度是多少</t>
    </r>
  </si>
  <si>
    <r>
      <rPr>
        <sz val="11"/>
        <color theme="1"/>
        <rFont val="宋体"/>
        <charset val="134"/>
      </rPr>
      <t>定价尺度也需要参考同行，因为定价太高，优质用户会流失，剩下的都是比较差的用户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</si>
</sst>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%"/>
    <numFmt numFmtId="178" formatCode="_ * #,##0.0_ ;_ * \-#,##0.0_ ;_ * &quot;-&quot;??_ ;_ @_ "/>
  </numFmts>
  <fonts count="5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rgb="FF1F3864"/>
      <name val="Arial"/>
      <charset val="134"/>
    </font>
    <font>
      <b/>
      <sz val="11"/>
      <color theme="1"/>
      <name val="Arial"/>
      <charset val="134"/>
    </font>
    <font>
      <b/>
      <sz val="10"/>
      <color rgb="FFFFFFFF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b/>
      <sz val="10"/>
      <color theme="1"/>
      <name val="宋体"/>
      <charset val="134"/>
    </font>
    <font>
      <sz val="9"/>
      <color rgb="FFFF0000"/>
      <name val="Arial"/>
      <charset val="134"/>
    </font>
    <font>
      <sz val="11"/>
      <color rgb="FFFF0000"/>
      <name val="Arial"/>
      <charset val="134"/>
    </font>
    <font>
      <b/>
      <sz val="11"/>
      <color rgb="FF2E75B6"/>
      <name val="微软雅黑"/>
      <charset val="134"/>
    </font>
    <font>
      <b/>
      <sz val="11"/>
      <color theme="0"/>
      <name val="Arial"/>
      <charset val="134"/>
    </font>
    <font>
      <b/>
      <sz val="11"/>
      <color theme="0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Arial"/>
      <charset val="134"/>
    </font>
    <font>
      <b/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b/>
      <sz val="14"/>
      <name val="宋体"/>
      <charset val="134"/>
    </font>
    <font>
      <sz val="10"/>
      <color theme="1"/>
      <name val="微软雅黑"/>
      <charset val="134"/>
    </font>
    <font>
      <b/>
      <sz val="14"/>
      <color rgb="FF1F3864"/>
      <name val="微软雅黑"/>
      <charset val="134"/>
    </font>
    <font>
      <b/>
      <sz val="10"/>
      <color rgb="FFFFFFFF"/>
      <name val="宋体"/>
      <charset val="134"/>
    </font>
    <font>
      <b/>
      <sz val="10"/>
      <color rgb="FFFFFFFF"/>
      <name val="微软雅黑"/>
      <charset val="134"/>
    </font>
    <font>
      <b/>
      <sz val="10.5"/>
      <color theme="1"/>
      <name val="宋体"/>
      <charset val="134"/>
    </font>
    <font>
      <b/>
      <sz val="11"/>
      <color rgb="FFFF0000"/>
      <name val="宋体"/>
      <charset val="134"/>
    </font>
    <font>
      <b/>
      <sz val="10"/>
      <color theme="1"/>
      <name val="微软雅黑"/>
      <charset val="134"/>
    </font>
    <font>
      <sz val="9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22" applyNumberFormat="0" applyAlignment="0" applyProtection="0">
      <alignment vertical="center"/>
    </xf>
    <xf numFmtId="0" fontId="30" fillId="11" borderId="23" applyNumberFormat="0" applyAlignment="0" applyProtection="0">
      <alignment vertical="center"/>
    </xf>
    <xf numFmtId="0" fontId="31" fillId="11" borderId="22" applyNumberFormat="0" applyAlignment="0" applyProtection="0">
      <alignment vertical="center"/>
    </xf>
    <xf numFmtId="0" fontId="32" fillId="12" borderId="24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3" borderId="1" xfId="0" applyFont="1" applyFill="1" applyBorder="1" applyAlignment="1">
      <alignment vertical="top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10" fontId="7" fillId="4" borderId="1" xfId="0" applyNumberFormat="1" applyFont="1" applyFill="1" applyBorder="1" applyAlignment="1">
      <alignment vertical="top" wrapText="1"/>
    </xf>
    <xf numFmtId="9" fontId="1" fillId="0" borderId="0" xfId="0" applyNumberFormat="1" applyFont="1"/>
    <xf numFmtId="10" fontId="7" fillId="3" borderId="1" xfId="0" applyNumberFormat="1" applyFont="1" applyFill="1" applyBorder="1" applyAlignment="1">
      <alignment vertical="top" wrapText="1"/>
    </xf>
    <xf numFmtId="10" fontId="8" fillId="4" borderId="1" xfId="0" applyNumberFormat="1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10" fontId="9" fillId="3" borderId="1" xfId="0" applyNumberFormat="1" applyFont="1" applyFill="1" applyBorder="1" applyAlignment="1">
      <alignment vertical="top" wrapText="1"/>
    </xf>
    <xf numFmtId="0" fontId="1" fillId="0" borderId="5" xfId="0" applyFont="1" applyBorder="1"/>
    <xf numFmtId="0" fontId="1" fillId="0" borderId="6" xfId="0" applyFont="1" applyBorder="1"/>
    <xf numFmtId="10" fontId="10" fillId="3" borderId="1" xfId="0" applyNumberFormat="1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2" fillId="0" borderId="0" xfId="0" applyFont="1"/>
    <xf numFmtId="0" fontId="1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vertical="center" wrapText="1"/>
    </xf>
    <xf numFmtId="10" fontId="8" fillId="3" borderId="1" xfId="3" applyNumberFormat="1" applyFont="1" applyFill="1" applyBorder="1" applyAlignment="1">
      <alignment vertical="center" wrapText="1"/>
    </xf>
    <xf numFmtId="177" fontId="7" fillId="3" borderId="1" xfId="3" applyNumberFormat="1" applyFont="1" applyFill="1" applyBorder="1" applyAlignment="1">
      <alignment vertical="center" wrapText="1"/>
    </xf>
    <xf numFmtId="10" fontId="7" fillId="4" borderId="1" xfId="0" applyNumberFormat="1" applyFont="1" applyFill="1" applyBorder="1" applyAlignment="1">
      <alignment vertical="center" wrapText="1"/>
    </xf>
    <xf numFmtId="10" fontId="7" fillId="3" borderId="1" xfId="0" applyNumberFormat="1" applyFont="1" applyFill="1" applyBorder="1" applyAlignment="1">
      <alignment vertical="center" wrapText="1"/>
    </xf>
    <xf numFmtId="10" fontId="8" fillId="4" borderId="1" xfId="0" applyNumberFormat="1" applyFont="1" applyFill="1" applyBorder="1" applyAlignment="1">
      <alignment vertical="center" wrapText="1"/>
    </xf>
    <xf numFmtId="10" fontId="9" fillId="3" borderId="1" xfId="0" applyNumberFormat="1" applyFont="1" applyFill="1" applyBorder="1" applyAlignment="1">
      <alignment vertical="center" wrapText="1"/>
    </xf>
    <xf numFmtId="0" fontId="9" fillId="3" borderId="0" xfId="0" applyFont="1" applyFill="1" applyAlignment="1">
      <alignment vertical="top" wrapText="1"/>
    </xf>
    <xf numFmtId="10" fontId="9" fillId="3" borderId="0" xfId="0" applyNumberFormat="1" applyFont="1" applyFill="1" applyAlignment="1">
      <alignment vertical="center" wrapText="1"/>
    </xf>
    <xf numFmtId="0" fontId="14" fillId="0" borderId="0" xfId="0" applyFont="1"/>
    <xf numFmtId="0" fontId="4" fillId="5" borderId="7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left" vertical="top" wrapText="1"/>
    </xf>
    <xf numFmtId="0" fontId="7" fillId="6" borderId="9" xfId="0" applyFont="1" applyFill="1" applyBorder="1" applyAlignment="1">
      <alignment horizontal="center" vertical="top" wrapText="1"/>
    </xf>
    <xf numFmtId="0" fontId="7" fillId="6" borderId="10" xfId="0" applyFont="1" applyFill="1" applyBorder="1" applyAlignment="1">
      <alignment horizontal="center" vertical="top" wrapText="1"/>
    </xf>
    <xf numFmtId="0" fontId="7" fillId="6" borderId="10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8" fontId="1" fillId="0" borderId="1" xfId="3" applyNumberFormat="1" applyFont="1" applyBorder="1">
      <alignment vertical="center"/>
    </xf>
    <xf numFmtId="0" fontId="1" fillId="0" borderId="1" xfId="0" applyFont="1" applyBorder="1"/>
    <xf numFmtId="0" fontId="17" fillId="0" borderId="0" xfId="0" applyFont="1"/>
    <xf numFmtId="0" fontId="18" fillId="0" borderId="0" xfId="0" applyFont="1"/>
    <xf numFmtId="0" fontId="7" fillId="0" borderId="0" xfId="0" applyFont="1" applyAlignment="1">
      <alignment horizontal="left"/>
    </xf>
    <xf numFmtId="0" fontId="19" fillId="0" borderId="0" xfId="0" applyFont="1"/>
    <xf numFmtId="0" fontId="1" fillId="8" borderId="11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/>
    </xf>
    <xf numFmtId="0" fontId="1" fillId="8" borderId="13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177" fontId="1" fillId="0" borderId="1" xfId="3" applyNumberFormat="1" applyFont="1" applyBorder="1">
      <alignment vertical="center"/>
    </xf>
    <xf numFmtId="177" fontId="1" fillId="0" borderId="15" xfId="3" applyNumberFormat="1" applyFont="1" applyBorder="1">
      <alignment vertical="center"/>
    </xf>
    <xf numFmtId="0" fontId="1" fillId="0" borderId="16" xfId="0" applyFont="1" applyFill="1" applyBorder="1" applyAlignment="1">
      <alignment vertical="center"/>
    </xf>
    <xf numFmtId="177" fontId="1" fillId="0" borderId="17" xfId="3" applyNumberFormat="1" applyFont="1" applyBorder="1">
      <alignment vertical="center"/>
    </xf>
    <xf numFmtId="177" fontId="1" fillId="0" borderId="18" xfId="3" applyNumberFormat="1" applyFont="1" applyBorder="1">
      <alignment vertical="center"/>
    </xf>
    <xf numFmtId="0" fontId="1" fillId="0" borderId="0" xfId="0" applyFont="1" applyFill="1" applyAlignment="1">
      <alignment vertical="center"/>
    </xf>
    <xf numFmtId="177" fontId="1" fillId="0" borderId="0" xfId="3" applyNumberFormat="1" applyFont="1">
      <alignment vertical="center"/>
    </xf>
    <xf numFmtId="0" fontId="19" fillId="0" borderId="0" xfId="0" applyFont="1" applyAlignment="1">
      <alignment horizontal="left" vertical="top" wrapText="1"/>
    </xf>
    <xf numFmtId="0" fontId="2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50800</xdr:colOff>
      <xdr:row>35</xdr:row>
      <xdr:rowOff>19050</xdr:rowOff>
    </xdr:from>
    <xdr:to>
      <xdr:col>2</xdr:col>
      <xdr:colOff>0</xdr:colOff>
      <xdr:row>35</xdr:row>
      <xdr:rowOff>393700</xdr:rowOff>
    </xdr:to>
    <xdr:cxnSp>
      <xdr:nvCxnSpPr>
        <xdr:cNvPr id="2" name="直接连接符 1"/>
        <xdr:cNvCxnSpPr/>
      </xdr:nvCxnSpPr>
      <xdr:spPr>
        <a:xfrm>
          <a:off x="679450" y="6635750"/>
          <a:ext cx="1695450" cy="3365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50800</xdr:colOff>
      <xdr:row>48</xdr:row>
      <xdr:rowOff>19050</xdr:rowOff>
    </xdr:from>
    <xdr:to>
      <xdr:col>2</xdr:col>
      <xdr:colOff>0</xdr:colOff>
      <xdr:row>48</xdr:row>
      <xdr:rowOff>393700</xdr:rowOff>
    </xdr:to>
    <xdr:cxnSp>
      <xdr:nvCxnSpPr>
        <xdr:cNvPr id="3" name="直接连接符 2"/>
        <xdr:cNvCxnSpPr/>
      </xdr:nvCxnSpPr>
      <xdr:spPr>
        <a:xfrm>
          <a:off x="679450" y="9144000"/>
          <a:ext cx="1695450" cy="3365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50800</xdr:colOff>
      <xdr:row>16</xdr:row>
      <xdr:rowOff>19050</xdr:rowOff>
    </xdr:from>
    <xdr:to>
      <xdr:col>2</xdr:col>
      <xdr:colOff>0</xdr:colOff>
      <xdr:row>16</xdr:row>
      <xdr:rowOff>393700</xdr:rowOff>
    </xdr:to>
    <xdr:cxnSp>
      <xdr:nvCxnSpPr>
        <xdr:cNvPr id="4" name="直接连接符 3"/>
        <xdr:cNvCxnSpPr/>
      </xdr:nvCxnSpPr>
      <xdr:spPr>
        <a:xfrm>
          <a:off x="679450" y="3038475"/>
          <a:ext cx="1695450" cy="3365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53"/>
  <sheetViews>
    <sheetView zoomScale="115" zoomScaleNormal="115" workbookViewId="0">
      <selection activeCell="B32" sqref="B32"/>
    </sheetView>
  </sheetViews>
  <sheetFormatPr defaultColWidth="9" defaultRowHeight="14"/>
  <cols>
    <col min="1" max="1" width="9" style="1"/>
    <col min="2" max="2" width="25" style="1" customWidth="1"/>
    <col min="3" max="3" width="15" style="1" customWidth="1"/>
    <col min="4" max="4" width="12" style="1" customWidth="1"/>
    <col min="5" max="5" width="17.5454545454545" style="1" customWidth="1"/>
    <col min="6" max="6" width="19" style="1" customWidth="1"/>
    <col min="7" max="7" width="12.7272727272727" style="1" customWidth="1"/>
    <col min="8" max="16384" width="9" style="1"/>
  </cols>
  <sheetData>
    <row r="1" ht="20" spans="2:9">
      <c r="B1" s="2" t="s">
        <v>0</v>
      </c>
    </row>
    <row r="4" ht="16.5" spans="2:9">
      <c r="B4" s="36" t="s">
        <v>1</v>
      </c>
      <c r="C4"/>
      <c r="D4"/>
      <c r="E4"/>
      <c r="F4"/>
      <c r="G4"/>
      <c r="H4"/>
      <c r="I4"/>
    </row>
    <row r="5" spans="2:9">
      <c r="B5" s="3" t="s">
        <v>2</v>
      </c>
    </row>
    <row r="6" ht="14.75" spans="2:9">
      <c r="B6" s="3" t="s">
        <v>3</v>
      </c>
    </row>
    <row r="7" ht="14.75" spans="2:9">
      <c r="B7" s="37" t="s">
        <v>4</v>
      </c>
      <c r="C7" s="38" t="s">
        <v>5</v>
      </c>
      <c r="D7" s="38" t="s">
        <v>6</v>
      </c>
      <c r="E7" s="38" t="s">
        <v>7</v>
      </c>
      <c r="F7" s="38" t="s">
        <v>8</v>
      </c>
    </row>
    <row r="8" ht="14.75" spans="2:9">
      <c r="B8" s="39" t="s">
        <v>9</v>
      </c>
      <c r="C8" s="40" t="s">
        <v>10</v>
      </c>
      <c r="D8" s="40" t="s">
        <v>11</v>
      </c>
      <c r="E8" s="40" t="s">
        <v>12</v>
      </c>
      <c r="F8" s="41" t="s">
        <v>13</v>
      </c>
    </row>
    <row r="9" ht="14.75" spans="2:9">
      <c r="B9" s="42" t="s">
        <v>14</v>
      </c>
      <c r="C9" s="43" t="s">
        <v>15</v>
      </c>
      <c r="D9" s="43" t="s">
        <v>16</v>
      </c>
      <c r="E9" s="43" t="s">
        <v>17</v>
      </c>
      <c r="F9" s="44" t="s">
        <v>18</v>
      </c>
    </row>
    <row r="10" ht="14.75" spans="2:9">
      <c r="B10" s="39" t="s">
        <v>19</v>
      </c>
      <c r="C10" s="40" t="s">
        <v>20</v>
      </c>
      <c r="D10" s="40" t="s">
        <v>21</v>
      </c>
      <c r="E10" s="40" t="s">
        <v>22</v>
      </c>
      <c r="F10" s="41" t="s">
        <v>23</v>
      </c>
    </row>
    <row r="11" ht="14.75" spans="2:9">
      <c r="B11" s="42" t="s">
        <v>24</v>
      </c>
      <c r="C11" s="43" t="s">
        <v>25</v>
      </c>
      <c r="D11" s="43" t="s">
        <v>26</v>
      </c>
      <c r="E11" s="43" t="s">
        <v>27</v>
      </c>
      <c r="F11" s="44" t="s">
        <v>28</v>
      </c>
    </row>
    <row r="12" ht="14.75" spans="2:9">
      <c r="B12" s="39" t="s">
        <v>29</v>
      </c>
      <c r="C12" s="40" t="s">
        <v>30</v>
      </c>
      <c r="D12" s="40" t="s">
        <v>31</v>
      </c>
      <c r="E12" s="40" t="s">
        <v>32</v>
      </c>
      <c r="F12" s="41" t="s">
        <v>33</v>
      </c>
    </row>
    <row r="14" spans="2:9">
      <c r="B14" s="3" t="s">
        <v>34</v>
      </c>
    </row>
    <row r="15" spans="2:9">
      <c r="B15" s="3" t="s">
        <v>35</v>
      </c>
    </row>
    <row r="16" spans="2:9">
      <c r="B16" s="3" t="s">
        <v>36</v>
      </c>
    </row>
    <row r="17" ht="28" spans="2:6">
      <c r="B17" s="45" t="s">
        <v>37</v>
      </c>
      <c r="C17" s="46" t="s">
        <v>38</v>
      </c>
      <c r="D17" s="46" t="s">
        <v>39</v>
      </c>
      <c r="E17" s="47" t="s">
        <v>40</v>
      </c>
      <c r="F17" s="47" t="s">
        <v>41</v>
      </c>
    </row>
    <row r="18" spans="2:6">
      <c r="B18" s="48" t="s">
        <v>9</v>
      </c>
      <c r="C18" s="49">
        <v>3</v>
      </c>
      <c r="D18" s="49">
        <v>2.5</v>
      </c>
      <c r="E18" s="49">
        <v>2</v>
      </c>
      <c r="F18" s="50">
        <v>1.5</v>
      </c>
    </row>
    <row r="19" spans="2:6">
      <c r="B19" s="48" t="s">
        <v>14</v>
      </c>
      <c r="C19" s="50">
        <v>2.5</v>
      </c>
      <c r="D19" s="50">
        <v>2</v>
      </c>
      <c r="E19" s="50">
        <v>1.5</v>
      </c>
      <c r="F19" s="50">
        <v>1</v>
      </c>
    </row>
    <row r="20" spans="2:6">
      <c r="B20" s="48" t="s">
        <v>19</v>
      </c>
      <c r="C20" s="50">
        <v>2</v>
      </c>
      <c r="D20" s="50">
        <v>1.5</v>
      </c>
      <c r="E20" s="50">
        <v>1</v>
      </c>
      <c r="F20" s="50">
        <v>0.8</v>
      </c>
    </row>
    <row r="21" spans="2:6">
      <c r="B21" s="48" t="s">
        <v>24</v>
      </c>
      <c r="C21" s="50">
        <v>1.5</v>
      </c>
      <c r="D21" s="50">
        <v>1</v>
      </c>
      <c r="E21" s="50">
        <v>0.8</v>
      </c>
      <c r="F21" s="50">
        <v>0.5</v>
      </c>
    </row>
    <row r="22" spans="2:6">
      <c r="B22" s="51" t="s">
        <v>42</v>
      </c>
    </row>
    <row r="24" spans="2:6">
      <c r="B24" s="52" t="s">
        <v>43</v>
      </c>
    </row>
    <row r="25" spans="2:6">
      <c r="B25" s="53" t="s">
        <v>44</v>
      </c>
    </row>
    <row r="26" spans="2:6">
      <c r="B26" s="53" t="s">
        <v>45</v>
      </c>
    </row>
    <row r="27" spans="2:6">
      <c r="B27" s="53" t="s">
        <v>46</v>
      </c>
    </row>
    <row r="28" spans="2:6">
      <c r="B28" s="53" t="s">
        <v>47</v>
      </c>
    </row>
    <row r="29" spans="2:6">
      <c r="B29" s="53" t="s">
        <v>48</v>
      </c>
    </row>
    <row r="30" spans="2:6">
      <c r="B30" s="1" t="s">
        <v>49</v>
      </c>
    </row>
    <row r="31" spans="2:6">
      <c r="B31" s="1" t="s">
        <v>50</v>
      </c>
    </row>
    <row r="33" ht="16.5" spans="2:9">
      <c r="B33" s="36" t="s">
        <v>51</v>
      </c>
      <c r="C33"/>
      <c r="D33"/>
      <c r="E33"/>
      <c r="F33"/>
      <c r="G33"/>
      <c r="H33"/>
      <c r="I33"/>
    </row>
    <row r="34" spans="2:9">
      <c r="B34" s="54" t="s">
        <v>52</v>
      </c>
    </row>
    <row r="35" ht="14.75" spans="2:9">
      <c r="B35" s="1" t="s">
        <v>53</v>
      </c>
    </row>
    <row r="36" ht="28" spans="2:9">
      <c r="B36" s="55" t="s">
        <v>54</v>
      </c>
      <c r="C36" s="56">
        <v>0</v>
      </c>
      <c r="D36" s="56">
        <v>500</v>
      </c>
      <c r="E36" s="56">
        <v>1000</v>
      </c>
      <c r="F36" s="56">
        <v>2000</v>
      </c>
      <c r="G36" s="57">
        <v>5000</v>
      </c>
    </row>
    <row r="37" spans="2:9">
      <c r="B37" s="58" t="s">
        <v>24</v>
      </c>
      <c r="C37" s="59">
        <v>0.13</v>
      </c>
      <c r="D37" s="59">
        <v>0.125</v>
      </c>
      <c r="E37" s="59">
        <v>0.14</v>
      </c>
      <c r="F37" s="59">
        <v>0.16</v>
      </c>
      <c r="G37" s="60">
        <v>0.2</v>
      </c>
    </row>
    <row r="38" spans="2:9">
      <c r="B38" s="58" t="s">
        <v>19</v>
      </c>
      <c r="C38" s="59">
        <v>0.1</v>
      </c>
      <c r="D38" s="59">
        <v>0.08</v>
      </c>
      <c r="E38" s="59">
        <v>0.09</v>
      </c>
      <c r="F38" s="59">
        <v>0.11</v>
      </c>
      <c r="G38" s="60">
        <v>0.15</v>
      </c>
    </row>
    <row r="39" spans="2:9">
      <c r="B39" s="58" t="s">
        <v>14</v>
      </c>
      <c r="C39" s="59">
        <v>0.06</v>
      </c>
      <c r="D39" s="59">
        <v>0.055</v>
      </c>
      <c r="E39" s="59">
        <v>0.05</v>
      </c>
      <c r="F39" s="59">
        <v>0.053</v>
      </c>
      <c r="G39" s="60">
        <v>0.059</v>
      </c>
    </row>
    <row r="40" ht="14.75" spans="2:9">
      <c r="B40" s="61" t="s">
        <v>9</v>
      </c>
      <c r="C40" s="62">
        <v>0.03</v>
      </c>
      <c r="D40" s="62">
        <v>0.02</v>
      </c>
      <c r="E40" s="62">
        <v>0.023</v>
      </c>
      <c r="F40" s="62">
        <v>0.025</v>
      </c>
      <c r="G40" s="63">
        <v>0.028</v>
      </c>
    </row>
    <row r="41" spans="2:9">
      <c r="B41" s="64"/>
      <c r="C41" s="65"/>
      <c r="D41" s="65"/>
      <c r="E41" s="65"/>
      <c r="F41" s="65"/>
      <c r="G41" s="65"/>
    </row>
    <row r="42" spans="2:9">
      <c r="B42" s="64" t="s">
        <v>55</v>
      </c>
      <c r="C42" s="65"/>
      <c r="D42" s="65"/>
      <c r="E42" s="65"/>
      <c r="F42" s="65"/>
      <c r="G42" s="65"/>
    </row>
    <row r="43" spans="2:9">
      <c r="B43" s="58" t="s">
        <v>56</v>
      </c>
      <c r="C43" s="59">
        <v>0.1</v>
      </c>
      <c r="D43" s="59">
        <v>0.08</v>
      </c>
      <c r="E43" s="59">
        <v>0.09</v>
      </c>
      <c r="F43" s="59">
        <v>0.11</v>
      </c>
      <c r="G43" s="60">
        <v>0.15</v>
      </c>
    </row>
    <row r="44" spans="2:9">
      <c r="B44" s="58" t="s">
        <v>57</v>
      </c>
      <c r="C44" s="59">
        <v>0.1</v>
      </c>
      <c r="D44" s="59">
        <v>0.1</v>
      </c>
      <c r="E44" s="59">
        <v>0.1</v>
      </c>
      <c r="F44" s="59">
        <v>0.1</v>
      </c>
      <c r="G44" s="59">
        <v>0.1</v>
      </c>
    </row>
    <row r="45" spans="2:9">
      <c r="B45" s="64"/>
      <c r="C45" s="65"/>
      <c r="D45" s="65"/>
      <c r="E45" s="65"/>
      <c r="F45" s="65"/>
      <c r="G45" s="65"/>
    </row>
    <row r="47" spans="2:9">
      <c r="B47" s="66" t="s">
        <v>58</v>
      </c>
      <c r="C47" s="66"/>
      <c r="D47" s="66"/>
      <c r="E47" s="66"/>
      <c r="F47" s="66"/>
      <c r="G47" s="66"/>
    </row>
    <row r="48" ht="14.75" spans="2:9">
      <c r="B48" s="67" t="s">
        <v>59</v>
      </c>
      <c r="C48" s="64"/>
      <c r="D48" s="64"/>
      <c r="E48" s="64"/>
      <c r="F48" s="64"/>
      <c r="G48" s="64"/>
    </row>
    <row r="49" ht="28" spans="2:7">
      <c r="B49" s="55" t="s">
        <v>60</v>
      </c>
      <c r="C49" s="56">
        <v>0</v>
      </c>
      <c r="D49" s="56">
        <v>500</v>
      </c>
      <c r="E49" s="56">
        <v>1000</v>
      </c>
      <c r="F49" s="56">
        <v>2000</v>
      </c>
      <c r="G49" s="57">
        <v>5000</v>
      </c>
    </row>
    <row r="50" spans="2:7">
      <c r="B50" s="58" t="s">
        <v>61</v>
      </c>
      <c r="C50" s="59">
        <v>0.06</v>
      </c>
      <c r="D50" s="59">
        <v>0.05</v>
      </c>
      <c r="E50" s="59">
        <v>0.045</v>
      </c>
      <c r="F50" s="59">
        <v>0.04</v>
      </c>
      <c r="G50" s="60">
        <v>0.03</v>
      </c>
    </row>
    <row r="51" spans="2:7">
      <c r="B51" s="58" t="s">
        <v>62</v>
      </c>
      <c r="C51" s="59">
        <v>0.05</v>
      </c>
      <c r="D51" s="59">
        <v>0.045</v>
      </c>
      <c r="E51" s="59">
        <v>0.04</v>
      </c>
      <c r="F51" s="59">
        <v>0.039</v>
      </c>
      <c r="G51" s="60">
        <v>0.037</v>
      </c>
    </row>
    <row r="52" spans="2:7">
      <c r="B52" s="58" t="s">
        <v>63</v>
      </c>
      <c r="C52" s="59">
        <v>0.04</v>
      </c>
      <c r="D52" s="59">
        <v>0.035</v>
      </c>
      <c r="E52" s="59">
        <v>0.034</v>
      </c>
      <c r="F52" s="59">
        <v>0.038</v>
      </c>
      <c r="G52" s="60">
        <v>0.042</v>
      </c>
    </row>
    <row r="53" ht="14.75" spans="2:7">
      <c r="B53" s="61" t="s">
        <v>64</v>
      </c>
      <c r="C53" s="62">
        <v>0.03</v>
      </c>
      <c r="D53" s="62">
        <v>0.02</v>
      </c>
      <c r="E53" s="62">
        <v>0.03</v>
      </c>
      <c r="F53" s="62">
        <v>0.035</v>
      </c>
      <c r="G53" s="63">
        <v>0.04</v>
      </c>
    </row>
  </sheetData>
  <mergeCells count="4">
    <mergeCell ref="B1:I1"/>
    <mergeCell ref="B4:I4"/>
    <mergeCell ref="B33:I33"/>
    <mergeCell ref="B47:G47"/>
  </mergeCells>
  <conditionalFormatting sqref="C43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F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:G4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G4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:G5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zoomScale="85" zoomScaleNormal="85" workbookViewId="0">
      <selection activeCell="G4" sqref="G4"/>
    </sheetView>
  </sheetViews>
  <sheetFormatPr defaultColWidth="8.72727272727273" defaultRowHeight="14"/>
  <cols>
    <col min="1" max="1" width="8.72727272727273" style="1"/>
    <col min="2" max="2" width="21" style="1" customWidth="1"/>
    <col min="3" max="3" width="16.2727272727273" style="1" customWidth="1"/>
    <col min="4" max="4" width="31.7272727272727" style="1" customWidth="1"/>
    <col min="5" max="5" width="9.09090909090909" style="1" customWidth="1"/>
    <col min="6" max="16384" width="8.72727272727273" style="1"/>
  </cols>
  <sheetData>
    <row r="1" s="1" customFormat="1" ht="20" spans="1:5">
      <c r="B1" s="2" t="s">
        <v>65</v>
      </c>
    </row>
    <row r="2" s="1" customFormat="1" ht="18" spans="1:5">
      <c r="A2" s="3" t="s">
        <v>66</v>
      </c>
      <c r="B2" s="2"/>
    </row>
    <row r="3" s="1" customFormat="1" ht="18" spans="1:5">
      <c r="A3" s="3"/>
      <c r="B3" s="2"/>
    </row>
    <row r="4" s="1" customFormat="1" spans="1:5">
      <c r="B4" s="4" t="s">
        <v>67</v>
      </c>
      <c r="C4" s="4" t="s">
        <v>68</v>
      </c>
      <c r="D4" s="4" t="s">
        <v>69</v>
      </c>
    </row>
    <row r="5" s="1" customFormat="1" spans="1:5">
      <c r="B5" s="5" t="s">
        <v>70</v>
      </c>
      <c r="C5" s="6" t="s">
        <v>71</v>
      </c>
      <c r="D5" s="6" t="s">
        <v>72</v>
      </c>
    </row>
    <row r="6" s="1" customFormat="1" spans="1:5">
      <c r="B6" s="7"/>
      <c r="C6" s="6" t="s">
        <v>73</v>
      </c>
      <c r="D6" s="6" t="s">
        <v>74</v>
      </c>
    </row>
    <row r="7" s="1" customFormat="1" spans="1:5">
      <c r="B7" s="8"/>
      <c r="C7" s="6" t="s">
        <v>75</v>
      </c>
      <c r="D7" s="6" t="s">
        <v>76</v>
      </c>
    </row>
    <row r="8" s="1" customFormat="1" spans="1:5">
      <c r="B8" s="5" t="s">
        <v>77</v>
      </c>
      <c r="C8" s="6" t="s">
        <v>78</v>
      </c>
      <c r="D8" s="6" t="s">
        <v>79</v>
      </c>
    </row>
    <row r="9" s="1" customFormat="1" spans="1:5">
      <c r="B9" s="7"/>
      <c r="C9" s="6" t="s">
        <v>80</v>
      </c>
      <c r="D9" s="6" t="s">
        <v>81</v>
      </c>
    </row>
    <row r="10" s="1" customFormat="1" spans="1:5">
      <c r="B10" s="7"/>
      <c r="C10" s="6" t="s">
        <v>82</v>
      </c>
      <c r="D10" s="6" t="s">
        <v>83</v>
      </c>
    </row>
    <row r="11" s="1" customFormat="1" spans="1:5">
      <c r="B11" s="7"/>
      <c r="C11" s="6" t="s">
        <v>84</v>
      </c>
      <c r="D11" s="6" t="s">
        <v>85</v>
      </c>
    </row>
    <row r="12" s="1" customFormat="1" spans="1:5">
      <c r="B12" s="8"/>
      <c r="C12" s="6" t="s">
        <v>86</v>
      </c>
      <c r="D12" s="6" t="s">
        <v>87</v>
      </c>
    </row>
    <row r="13" s="1" customFormat="1" ht="18" spans="1:5">
      <c r="B13" s="9"/>
      <c r="C13" s="10"/>
      <c r="D13" s="10"/>
    </row>
    <row r="14" s="1" customFormat="1" ht="18" spans="1:5">
      <c r="A14" s="3" t="s">
        <v>88</v>
      </c>
      <c r="B14" s="2"/>
    </row>
    <row r="16" s="1" customFormat="1" ht="14.5" spans="1:5">
      <c r="B16" s="4" t="s">
        <v>89</v>
      </c>
      <c r="C16" s="4" t="s">
        <v>90</v>
      </c>
      <c r="D16" s="4" t="s">
        <v>91</v>
      </c>
      <c r="E16" s="4" t="s">
        <v>92</v>
      </c>
    </row>
    <row r="17" s="1" customFormat="1" ht="14.5" spans="1:8">
      <c r="B17" s="11" t="s">
        <v>93</v>
      </c>
      <c r="C17" s="12">
        <v>8</v>
      </c>
      <c r="D17" s="12">
        <v>8</v>
      </c>
      <c r="E17" s="12">
        <v>8</v>
      </c>
      <c r="H17" s="1" t="s">
        <v>94</v>
      </c>
    </row>
    <row r="18" s="1" customFormat="1" ht="14.5" spans="1:8">
      <c r="B18" s="13" t="s">
        <v>95</v>
      </c>
      <c r="C18" s="14">
        <v>-0.03</v>
      </c>
      <c r="D18" s="14">
        <f>-1*(PMT($H18/12,D17,-1)*D17-1)</f>
        <v>-0.02999999999998</v>
      </c>
      <c r="E18" s="14">
        <f>-1*(PMT($H18/12,E17,-1)*E17-1)</f>
        <v>-0.02999999999998</v>
      </c>
      <c r="H18" s="15">
        <f>RATE(C17,(1-C18)/C17,-1)*12</f>
        <v>0.0793892882836192</v>
      </c>
    </row>
    <row r="19" s="1" customFormat="1" ht="14.5" spans="1:8">
      <c r="B19" s="11" t="s">
        <v>96</v>
      </c>
      <c r="C19" s="16">
        <v>-0.02</v>
      </c>
      <c r="D19" s="16">
        <v>-0.02</v>
      </c>
      <c r="E19" s="16">
        <v>-0.02</v>
      </c>
    </row>
    <row r="20" s="1" customFormat="1" ht="14.5" spans="1:8">
      <c r="B20" s="13" t="s">
        <v>97</v>
      </c>
      <c r="C20" s="17">
        <v>-0.015</v>
      </c>
      <c r="D20" s="17">
        <v>-0.02</v>
      </c>
      <c r="E20" s="17">
        <v>-0.025</v>
      </c>
    </row>
    <row r="21" s="1" customFormat="1" ht="14.5" spans="1:8">
      <c r="B21" s="11" t="s">
        <v>98</v>
      </c>
      <c r="C21" s="16">
        <v>0.02</v>
      </c>
      <c r="D21" s="16">
        <v>0.02</v>
      </c>
      <c r="E21" s="16">
        <v>0.02</v>
      </c>
    </row>
    <row r="22" s="1" customFormat="1" ht="14.5" spans="1:8">
      <c r="B22" s="18" t="s">
        <v>99</v>
      </c>
      <c r="C22" s="19">
        <f>C19+C20+C21+C18</f>
        <v>-0.045</v>
      </c>
      <c r="D22" s="19">
        <f>D19+D20+D21+D18</f>
        <v>-0.04999999999998</v>
      </c>
      <c r="E22" s="19">
        <f>E19+E20+E21+E18</f>
        <v>-0.05499999999998</v>
      </c>
    </row>
    <row r="23" s="1" customFormat="1" ht="6" customHeight="1" spans="1:8">
      <c r="B23" s="20"/>
      <c r="C23" s="1"/>
      <c r="D23" s="1"/>
      <c r="E23" s="21"/>
    </row>
    <row r="24" s="1" customFormat="1" ht="14.5" spans="1:8">
      <c r="B24" s="11" t="s">
        <v>100</v>
      </c>
      <c r="C24" s="16">
        <f>C21*2+C22*-1</f>
        <v>0.085</v>
      </c>
      <c r="D24" s="16">
        <f>D21*2+D22*-1</f>
        <v>0.08999999999998</v>
      </c>
      <c r="E24" s="16">
        <f>E21*2+E22*-1</f>
        <v>0.09499999999998</v>
      </c>
    </row>
    <row r="25" s="1" customFormat="1" ht="14.5" spans="1:8">
      <c r="B25" s="18" t="s">
        <v>101</v>
      </c>
      <c r="C25" s="22">
        <f>C24/C17</f>
        <v>0.010625</v>
      </c>
      <c r="D25" s="22">
        <f>D24/D17</f>
        <v>0.0112499999999975</v>
      </c>
      <c r="E25" s="22">
        <f>E24/E17</f>
        <v>0.0118749999999975</v>
      </c>
    </row>
    <row r="26" s="1" customFormat="1" spans="1:8">
      <c r="B26" s="18" t="s">
        <v>102</v>
      </c>
      <c r="C26" s="19">
        <f>RATE(C17,(1+C24)/C17,-1)*12</f>
        <v>0.221923912983551</v>
      </c>
      <c r="D26" s="19">
        <f>RATE(D17,(1+D24)/D17,-1)*12</f>
        <v>0.234698521551461</v>
      </c>
      <c r="E26" s="19">
        <f>RATE(E17,(1+E24)/E17,-1)*12</f>
        <v>0.247443770881834</v>
      </c>
    </row>
    <row r="27" s="1" customFormat="1" spans="1:8">
      <c r="B27" s="23" t="s">
        <v>103</v>
      </c>
      <c r="C27" s="19">
        <f>RATE(C17,(1+C21)/C17,-1)*12</f>
        <v>0.0530602242431852</v>
      </c>
      <c r="D27" s="19">
        <f>RATE(D17,(1+D21)/D17,-1)*12</f>
        <v>0.0530602242431852</v>
      </c>
      <c r="E27" s="19">
        <f>RATE(E17,(1+E21)/E17,-1)*12</f>
        <v>0.0530602242431852</v>
      </c>
    </row>
    <row r="28" s="1" customFormat="1" spans="1:8">
      <c r="B28" s="24" t="s">
        <v>104</v>
      </c>
      <c r="C28" s="25"/>
      <c r="D28" s="25"/>
      <c r="E28" s="25"/>
    </row>
    <row r="29" s="1" customFormat="1" spans="1:8">
      <c r="B29" s="24" t="s">
        <v>105</v>
      </c>
      <c r="C29" s="25"/>
      <c r="D29" s="25"/>
      <c r="E29" s="25"/>
    </row>
    <row r="30" s="1" customFormat="1" spans="1:8">
      <c r="B30" s="24" t="s">
        <v>106</v>
      </c>
      <c r="C30" s="25"/>
      <c r="D30" s="25"/>
      <c r="E30" s="25"/>
    </row>
    <row r="31" s="1" customFormat="1" spans="1:8">
      <c r="C31" s="15"/>
      <c r="D31" s="15"/>
      <c r="E31" s="15"/>
    </row>
    <row r="32" s="1" customFormat="1" ht="18" spans="1:8">
      <c r="A32" s="3" t="s">
        <v>107</v>
      </c>
      <c r="B32" s="2"/>
    </row>
    <row r="34" s="1" customFormat="1" ht="14.5" spans="2:5">
      <c r="B34" s="4" t="s">
        <v>89</v>
      </c>
      <c r="C34" s="26" t="s">
        <v>91</v>
      </c>
      <c r="D34" s="26" t="s">
        <v>91</v>
      </c>
      <c r="E34" s="26" t="s">
        <v>91</v>
      </c>
    </row>
    <row r="35" s="1" customFormat="1" ht="14.5" spans="2:5">
      <c r="B35" s="11" t="s">
        <v>93</v>
      </c>
      <c r="C35" s="27">
        <v>8</v>
      </c>
      <c r="D35" s="27">
        <v>8</v>
      </c>
      <c r="E35" s="27">
        <v>8</v>
      </c>
    </row>
    <row r="36" s="1" customFormat="1" spans="2:5">
      <c r="B36" s="11" t="s">
        <v>108</v>
      </c>
      <c r="C36" s="28">
        <v>0.010625</v>
      </c>
      <c r="D36" s="28">
        <f>C36+0.1%</f>
        <v>0.011625</v>
      </c>
      <c r="E36" s="28">
        <f>D36+0.1%</f>
        <v>0.012625</v>
      </c>
    </row>
    <row r="37" s="1" customFormat="1" spans="2:5">
      <c r="B37" s="11" t="s">
        <v>109</v>
      </c>
      <c r="C37" s="29">
        <f>C35*C36</f>
        <v>0.085</v>
      </c>
      <c r="D37" s="29">
        <f>D35*D36</f>
        <v>0.093</v>
      </c>
      <c r="E37" s="29">
        <f>E35*E36</f>
        <v>0.101</v>
      </c>
    </row>
    <row r="38" s="1" customFormat="1" ht="14.5" spans="2:5">
      <c r="B38" s="11" t="s">
        <v>95</v>
      </c>
      <c r="C38" s="30">
        <v>-0.03</v>
      </c>
      <c r="D38" s="30">
        <v>-0.03</v>
      </c>
      <c r="E38" s="30">
        <v>-0.03</v>
      </c>
    </row>
    <row r="39" s="1" customFormat="1" ht="14.5" spans="2:5">
      <c r="B39" s="11" t="s">
        <v>96</v>
      </c>
      <c r="C39" s="31">
        <v>-0.02</v>
      </c>
      <c r="D39" s="31">
        <v>-0.02</v>
      </c>
      <c r="E39" s="31">
        <v>-0.02</v>
      </c>
    </row>
    <row r="40" s="1" customFormat="1" ht="14.5" spans="2:5">
      <c r="B40" s="13" t="s">
        <v>97</v>
      </c>
      <c r="C40" s="32">
        <v>-0.015</v>
      </c>
      <c r="D40" s="32">
        <v>-0.02</v>
      </c>
      <c r="E40" s="32">
        <v>-0.025</v>
      </c>
    </row>
    <row r="41" s="1" customFormat="1" spans="2:5">
      <c r="B41" s="18" t="s">
        <v>110</v>
      </c>
      <c r="C41" s="33">
        <f>SUM(C37:C40)</f>
        <v>0.02</v>
      </c>
      <c r="D41" s="33">
        <f>SUM(D37:D40)</f>
        <v>0.023</v>
      </c>
      <c r="E41" s="33">
        <f>SUM(E37:E40)</f>
        <v>0.026</v>
      </c>
    </row>
    <row r="42" s="1" customFormat="1" spans="2:5">
      <c r="B42" s="34"/>
      <c r="C42" s="35"/>
      <c r="D42" s="35"/>
      <c r="E42" s="35"/>
    </row>
    <row r="44" s="1" customFormat="1" spans="2:5">
      <c r="B44" s="3" t="s">
        <v>111</v>
      </c>
    </row>
    <row r="45" s="1" customFormat="1" spans="2:5">
      <c r="B45" s="1" t="s">
        <v>112</v>
      </c>
    </row>
    <row r="46" s="1" customFormat="1" spans="2:5">
      <c r="B46" s="1" t="s">
        <v>113</v>
      </c>
    </row>
    <row r="47" s="1" customFormat="1" spans="2:5">
      <c r="B47" s="1" t="s">
        <v>114</v>
      </c>
    </row>
    <row r="48" s="1" customFormat="1" spans="2:5">
      <c r="B48" s="1" t="s">
        <v>115</v>
      </c>
    </row>
    <row r="49" s="1" customFormat="1" spans="2:2">
      <c r="B49" s="1" t="s">
        <v>116</v>
      </c>
    </row>
    <row r="51" s="1" customFormat="1" spans="2:2">
      <c r="B51" s="1" t="s">
        <v>117</v>
      </c>
    </row>
  </sheetData>
  <mergeCells count="3">
    <mergeCell ref="B1:I1"/>
    <mergeCell ref="B5:B7"/>
    <mergeCell ref="B8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1.额度测算</vt:lpstr>
      <vt:lpstr>2.定价测算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2026-04-02T09:33:00Z</dcterms:created>
  <dcterms:modified xsi:type="dcterms:W3CDTF">2026-04-16T02:44:15Z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822DD76BE6D8445C83B7B8E0FFD41C34_12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