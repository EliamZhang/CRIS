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合规整改测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<sst xmlns="http://schemas.openxmlformats.org/spreadsheetml/2006/main" count="27" uniqueCount="24">
  <si>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r>
      <rPr>
        <b/>
        <sz val="14"/>
        <color rgb="FF1F3864"/>
        <rFont val="微软雅黑"/>
        <charset val="134"/>
      </rPr>
      <t>九、风控合规与监管</t>
    </r>
    <r>
      <rPr>
        <b/>
        <sz val="14"/>
        <color rgb="FF1F3864"/>
        <rFont val="Arial"/>
        <charset val="134"/>
      </rPr>
      <t xml:space="preserve"> — </t>
    </r>
    <r>
      <rPr>
        <b/>
        <sz val="14"/>
        <color rgb="FF1F3864"/>
        <rFont val="微软雅黑"/>
        <charset val="134"/>
      </rPr>
      <t>合规整改投入与影响测算</t>
    </r>
  </si>
  <si>
    <r>
      <t xml:space="preserve">1. </t>
    </r>
    <r>
      <rPr>
        <b/>
        <sz val="11"/>
        <color rgb="FF2E75B6"/>
        <rFont val="微软雅黑"/>
        <charset val="134"/>
      </rPr>
      <t>利率合规整改影响测算</t>
    </r>
  </si>
  <si>
    <r>
      <rPr>
        <b/>
        <sz val="10"/>
        <color rgb="FFFFFFFF"/>
        <rFont val="微软雅黑"/>
        <charset val="134"/>
      </rPr>
      <t>产品</t>
    </r>
  </si>
  <si>
    <r>
      <rPr>
        <b/>
        <sz val="10"/>
        <color rgb="FFFFFFFF"/>
        <rFont val="微软雅黑"/>
        <charset val="134"/>
      </rPr>
      <t>原</t>
    </r>
    <r>
      <rPr>
        <b/>
        <sz val="10"/>
        <color rgb="FFFFFFFF"/>
        <rFont val="Arial"/>
        <charset val="134"/>
      </rPr>
      <t>APR</t>
    </r>
  </si>
  <si>
    <r>
      <rPr>
        <b/>
        <sz val="10"/>
        <color rgb="FFFFFFFF"/>
        <rFont val="微软雅黑"/>
        <charset val="134"/>
      </rPr>
      <t>整改后</t>
    </r>
    <r>
      <rPr>
        <b/>
        <sz val="10"/>
        <color rgb="FFFFFFFF"/>
        <rFont val="Arial"/>
        <charset val="134"/>
      </rPr>
      <t>APR</t>
    </r>
  </si>
  <si>
    <r>
      <rPr>
        <b/>
        <sz val="10"/>
        <color rgb="FFFFFFFF"/>
        <rFont val="微软雅黑"/>
        <charset val="134"/>
      </rPr>
      <t>年放款额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微软雅黑"/>
        <charset val="134"/>
      </rPr>
      <t>亿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</si>
  <si>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利息收入减少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微软雅黑"/>
        <charset val="134"/>
      </rPr>
      <t>万</t>
    </r>
    <r>
      <rPr>
        <b/>
        <sz val="10"/>
        <color rgb="FFFFFFFF"/>
        <rFont val="Arial"/>
        <charset val="134"/>
      </rPr>
      <t>)</t>
    </r>
  </si>
  <si>
    <r>
      <rPr>
        <sz val="10"/>
        <color theme="1"/>
        <rFont val="微软雅黑"/>
        <charset val="134"/>
      </rPr>
      <t>消费贷</t>
    </r>
    <r>
      <rPr>
        <sz val="10"/>
        <color theme="1"/>
        <rFont val="Arial"/>
        <charset val="134"/>
      </rPr>
      <t>A</t>
    </r>
  </si>
  <si>
    <r>
      <rPr>
        <sz val="10"/>
        <color theme="1"/>
        <rFont val="微软雅黑"/>
        <charset val="134"/>
      </rPr>
      <t>现金贷</t>
    </r>
    <r>
      <rPr>
        <sz val="10"/>
        <color theme="1"/>
        <rFont val="Arial"/>
        <charset val="134"/>
      </rPr>
      <t>B</t>
    </r>
  </si>
  <si>
    <r>
      <rPr>
        <sz val="10"/>
        <color theme="1"/>
        <rFont val="微软雅黑"/>
        <charset val="134"/>
      </rPr>
      <t>分期购</t>
    </r>
    <r>
      <rPr>
        <sz val="10"/>
        <color theme="1"/>
        <rFont val="Arial"/>
        <charset val="134"/>
      </rPr>
      <t>C</t>
    </r>
  </si>
  <si>
    <r>
      <rPr>
        <sz val="10"/>
        <color theme="1"/>
        <rFont val="微软雅黑"/>
        <charset val="134"/>
      </rPr>
      <t>信用购</t>
    </r>
    <r>
      <rPr>
        <sz val="10"/>
        <color theme="1"/>
        <rFont val="Arial"/>
        <charset val="134"/>
      </rPr>
      <t>D</t>
    </r>
  </si>
  <si>
    <r>
      <t xml:space="preserve">2. </t>
    </r>
    <r>
      <rPr>
        <b/>
        <sz val="11"/>
        <color rgb="FF2E75B6"/>
        <rFont val="微软雅黑"/>
        <charset val="134"/>
      </rPr>
      <t>合规建设投入测算</t>
    </r>
  </si>
  <si>
    <r>
      <rPr>
        <b/>
        <sz val="10"/>
        <color rgb="FFFFFFFF"/>
        <rFont val="微软雅黑"/>
        <charset val="134"/>
      </rPr>
      <t>项目</t>
    </r>
  </si>
  <si>
    <r>
      <rPr>
        <b/>
        <sz val="10"/>
        <color rgb="FFFFFFFF"/>
        <rFont val="微软雅黑"/>
        <charset val="134"/>
      </rPr>
      <t>一次性投入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微软雅黑"/>
        <charset val="134"/>
      </rPr>
      <t>万元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</si>
  <si>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年度运维成本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微软雅黑"/>
        <charset val="134"/>
      </rPr>
      <t>万元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</si>
  <si>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优先级</t>
    </r>
  </si>
  <si>
    <r>
      <t>AML</t>
    </r>
    <r>
      <rPr>
        <sz val="10"/>
        <color theme="1"/>
        <rFont val="微软雅黑"/>
        <charset val="134"/>
      </rPr>
      <t>监控系统升级</t>
    </r>
  </si>
  <si>
    <r>
      <rPr>
        <sz val="10"/>
        <color theme="1"/>
        <rFont val="微软雅黑"/>
        <charset val="134"/>
      </rPr>
      <t>高</t>
    </r>
  </si>
  <si>
    <r>
      <rPr>
        <sz val="10"/>
        <color theme="1"/>
        <rFont val="微软雅黑"/>
        <charset val="134"/>
      </rPr>
      <t>数据授权平台改造</t>
    </r>
  </si>
  <si>
    <r>
      <rPr>
        <sz val="10"/>
        <color theme="1"/>
        <rFont val="微软雅黑"/>
        <charset val="134"/>
      </rPr>
      <t>模型可解释性报告系统</t>
    </r>
  </si>
  <si>
    <r>
      <rPr>
        <sz val="10"/>
        <color theme="1"/>
        <rFont val="微软雅黑"/>
        <charset val="134"/>
      </rPr>
      <t>中</t>
    </r>
  </si>
  <si>
    <r>
      <rPr>
        <sz val="10"/>
        <color theme="1"/>
        <rFont val="微软雅黑"/>
        <charset val="134"/>
      </rPr>
      <t>催收合规管理系统</t>
    </r>
  </si>
  <si>
    <r>
      <rPr>
        <sz val="10"/>
        <color theme="1"/>
        <rFont val="微软雅黑"/>
        <charset val="134"/>
      </rPr>
      <t>员工合规培训体系</t>
    </r>
  </si>
  <si>
    <r>
      <rPr>
        <sz val="11"/>
        <rFont val="宋体"/>
        <charset val="134"/>
      </rPr>
      <t>合计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</si>
</sst>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_ * #,##0_ ;_ * \-#,##0_ ;_ 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rgb="FF1F3864"/>
      <name val="Arial"/>
      <charset val="134"/>
    </font>
    <font>
      <b/>
      <sz val="11"/>
      <color rgb="FF2E75B6"/>
      <name val="Arial"/>
      <charset val="134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2E75B6"/>
      <name val="微软雅黑"/>
      <charset val="134"/>
    </font>
    <font>
      <b/>
      <sz val="14"/>
      <color rgb="FF1F3864"/>
      <name val="微软雅黑"/>
      <charset val="134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76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77" fontId="5" fillId="3" borderId="1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6" fillId="0" borderId="0" xfId="0" applyFont="1"/>
    <xf numFmtId="0" fontId="6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F12" sqref="F12"/>
    </sheetView>
  </sheetViews>
  <sheetFormatPr defaultColWidth="9" defaultRowHeight="14" outlineLevelCol="6"/>
  <cols>
    <col min="1" max="1" width="27" style="1" customWidth="1"/>
    <col min="2" max="3" width="17" style="1" customWidth="1"/>
    <col min="4" max="4" width="12" style="1" customWidth="1"/>
    <col min="5" max="5" width="13" style="1" customWidth="1"/>
    <col min="6" max="16384" width="9" style="1"/>
  </cols>
  <sheetData>
    <row r="1" ht="35" customHeight="1" spans="1:5">
      <c r="A1" s="2" t="s">
        <v>0</v>
      </c>
    </row>
    <row r="3" ht="16.5" spans="1:5">
      <c r="A3" s="3" t="s">
        <v>1</v>
      </c>
    </row>
    <row r="4" ht="29" spans="1: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ht="14.5" spans="1:5">
      <c r="A5" s="5" t="s">
        <v>7</v>
      </c>
      <c r="B5" s="6">
        <v>0.24</v>
      </c>
      <c r="C5" s="6">
        <v>0.24</v>
      </c>
      <c r="D5" s="7">
        <v>80</v>
      </c>
      <c r="E5" s="8">
        <f>D5*(B5-C5)*10000</f>
        <v>0</v>
      </c>
    </row>
    <row r="6" ht="14.5" spans="1:5">
      <c r="A6" s="5" t="s">
        <v>8</v>
      </c>
      <c r="B6" s="6">
        <v>0.36</v>
      </c>
      <c r="C6" s="6">
        <v>0.24</v>
      </c>
      <c r="D6" s="7">
        <v>50</v>
      </c>
      <c r="E6" s="8">
        <f t="shared" ref="E5:E8" si="0">D6*(B6-C6)*10000</f>
        <v>60000</v>
      </c>
    </row>
    <row r="7" ht="14.5" spans="1:5">
      <c r="A7" s="5" t="s">
        <v>9</v>
      </c>
      <c r="B7" s="6">
        <v>0.28</v>
      </c>
      <c r="C7" s="6">
        <v>0.24</v>
      </c>
      <c r="D7" s="7">
        <v>40</v>
      </c>
      <c r="E7" s="8">
        <f t="shared" si="0"/>
        <v>16000</v>
      </c>
    </row>
    <row r="8" ht="14.5" spans="1:5">
      <c r="A8" s="5" t="s">
        <v>10</v>
      </c>
      <c r="B8" s="6">
        <v>0.2</v>
      </c>
      <c r="C8" s="6">
        <v>0.2</v>
      </c>
      <c r="D8" s="7">
        <v>30</v>
      </c>
      <c r="E8" s="8">
        <f t="shared" si="0"/>
        <v>0</v>
      </c>
    </row>
    <row r="10" ht="16.5" spans="1:5">
      <c r="A10" s="3" t="s">
        <v>11</v>
      </c>
    </row>
    <row r="11" ht="14.5" spans="1:5">
      <c r="A11" s="9" t="s">
        <v>12</v>
      </c>
      <c r="B11" s="9" t="s">
        <v>13</v>
      </c>
      <c r="C11" s="9" t="s">
        <v>14</v>
      </c>
      <c r="D11" s="9" t="s">
        <v>15</v>
      </c>
    </row>
    <row r="12" ht="14.5" spans="1:5">
      <c r="A12" s="10" t="s">
        <v>16</v>
      </c>
      <c r="B12" s="11">
        <v>200</v>
      </c>
      <c r="C12" s="11">
        <v>50</v>
      </c>
      <c r="D12" s="10" t="s">
        <v>17</v>
      </c>
    </row>
    <row r="13" ht="14.5" spans="1:5">
      <c r="A13" s="5" t="s">
        <v>18</v>
      </c>
      <c r="B13" s="7">
        <v>150</v>
      </c>
      <c r="C13" s="7">
        <v>30</v>
      </c>
      <c r="D13" s="5" t="s">
        <v>17</v>
      </c>
    </row>
    <row r="14" ht="14.5" spans="1:5">
      <c r="A14" s="5" t="s">
        <v>19</v>
      </c>
      <c r="B14" s="7">
        <v>100</v>
      </c>
      <c r="C14" s="7">
        <v>20</v>
      </c>
      <c r="D14" s="5" t="s">
        <v>20</v>
      </c>
    </row>
    <row r="15" ht="14.5" spans="1:5">
      <c r="A15" s="5" t="s">
        <v>21</v>
      </c>
      <c r="B15" s="7">
        <v>80</v>
      </c>
      <c r="C15" s="7">
        <v>15</v>
      </c>
      <c r="D15" s="5" t="s">
        <v>20</v>
      </c>
    </row>
    <row r="16" ht="14.5" spans="1:5">
      <c r="A16" s="5" t="s">
        <v>22</v>
      </c>
      <c r="B16" s="7">
        <v>30</v>
      </c>
      <c r="C16" s="7">
        <v>20</v>
      </c>
      <c r="D16" s="5" t="s">
        <v>17</v>
      </c>
    </row>
    <row r="17" spans="1:4">
      <c r="A17" s="12" t="s">
        <v>23</v>
      </c>
      <c r="B17" s="13">
        <f>SUM(B12:B16)</f>
        <v>560</v>
      </c>
      <c r="C17" s="13">
        <f>SUM(C12:C16)</f>
        <v>135</v>
      </c>
      <c r="D17" s="14"/>
    </row>
    <row r="18" spans="1:4">
      <c r="A18" s="14"/>
      <c r="B18" s="14"/>
      <c r="C18" s="14"/>
      <c r="D18" s="14"/>
    </row>
  </sheetData>
  <mergeCells count="3">
    <mergeCell ref="A1:G1"/>
    <mergeCell ref="A3:G3"/>
    <mergeCell ref="A10:G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合规整改测算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2026-04-02T09:33:00Z</dcterms:created>
  <dcterms:modified xsi:type="dcterms:W3CDTF">2026-04-04T14:13:03Z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C1AA995231DC4906983EEBEBF32685D8_12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