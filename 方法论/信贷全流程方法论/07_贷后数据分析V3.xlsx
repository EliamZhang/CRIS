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Vintage分析测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<sst xmlns="http://schemas.openxmlformats.org/spreadsheetml/2006/main" count="60" uniqueCount="40">
  <si>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七、贷后数据分析 — Vintage分析测算</t>
  </si>
  <si>
    <t>1. Vintage X+逾期率表</t>
  </si>
  <si>
    <t>放款月份(MOB)</t>
  </si>
  <si>
    <t>MOB0</t>
  </si>
  <si>
    <t>MOB1</t>
  </si>
  <si>
    <t>MOB2</t>
  </si>
  <si>
    <t>MOB3</t>
  </si>
  <si>
    <t>MOB4</t>
  </si>
  <si>
    <t>MOB5</t>
  </si>
  <si>
    <t>MOB6</t>
  </si>
  <si>
    <t>2025-07</t>
  </si>
  <si>
    <t>2025-08</t>
  </si>
  <si>
    <t/>
  </si>
  <si>
    <t>2025-09</t>
  </si>
  <si>
    <t>2025-10</t>
  </si>
  <si>
    <t>2025-11</t>
  </si>
  <si>
    <t>2025-12</t>
  </si>
  <si>
    <t>2026-01</t>
  </si>
  <si>
    <t>2. 迁徙矩阵(滚动率)</t>
  </si>
  <si>
    <t>起始状态</t>
  </si>
  <si>
    <t>正常→M1</t>
  </si>
  <si>
    <t>M1→M2</t>
  </si>
  <si>
    <t>M2→M3</t>
  </si>
  <si>
    <t>M3→M4</t>
  </si>
  <si>
    <t>M3→核销</t>
  </si>
  <si>
    <t>正常→结清</t>
  </si>
  <si>
    <t>2025-Q3均值</t>
  </si>
  <si>
    <t>2025-Q4均值</t>
  </si>
  <si>
    <t>2026-Q1均值</t>
  </si>
  <si>
    <t>3. 损失准备金预测</t>
  </si>
  <si>
    <t>月份</t>
  </si>
  <si>
    <t>正常余额(亿)</t>
  </si>
  <si>
    <t>M1-M3余额(亿)</t>
  </si>
  <si>
    <t>M3+余额(亿)</t>
  </si>
  <si>
    <t>M3+核销率</t>
  </si>
  <si>
    <t>预计核销额(亿)</t>
  </si>
  <si>
    <t>准备金计提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</si>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</sst>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color theme="1"/>
      <name val="宋体"/>
      <charset val="134"/>
      <scheme val="minor"/>
    </font>
    <font>
      <b/>
      <sz val="14"/>
      <color rgb="FF1F3864"/>
      <name val="微软雅黑"/>
      <charset val="134"/>
    </font>
    <font>
      <b/>
      <sz val="11"/>
      <color rgb="FF2E75B6"/>
      <name val="微软雅黑"/>
      <charset val="134"/>
    </font>
    <font>
      <b/>
      <sz val="10"/>
      <color rgb="FFFFFFFF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left" vertical="center" wrapText="1"/>
    </xf>
    <xf numFmtId="176" fontId="0" fillId="0" borderId="0" xfId="0" applyNumberFormat="1"/>
    <xf numFmtId="0" fontId="4" fillId="3" borderId="1" xfId="0" applyFont="1" applyFill="1" applyBorder="1" applyAlignment="1">
      <alignment horizontal="left" vertical="center" wrapText="1"/>
    </xf>
    <xf numFmtId="176" fontId="4" fillId="3" borderId="1" xfId="3" applyNumberFormat="1" applyFont="1" applyFill="1" applyBorder="1" applyAlignment="1">
      <alignment horizontal="left" vertical="center" wrapText="1"/>
    </xf>
    <xf numFmtId="43" fontId="0" fillId="4" borderId="1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J5" sqref="J5"/>
    </sheetView>
  </sheetViews>
  <sheetFormatPr defaultColWidth="9" defaultRowHeight="14" outlineLevelCol="7"/>
  <cols>
    <col min="1" max="1" width="26" customWidth="1"/>
    <col min="2" max="2" width="12" customWidth="1"/>
    <col min="3" max="3" width="14" customWidth="1"/>
    <col min="4" max="7" width="12" customWidth="1"/>
    <col min="8" max="8" width="6.54545454545455" customWidth="1"/>
    <col min="9" max="9" width="12" customWidth="1"/>
  </cols>
  <sheetData>
    <row r="1" ht="35" customHeight="1" spans="1:8">
      <c r="A1" s="1" t="s">
        <v>0</v>
      </c>
    </row>
    <row r="3" ht="16.5" spans="1:8">
      <c r="A3" s="2" t="s">
        <v>1</v>
      </c>
    </row>
    <row r="4" ht="14.5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4.5" spans="1:8">
      <c r="A5" s="4" t="s">
        <v>10</v>
      </c>
      <c r="B5" s="5">
        <v>0.005</v>
      </c>
      <c r="C5" s="5">
        <v>0.018</v>
      </c>
      <c r="D5" s="5">
        <v>0.03</v>
      </c>
      <c r="E5" s="5">
        <v>0.038</v>
      </c>
      <c r="F5" s="5">
        <v>0.042</v>
      </c>
      <c r="G5" s="5">
        <v>0.044</v>
      </c>
      <c r="H5" s="5">
        <v>0.045</v>
      </c>
    </row>
    <row r="6" ht="14.5" spans="1:8">
      <c r="A6" s="4" t="s">
        <v>11</v>
      </c>
      <c r="B6" s="5">
        <v>0.004</v>
      </c>
      <c r="C6" s="5">
        <v>0.016</v>
      </c>
      <c r="D6" s="5">
        <v>0.027</v>
      </c>
      <c r="E6" s="5">
        <v>0.035</v>
      </c>
      <c r="F6" s="5">
        <v>0.039</v>
      </c>
      <c r="G6" s="5">
        <v>0.041</v>
      </c>
      <c r="H6" s="4" t="s">
        <v>12</v>
      </c>
    </row>
    <row r="7" ht="14.5" spans="1:8">
      <c r="A7" s="4" t="s">
        <v>13</v>
      </c>
      <c r="B7" s="5">
        <v>0.004</v>
      </c>
      <c r="C7" s="5">
        <v>0.015</v>
      </c>
      <c r="D7" s="5">
        <v>0.025</v>
      </c>
      <c r="E7" s="5">
        <v>0.032</v>
      </c>
      <c r="F7" s="5">
        <v>0.036</v>
      </c>
      <c r="G7" s="4" t="s">
        <v>12</v>
      </c>
      <c r="H7" s="4" t="s">
        <v>12</v>
      </c>
    </row>
    <row r="8" ht="14.5" spans="1:8">
      <c r="A8" s="4" t="s">
        <v>14</v>
      </c>
      <c r="B8" s="5">
        <v>0.003</v>
      </c>
      <c r="C8" s="5">
        <v>0.013</v>
      </c>
      <c r="D8" s="5">
        <v>0.022</v>
      </c>
      <c r="E8" s="5">
        <v>0.028</v>
      </c>
      <c r="F8" s="4" t="s">
        <v>12</v>
      </c>
      <c r="G8" s="4" t="s">
        <v>12</v>
      </c>
      <c r="H8" s="4" t="s">
        <v>12</v>
      </c>
    </row>
    <row r="9" ht="14.5" spans="1:8">
      <c r="A9" s="4" t="s">
        <v>15</v>
      </c>
      <c r="B9" s="5">
        <v>0.003</v>
      </c>
      <c r="C9" s="5">
        <v>0.012</v>
      </c>
      <c r="D9" s="5">
        <v>0.02</v>
      </c>
      <c r="E9" s="4" t="s">
        <v>12</v>
      </c>
      <c r="F9" s="4" t="s">
        <v>12</v>
      </c>
      <c r="G9" s="4" t="s">
        <v>12</v>
      </c>
      <c r="H9" s="4" t="s">
        <v>12</v>
      </c>
    </row>
    <row r="10" ht="14.5" spans="1:8">
      <c r="A10" s="4" t="s">
        <v>16</v>
      </c>
      <c r="B10" s="5">
        <v>0.002</v>
      </c>
      <c r="C10" s="5">
        <v>0.011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</row>
    <row r="11" ht="14.5" spans="1:8">
      <c r="A11" s="4" t="s">
        <v>17</v>
      </c>
      <c r="B11" s="5">
        <v>0.002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</row>
    <row r="13" ht="16.5" spans="1:8">
      <c r="A13" s="2" t="s">
        <v>18</v>
      </c>
    </row>
    <row r="14" ht="14.5" spans="1:8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</row>
    <row r="15" ht="14.5" spans="1:8">
      <c r="A15" s="4" t="s">
        <v>26</v>
      </c>
      <c r="B15" s="5">
        <v>0.03</v>
      </c>
      <c r="C15" s="5">
        <v>0.45</v>
      </c>
      <c r="D15" s="5">
        <v>0.35</v>
      </c>
      <c r="E15" s="5">
        <v>0.3</v>
      </c>
      <c r="F15" s="5">
        <v>0.15</v>
      </c>
      <c r="G15" s="5">
        <v>0.25</v>
      </c>
      <c r="H15" s="6"/>
    </row>
    <row r="16" ht="14.5" spans="1:8">
      <c r="A16" s="4" t="s">
        <v>27</v>
      </c>
      <c r="B16" s="5">
        <v>0.025</v>
      </c>
      <c r="C16" s="5">
        <v>0.4</v>
      </c>
      <c r="D16" s="5">
        <v>0.32</v>
      </c>
      <c r="E16" s="5">
        <v>0.28</v>
      </c>
      <c r="F16" s="5">
        <v>0.12</v>
      </c>
      <c r="G16" s="5">
        <v>0.28</v>
      </c>
      <c r="H16" s="6"/>
    </row>
    <row r="17" ht="14.5" spans="1:8">
      <c r="A17" s="4" t="s">
        <v>28</v>
      </c>
      <c r="B17" s="5">
        <v>0.02</v>
      </c>
      <c r="C17" s="5">
        <v>0.35</v>
      </c>
      <c r="D17" s="5">
        <v>0.28</v>
      </c>
      <c r="E17" s="5">
        <v>0.25</v>
      </c>
      <c r="F17" s="5">
        <v>0.1</v>
      </c>
      <c r="G17" s="5">
        <v>0.32</v>
      </c>
      <c r="H17" s="6"/>
    </row>
    <row r="19" ht="16.5" spans="1:8">
      <c r="A19" s="2" t="s">
        <v>29</v>
      </c>
    </row>
    <row r="20" ht="29" spans="1:8">
      <c r="A20" s="3" t="s">
        <v>30</v>
      </c>
      <c r="B20" s="3" t="s">
        <v>31</v>
      </c>
      <c r="C20" s="3" t="s">
        <v>32</v>
      </c>
      <c r="D20" s="3" t="s">
        <v>33</v>
      </c>
      <c r="E20" s="3" t="s">
        <v>34</v>
      </c>
      <c r="F20" s="3" t="s">
        <v>35</v>
      </c>
      <c r="G20" s="3" t="s">
        <v>36</v>
      </c>
    </row>
    <row r="21" ht="14.5" spans="1:8">
      <c r="A21" s="4" t="s">
        <v>37</v>
      </c>
      <c r="B21" s="7">
        <v>180</v>
      </c>
      <c r="C21" s="7">
        <v>8</v>
      </c>
      <c r="D21" s="7">
        <v>3</v>
      </c>
      <c r="E21" s="7">
        <v>0.1</v>
      </c>
      <c r="F21" s="8">
        <f>D21*E21</f>
        <v>0.3</v>
      </c>
      <c r="G21" s="9">
        <f>D21*0.02+C21*0.03+B21*0.05</f>
        <v>9.3</v>
      </c>
    </row>
    <row r="22" ht="14.5" spans="1:8">
      <c r="A22" s="4" t="s">
        <v>38</v>
      </c>
      <c r="B22" s="7">
        <v>175</v>
      </c>
      <c r="C22" s="7">
        <v>7.5</v>
      </c>
      <c r="D22" s="7">
        <v>2.8</v>
      </c>
      <c r="E22" s="7">
        <v>0.1</v>
      </c>
      <c r="F22" s="8">
        <f t="shared" ref="F21:F23" si="0">D22*E22</f>
        <v>0.28</v>
      </c>
      <c r="G22" s="9">
        <f>D22*0.02+C22*0.03+B22*0.05</f>
        <v>9.031</v>
      </c>
    </row>
    <row r="23" ht="14.5" spans="1:8">
      <c r="A23" s="4" t="s">
        <v>39</v>
      </c>
      <c r="B23" s="7">
        <v>170</v>
      </c>
      <c r="C23" s="7">
        <v>7</v>
      </c>
      <c r="D23" s="7">
        <v>2.5</v>
      </c>
      <c r="E23" s="7">
        <v>0.1</v>
      </c>
      <c r="F23" s="8">
        <f t="shared" si="0"/>
        <v>0.25</v>
      </c>
      <c r="G23" s="9">
        <f>D23*0.02+C23*0.03+B23*0.05</f>
        <v>8.76</v>
      </c>
    </row>
  </sheetData>
  <mergeCells count="4">
    <mergeCell ref="A1:H1"/>
    <mergeCell ref="A3:H3"/>
    <mergeCell ref="A13:H13"/>
    <mergeCell ref="A19:H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Vintage分析测算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2026-04-02T09:33:00Z</dcterms:created>
  <dcterms:modified xsi:type="dcterms:W3CDTF">2026-04-04T13:22:09Z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D739DA78DCF443E4B1ABB02F4FCC4CE3_12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