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3"/>
  </bookViews>
  <sheets>
    <sheet name="目录" sheetId="1" r:id="rId1"/>
    <sheet name="2.1 FPD7" sheetId="2" r:id="rId2"/>
    <sheet name="2.2 FPD30" sheetId="3" r:id="rId3"/>
    <sheet name="2.3 DPD30+" sheetId="4" r:id="rId4"/>
    <sheet name="2.4 不良贷款率(NPL)" sheetId="5" r:id="rId5"/>
    <sheet name="2.5 滚动率" sheetId="6" r:id="rId6"/>
    <sheet name="2.6 迁徙率" sheetId="7" r:id="rId7"/>
    <sheet name="2.7 Vintage分析" sheetId="8" r:id="rId8"/>
    <sheet name="2.8 风险敞口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<sst xmlns="http://schemas.openxmlformats.org/spreadsheetml/2006/main" count="703" uniqueCount="343">
  <si>
    <t>第2章 贷中指标 - 测算Sheet目录</t>
  </si>
  <si>
    <t>序号</t>
  </si>
  <si>
    <t>指标编号</t>
  </si>
  <si>
    <t>指标名称</t>
  </si>
  <si>
    <t>Sheet名称</t>
  </si>
  <si>
    <t>2.1</t>
  </si>
  <si>
    <t>FPD7</t>
  </si>
  <si>
    <t>2.1 FPD7</t>
  </si>
  <si>
    <t>2.2</t>
  </si>
  <si>
    <t>FPD30</t>
  </si>
  <si>
    <t>2.2 FPD30</t>
  </si>
  <si>
    <t>2.3</t>
  </si>
  <si>
    <t>DPD30+</t>
  </si>
  <si>
    <t>2.3 DPD30+</t>
  </si>
  <si>
    <t>2.4</t>
  </si>
  <si>
    <t>不良贷款率(NPL)</t>
  </si>
  <si>
    <t>2.4 不良贷款率(NPL)</t>
  </si>
  <si>
    <t>2.5</t>
  </si>
  <si>
    <t>逾期滚动率</t>
  </si>
  <si>
    <t>2.5 逾期滚动率</t>
  </si>
  <si>
    <t>2.6</t>
  </si>
  <si>
    <t>迁徙率</t>
  </si>
  <si>
    <t>2.6 迁徙率</t>
  </si>
  <si>
    <t>2.7</t>
  </si>
  <si>
    <t>Vintage分析</t>
  </si>
  <si>
    <t>2.7 Vintage分析</t>
  </si>
  <si>
    <t>2.8</t>
  </si>
  <si>
    <t>风险敞口</t>
  </si>
  <si>
    <t>2.8 风险敞口</t>
  </si>
  <si>
    <t>订单维度FPD7 = (放款逾期天数大于等于7天件数 / 当月放款总件数) x 100%</t>
  </si>
  <si>
    <t>金额维度FPD7 = (放款逾期天数大于等于7天的放款金额/ 当月放款总金额) x 100%</t>
  </si>
  <si>
    <t>核心价值：</t>
  </si>
  <si>
    <r>
      <rPr>
        <sz val="11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微软雅黑"/>
        <charset val="134"/>
      </rPr>
      <t>消费金融监管报告常用口径（如银保监会相关统计）</t>
    </r>
  </si>
  <si>
    <r>
      <rPr>
        <sz val="11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微软雅黑"/>
        <charset val="134"/>
      </rPr>
      <t>超过7天，催收难度显著上升，催回率下降约30%~50%</t>
    </r>
  </si>
  <si>
    <r>
      <rPr>
        <sz val="11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微软雅黑"/>
        <charset val="134"/>
      </rPr>
      <t>FPD7 &gt; 1% 通常被认为是资产质量的警戒线</t>
    </r>
  </si>
  <si>
    <t>实战意义：</t>
  </si>
  <si>
    <r>
      <rPr>
        <sz val="11"/>
        <color rgb="FFFF0000"/>
        <rFont val="Symbol"/>
        <charset val="134"/>
      </rPr>
      <t>·</t>
    </r>
    <r>
      <rPr>
        <sz val="7"/>
        <color rgb="FFFF0000"/>
        <rFont val="Times New Roman"/>
        <charset val="134"/>
      </rPr>
      <t> </t>
    </r>
    <r>
      <rPr>
        <sz val="11"/>
        <color rgb="FFFF0000"/>
        <rFont val="微软雅黑"/>
        <charset val="134"/>
      </rPr>
      <t>FPD1/FPD3：用于早期预警和反欺诈检测</t>
    </r>
  </si>
  <si>
    <r>
      <rPr>
        <sz val="11"/>
        <color rgb="FFFF0000"/>
        <rFont val="Symbol"/>
        <charset val="134"/>
      </rPr>
      <t>·</t>
    </r>
    <r>
      <rPr>
        <sz val="7"/>
        <color rgb="FFFF0000"/>
        <rFont val="Times New Roman"/>
        <charset val="134"/>
      </rPr>
      <t> </t>
    </r>
    <r>
      <rPr>
        <sz val="11"/>
        <color rgb="FFFF0000"/>
        <rFont val="微软雅黑"/>
        <charset val="134"/>
      </rPr>
      <t>FPD7：资产质量评估和对外披露口径</t>
    </r>
  </si>
  <si>
    <r>
      <rPr>
        <sz val="11"/>
        <color rgb="FFFF0000"/>
        <rFont val="Symbol"/>
        <charset val="134"/>
      </rPr>
      <t>·</t>
    </r>
    <r>
      <rPr>
        <sz val="7"/>
        <color rgb="FFFF0000"/>
        <rFont val="Times New Roman"/>
        <charset val="134"/>
      </rPr>
      <t> </t>
    </r>
    <r>
      <rPr>
        <sz val="11"/>
        <color rgb="FFFF0000"/>
        <rFont val="微软雅黑"/>
        <charset val="134"/>
      </rPr>
      <t>FPD15：催收效能验证</t>
    </r>
  </si>
  <si>
    <r>
      <rPr>
        <sz val="11"/>
        <color rgb="FFFF0000"/>
        <rFont val="Symbol"/>
        <charset val="134"/>
      </rPr>
      <t>·</t>
    </r>
    <r>
      <rPr>
        <sz val="7"/>
        <color rgb="FFFF0000"/>
        <rFont val="Times New Roman"/>
        <charset val="134"/>
      </rPr>
      <t> </t>
    </r>
    <r>
      <rPr>
        <sz val="11"/>
        <color rgb="FFFF0000"/>
        <rFont val="微软雅黑"/>
        <charset val="134"/>
      </rPr>
      <t>FPD30：坏账认定与监管报告</t>
    </r>
  </si>
  <si>
    <t>输入参数</t>
  </si>
  <si>
    <t/>
  </si>
  <si>
    <t>参数名称</t>
  </si>
  <si>
    <t>参数值</t>
  </si>
  <si>
    <t>说明</t>
  </si>
  <si>
    <t>数据来源</t>
  </si>
  <si>
    <t>当月放款总件数</t>
  </si>
  <si>
    <t>手工输入</t>
  </si>
  <si>
    <t>业务系统</t>
  </si>
  <si>
    <t>7天内首逾件数</t>
  </si>
  <si>
    <t>计算结果</t>
  </si>
  <si>
    <t>-</t>
  </si>
  <si>
    <t>当月放款GMV</t>
  </si>
  <si>
    <t>7天内首逾GMV</t>
  </si>
  <si>
    <t>1.金额维度的逾期率优于订单维度的逾期率，说明授信差异化额度效果明显，差距越大越好</t>
  </si>
  <si>
    <t>2.从放款角度来看受限于置信度，可以通过到日期快速了解资产质量</t>
  </si>
  <si>
    <t>参考阈值</t>
  </si>
  <si>
    <t>参考范围</t>
  </si>
  <si>
    <t>&lt; 3.5%</t>
  </si>
  <si>
    <t>根据实际业务调整</t>
  </si>
  <si>
    <t>【实例0】FPD7突然飙升紧急响应</t>
  </si>
  <si>
    <t>日期</t>
  </si>
  <si>
    <t>环比变化</t>
  </si>
  <si>
    <t>渠道分布</t>
  </si>
  <si>
    <t>设备异常率</t>
  </si>
  <si>
    <t>Day 1</t>
  </si>
  <si>
    <t>正常</t>
  </si>
  <si>
    <t>Day 2</t>
  </si>
  <si>
    <t>渠道A集中</t>
  </si>
  <si>
    <t>Day 3</t>
  </si>
  <si>
    <t>渠道A/渠道B</t>
  </si>
  <si>
    <t>Day 4</t>
  </si>
  <si>
    <t>渠道A/B/C</t>
  </si>
  <si>
    <t>【实例1】FPD7基准值建立与监控</t>
  </si>
  <si>
    <t>产品</t>
  </si>
  <si>
    <t>上线天数</t>
  </si>
  <si>
    <t>累计放款</t>
  </si>
  <si>
    <t>基准建议</t>
  </si>
  <si>
    <t>监控区间</t>
  </si>
  <si>
    <t>现金贷</t>
  </si>
  <si>
    <t>5万笔</t>
  </si>
  <si>
    <t>1.5-2.5%</t>
  </si>
  <si>
    <t>&lt;1%或&gt;3%预警</t>
  </si>
  <si>
    <t>消费分期</t>
  </si>
  <si>
    <t>3万笔</t>
  </si>
  <si>
    <t>1.0-2.0%</t>
  </si>
  <si>
    <t>&lt;0.8%或&gt;2.5%预警</t>
  </si>
  <si>
    <t>大额贷</t>
  </si>
  <si>
    <t>1万笔</t>
  </si>
  <si>
    <t>0.5-1.5%</t>
  </si>
  <si>
    <t>&lt;0.3%或&gt;2%预警</t>
  </si>
  <si>
    <t>【实例2】FPD7与通过率的联动分析</t>
  </si>
  <si>
    <t>周次</t>
  </si>
  <si>
    <t>通过率</t>
  </si>
  <si>
    <t>通过率变化</t>
  </si>
  <si>
    <t>FPD7变化</t>
  </si>
  <si>
    <t>风险判断</t>
  </si>
  <si>
    <t>W1</t>
  </si>
  <si>
    <t>W2</t>
  </si>
  <si>
    <t>关注</t>
  </si>
  <si>
    <t>W3</t>
  </si>
  <si>
    <t>预警</t>
  </si>
  <si>
    <t>W4</t>
  </si>
  <si>
    <t>危险</t>
  </si>
  <si>
    <t>订单维度FPD30 = (放款逾期天数大于等于30天件数 / 当月放款总件数) x 100%</t>
  </si>
  <si>
    <t>金额维度FPD30= (放款逾期天数大于等于30天的放款金额/ 当月放款总金额) x 100%</t>
  </si>
  <si>
    <r>
      <rPr>
        <sz val="11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微软雅黑"/>
        <charset val="134"/>
      </rPr>
      <t>中国消费金融行业不良贷款的法定认定标准（M2+）</t>
    </r>
  </si>
  <si>
    <r>
      <rPr>
        <sz val="11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微软雅黑"/>
        <charset val="134"/>
      </rPr>
      <t>超过30天，绝大多数机构将其计入"不良贷款"并计提拨备</t>
    </r>
  </si>
  <si>
    <r>
      <rPr>
        <sz val="11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微软雅黑"/>
        <charset val="134"/>
      </rPr>
      <t>直接影响资本充足率、拨备覆盖率等监管指标</t>
    </r>
  </si>
  <si>
    <r>
      <rPr>
        <sz val="11"/>
        <color theme="1"/>
        <rFont val="Symbol"/>
        <charset val="134"/>
      </rP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微软雅黑"/>
        <charset val="134"/>
      </rPr>
      <t>FPD30 是衡量贷款机构长期资产质量的"终极标尺"</t>
    </r>
  </si>
  <si>
    <t>监管要求：</t>
  </si>
  <si>
    <t>根据银保监会要求，金融机构需对M2+（逾期30天以上）贷款按比例计提专项准备，FPD30 直接影响财务报表的拨备费用。</t>
  </si>
  <si>
    <t>30天内首逾件数</t>
  </si>
  <si>
    <t>30天内首逾GMV</t>
  </si>
  <si>
    <t>&lt; 1.5%</t>
  </si>
  <si>
    <t xml:space="preserve">根据时间业务调整
</t>
  </si>
  <si>
    <t>【实例0】FPD30突破红线紧急处理</t>
  </si>
  <si>
    <t>资产包</t>
  </si>
  <si>
    <t>FPD7→30传导率</t>
  </si>
  <si>
    <t>客群评分</t>
  </si>
  <si>
    <t>Q4资产包</t>
  </si>
  <si>
    <t>全渠道</t>
  </si>
  <si>
    <t>均值620</t>
  </si>
  <si>
    <t>其中-渠道X</t>
  </si>
  <si>
    <t>占比30%</t>
  </si>
  <si>
    <t>均值580</t>
  </si>
  <si>
    <t>其中-优质渠道</t>
  </si>
  <si>
    <t>占比50%</t>
  </si>
  <si>
    <t>均值680</t>
  </si>
  <si>
    <t>其中-自然流量</t>
  </si>
  <si>
    <t>占比20%</t>
  </si>
  <si>
    <t>均值690</t>
  </si>
  <si>
    <t>【实例1】FPD30 Vintage对比分析</t>
  </si>
  <si>
    <t>放款月份</t>
  </si>
  <si>
    <t>M1 FPD30</t>
  </si>
  <si>
    <t>M2 FPD30</t>
  </si>
  <si>
    <t>M3 FPD30</t>
  </si>
  <si>
    <t>累计FPD30</t>
  </si>
  <si>
    <t>【实例2】FPD30预测模型搭建</t>
  </si>
  <si>
    <t>模型</t>
  </si>
  <si>
    <t>准确率</t>
  </si>
  <si>
    <t>召回率</t>
  </si>
  <si>
    <t>AUC</t>
  </si>
  <si>
    <t>提前天数</t>
  </si>
  <si>
    <t>应用场景</t>
  </si>
  <si>
    <t>逻辑回归</t>
  </si>
  <si>
    <t>23天</t>
  </si>
  <si>
    <t>初筛</t>
  </si>
  <si>
    <t>XGBoost</t>
  </si>
  <si>
    <t>主力</t>
  </si>
  <si>
    <t>LightGBM</t>
  </si>
  <si>
    <t>备选</t>
  </si>
  <si>
    <t>集成模型</t>
  </si>
  <si>
    <t>推荐</t>
  </si>
  <si>
    <t>2.3 DPD30/60/90+</t>
  </si>
  <si>
    <t>DPD30+率 = (逾期30天以上余额 / 总在贷余额) x 100%</t>
  </si>
  <si>
    <t>总在贷余额(元)</t>
  </si>
  <si>
    <t>DPD30≈DPD1*(1-CRR30)</t>
  </si>
  <si>
    <t>DPD30+余额(元)</t>
  </si>
  <si>
    <t>DPD60≈DPD1*(1-CRR60)</t>
  </si>
  <si>
    <t>DPD30+率</t>
  </si>
  <si>
    <t>DPD90≈DPD1*(1-CRR90)</t>
  </si>
  <si>
    <t>高入催 + 高催回 = 策略激进，催收给力</t>
  </si>
  <si>
    <t>&lt; 5%</t>
  </si>
  <si>
    <t>来源</t>
  </si>
  <si>
    <t>行业基准</t>
  </si>
  <si>
    <r>
      <t>解读</t>
    </r>
    <r>
      <rPr>
        <sz val="12"/>
        <color theme="1"/>
        <rFont val="宋体"/>
        <charset val="134"/>
      </rPr>
      <t>：这通常发生在次级信贷产品中。策略端在通过高通过率换取规模，而催收端通过高强度的作业把风险压住。</t>
    </r>
  </si>
  <si>
    <r>
      <t>行动</t>
    </r>
    <r>
      <rPr>
        <sz val="12"/>
        <color theme="1"/>
        <rFont val="宋体"/>
        <charset val="134"/>
      </rPr>
      <t>：只要利润模型跑得通，可以继续。但要监控催收成本，防止边际效益递减。</t>
    </r>
  </si>
  <si>
    <t>【实例0】2.3 DPD30/60/90日常监控体系搭建</t>
  </si>
  <si>
    <t>低入催 + 低催回 = 策略保守，催收懈怠</t>
  </si>
  <si>
    <t>指标</t>
  </si>
  <si>
    <t>当前值</t>
  </si>
  <si>
    <t>基准值</t>
  </si>
  <si>
    <t>预警线</t>
  </si>
  <si>
    <t>状态</t>
  </si>
  <si>
    <r>
      <t>解读</t>
    </r>
    <r>
      <rPr>
        <sz val="12"/>
        <color theme="1"/>
        <rFont val="宋体"/>
        <charset val="134"/>
      </rPr>
      <t>：进来的都是好人，所以催收觉得随便催催就能回款，导致催回率反而不高（因为缺乏挑战或动力）。</t>
    </r>
  </si>
  <si>
    <t>2.3 DPD30/60/90</t>
  </si>
  <si>
    <t>正常范围</t>
  </si>
  <si>
    <t>设定基准</t>
  </si>
  <si>
    <t>上下限</t>
  </si>
  <si>
    <t>监控中</t>
  </si>
  <si>
    <t>基准参考业务历史数据，或目标进行调整</t>
  </si>
  <si>
    <r>
      <t>行动</t>
    </r>
    <r>
      <rPr>
        <sz val="12"/>
        <color theme="1"/>
        <rFont val="宋体"/>
        <charset val="134"/>
      </rPr>
      <t>：</t>
    </r>
    <r>
      <rPr>
        <sz val="12"/>
        <color theme="1"/>
        <rFont val="宋体"/>
        <charset val="134"/>
      </rPr>
      <t>这需要优化催收策略，比如调整催收策略和绩效考核，激励催收团队挖掘存量价值</t>
    </r>
  </si>
  <si>
    <t>【实例1】2.3 DPD30/60/90异常波动排查</t>
  </si>
  <si>
    <t>高入催 + 低催回 = 灾难现场</t>
  </si>
  <si>
    <t>日期/维度</t>
  </si>
  <si>
    <t>绝对变化</t>
  </si>
  <si>
    <r>
      <t>解读</t>
    </r>
    <r>
      <rPr>
        <sz val="12"/>
        <color theme="1"/>
        <rFont val="宋体"/>
        <charset val="134"/>
      </rPr>
      <t>：</t>
    </r>
    <r>
      <rPr>
        <sz val="12"/>
        <color theme="1"/>
        <rFont val="宋体"/>
        <charset val="134"/>
      </rPr>
      <t>策略没拦住坏人，催收也追不回钱。这是最危险的状态</t>
    </r>
  </si>
  <si>
    <t>基准</t>
  </si>
  <si>
    <r>
      <t>行动</t>
    </r>
    <r>
      <rPr>
        <sz val="12"/>
        <color theme="1"/>
        <rFont val="宋体"/>
        <charset val="134"/>
      </rPr>
      <t>：</t>
    </r>
    <r>
      <rPr>
        <sz val="12"/>
        <color theme="1"/>
        <rFont val="宋体"/>
        <charset val="134"/>
      </rPr>
      <t>要么收紧准入策略，要么更换催收渠道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委外方，双管齐下才能止血</t>
    </r>
  </si>
  <si>
    <t>偏离+</t>
  </si>
  <si>
    <t>上升</t>
  </si>
  <si>
    <t>低入催 + 高催回 = 梦幻组合</t>
  </si>
  <si>
    <t>偏离++</t>
  </si>
  <si>
    <t>大幅上升</t>
  </si>
  <si>
    <r>
      <t>解读</t>
    </r>
    <r>
      <rPr>
        <sz val="12"/>
        <color theme="1"/>
        <rFont val="宋体"/>
        <charset val="134"/>
      </rPr>
      <t>：进来的都是好人，逾期后催收还能把钱都要回来。</t>
    </r>
  </si>
  <si>
    <t>恢复</t>
  </si>
  <si>
    <t>回落</t>
  </si>
  <si>
    <r>
      <t>行动</t>
    </r>
    <r>
      <rPr>
        <sz val="12"/>
        <color theme="1"/>
        <rFont val="宋体"/>
        <charset val="134"/>
      </rPr>
      <t>：</t>
    </r>
    <r>
      <rPr>
        <sz val="12"/>
        <color theme="1"/>
        <rFont val="宋体"/>
        <charset val="134"/>
      </rPr>
      <t>这种时候要反思，是不是策略太保守了？错失了很多可以盈利的风险客群？可以尝试适当放宽策略，测试利润上限</t>
    </r>
  </si>
  <si>
    <t>【实例2】2.3 DPD30/60/90策略优化效果验证</t>
  </si>
  <si>
    <t>策略前</t>
  </si>
  <si>
    <t>策略后(1周)</t>
  </si>
  <si>
    <t>策略后(2周)</t>
  </si>
  <si>
    <t>目标</t>
  </si>
  <si>
    <t>基线值</t>
  </si>
  <si>
    <t>观察值1</t>
  </si>
  <si>
    <t>观察值2</t>
  </si>
  <si>
    <t>目标值</t>
  </si>
  <si>
    <t>或上线前预估值</t>
  </si>
  <si>
    <t>NPL = 不良贷款余额 / 总贷款余额 x 100%</t>
  </si>
  <si>
    <t>总贷款余额(元)</t>
  </si>
  <si>
    <t>不良贷款余额(元)</t>
  </si>
  <si>
    <t>NPL</t>
  </si>
  <si>
    <t>&lt; 3%</t>
  </si>
  <si>
    <t>【实例0】2.4 不良贷款率(NPL)日常监控体系搭建</t>
  </si>
  <si>
    <t>【实例1】2.4 不良贷款率(NPL)异常波动排查</t>
  </si>
  <si>
    <t>【实例2】2.4 不良贷款率(NPL)策略优化效果验证</t>
  </si>
  <si>
    <r>
      <rPr>
        <b/>
        <sz val="14"/>
        <color rgb="FF1F4E79"/>
        <rFont val="Arial"/>
        <charset val="134"/>
      </rPr>
      <t xml:space="preserve">2.5 </t>
    </r>
    <r>
      <rPr>
        <b/>
        <sz val="14"/>
        <color rgb="FF1F4E79"/>
        <rFont val="微软雅黑"/>
        <charset val="134"/>
      </rPr>
      <t>滚动率</t>
    </r>
  </si>
  <si>
    <r>
      <rPr>
        <sz val="11"/>
        <color theme="1"/>
        <rFont val="Arial"/>
        <charset val="134"/>
      </rPr>
      <t>M0-&gt;M1</t>
    </r>
    <r>
      <rPr>
        <i/>
        <sz val="9"/>
        <rFont val="微软雅黑"/>
        <charset val="134"/>
      </rPr>
      <t>滚动率</t>
    </r>
    <r>
      <rPr>
        <i/>
        <sz val="9"/>
        <rFont val="Arial"/>
        <charset val="134"/>
      </rPr>
      <t xml:space="preserve"> = </t>
    </r>
    <r>
      <rPr>
        <i/>
        <sz val="9"/>
        <rFont val="宋体"/>
        <charset val="134"/>
      </rPr>
      <t>本期</t>
    </r>
    <r>
      <rPr>
        <i/>
        <sz val="9"/>
        <rFont val="Arial"/>
        <charset val="134"/>
      </rPr>
      <t>M0/</t>
    </r>
    <r>
      <rPr>
        <i/>
        <sz val="9"/>
        <rFont val="宋体"/>
        <charset val="134"/>
      </rPr>
      <t>上期</t>
    </r>
    <r>
      <rPr>
        <i/>
        <sz val="9"/>
        <rFont val="Arial"/>
        <charset val="134"/>
      </rPr>
      <t>M1</t>
    </r>
  </si>
  <si>
    <r>
      <rPr>
        <sz val="11"/>
        <color theme="1"/>
        <rFont val="Arial"/>
        <charset val="134"/>
      </rPr>
      <t>M1-&gt;M2</t>
    </r>
    <r>
      <rPr>
        <sz val="11"/>
        <color theme="1"/>
        <rFont val="宋体"/>
        <charset val="134"/>
      </rPr>
      <t>滚动率</t>
    </r>
    <r>
      <rPr>
        <sz val="11"/>
        <color theme="1"/>
        <rFont val="Arial"/>
        <charset val="134"/>
      </rPr>
      <t>=</t>
    </r>
    <r>
      <rPr>
        <sz val="11"/>
        <color theme="1"/>
        <rFont val="宋体"/>
        <charset val="134"/>
      </rPr>
      <t>本期</t>
    </r>
    <r>
      <rPr>
        <sz val="11"/>
        <color theme="1"/>
        <rFont val="Arial"/>
        <charset val="134"/>
      </rPr>
      <t>M2/</t>
    </r>
    <r>
      <rPr>
        <sz val="11"/>
        <color theme="1"/>
        <rFont val="宋体"/>
        <charset val="134"/>
      </rPr>
      <t>上期</t>
    </r>
    <r>
      <rPr>
        <sz val="11"/>
        <color theme="1"/>
        <rFont val="Arial"/>
        <charset val="134"/>
      </rPr>
      <t>M1</t>
    </r>
  </si>
  <si>
    <r>
      <rPr>
        <sz val="11"/>
        <color theme="1"/>
        <rFont val="Arial"/>
        <charset val="134"/>
      </rPr>
      <t>M2-&gt;M3</t>
    </r>
    <r>
      <rPr>
        <sz val="11"/>
        <color theme="1"/>
        <rFont val="宋体"/>
        <charset val="134"/>
      </rPr>
      <t>滚动率</t>
    </r>
    <r>
      <rPr>
        <sz val="11"/>
        <color theme="1"/>
        <rFont val="Arial"/>
        <charset val="134"/>
      </rPr>
      <t>=</t>
    </r>
    <r>
      <rPr>
        <sz val="11"/>
        <color theme="1"/>
        <rFont val="宋体"/>
        <charset val="134"/>
      </rPr>
      <t>本期</t>
    </r>
    <r>
      <rPr>
        <sz val="11"/>
        <color theme="1"/>
        <rFont val="Arial"/>
        <charset val="134"/>
      </rPr>
      <t>M2/</t>
    </r>
    <r>
      <rPr>
        <sz val="11"/>
        <color theme="1"/>
        <rFont val="宋体"/>
        <charset val="134"/>
      </rPr>
      <t>上期</t>
    </r>
    <r>
      <rPr>
        <sz val="11"/>
        <color theme="1"/>
        <rFont val="Arial"/>
        <charset val="134"/>
      </rPr>
      <t>M3</t>
    </r>
  </si>
  <si>
    <r>
      <rPr>
        <sz val="11"/>
        <color theme="1"/>
        <rFont val="Arial"/>
        <charset val="134"/>
      </rPr>
      <t xml:space="preserve">M3-&gt;Write off </t>
    </r>
    <r>
      <rPr>
        <sz val="11"/>
        <color theme="1"/>
        <rFont val="宋体"/>
        <charset val="134"/>
      </rPr>
      <t>滚动率</t>
    </r>
    <r>
      <rPr>
        <sz val="11"/>
        <color theme="1"/>
        <rFont val="Arial"/>
        <charset val="134"/>
      </rPr>
      <t>=</t>
    </r>
    <r>
      <rPr>
        <sz val="11"/>
        <color theme="1"/>
        <rFont val="宋体"/>
        <charset val="134"/>
      </rPr>
      <t>本期</t>
    </r>
    <r>
      <rPr>
        <sz val="11"/>
        <color theme="1"/>
        <rFont val="Arial"/>
        <charset val="134"/>
      </rPr>
      <t>Write off/</t>
    </r>
    <r>
      <rPr>
        <sz val="11"/>
        <color theme="1"/>
        <rFont val="宋体"/>
        <charset val="134"/>
      </rPr>
      <t>上期</t>
    </r>
    <r>
      <rPr>
        <sz val="11"/>
        <color theme="1"/>
        <rFont val="Arial"/>
        <charset val="134"/>
      </rPr>
      <t>M3</t>
    </r>
  </si>
  <si>
    <r>
      <rPr>
        <b/>
        <sz val="11"/>
        <color theme="1"/>
        <rFont val="Arial"/>
        <charset val="134"/>
      </rPr>
      <t>1.1 Roll rate</t>
    </r>
    <r>
      <rPr>
        <b/>
        <sz val="11"/>
        <color theme="1"/>
        <rFont val="宋体"/>
        <charset val="134"/>
      </rPr>
      <t>定义</t>
    </r>
  </si>
  <si>
    <t>滚动率（Roll Rate / Flow Rate）：也叫向下滚动率。看的是一个账龄周期内，正常或低逾期的资产「滚」到高逾期的比例。本质是恶化率，衡量的是资产质量从好变坏的速度和概率</t>
  </si>
  <si>
    <r>
      <rPr>
        <b/>
        <sz val="11"/>
        <color theme="4" tint="-0.5"/>
        <rFont val="微软雅黑"/>
        <charset val="134"/>
      </rPr>
      <t>1.</t>
    </r>
    <r>
      <rPr>
        <b/>
        <sz val="14"/>
        <color theme="4" tint="-0.5"/>
        <rFont val="Arial"/>
        <charset val="134"/>
      </rPr>
      <t xml:space="preserve">2 Roll Rate </t>
    </r>
    <r>
      <rPr>
        <b/>
        <sz val="14"/>
        <color theme="4" tint="-0.5"/>
        <rFont val="宋体"/>
        <charset val="134"/>
      </rPr>
      <t>逾期等级说明</t>
    </r>
  </si>
  <si>
    <t>Roll Rate 通常基于标准的贷款逾期等级（M0~M3+）进行计算：</t>
  </si>
  <si>
    <t>逾期等级</t>
  </si>
  <si>
    <t>定义</t>
  </si>
  <si>
    <t>通常天数</t>
  </si>
  <si>
    <t>含义</t>
  </si>
  <si>
    <t>M0</t>
  </si>
  <si>
    <t>正常（Current）</t>
  </si>
  <si>
    <t>0天</t>
  </si>
  <si>
    <t>正常还款，无逾期</t>
  </si>
  <si>
    <t>M1</t>
  </si>
  <si>
    <t>逾期 1~29 天</t>
  </si>
  <si>
    <t>1~29天</t>
  </si>
  <si>
    <t>轻度逾期，早期预警</t>
  </si>
  <si>
    <t>M2</t>
  </si>
  <si>
    <t>逾期 30~59 天</t>
  </si>
  <si>
    <t>30~59天</t>
  </si>
  <si>
    <t>中度逾期，催收介入</t>
  </si>
  <si>
    <t>M3</t>
  </si>
  <si>
    <t>逾期 60~89 天</t>
  </si>
  <si>
    <t>60~89天</t>
  </si>
  <si>
    <t>重度逾期，核销风险上升</t>
  </si>
  <si>
    <r>
      <rPr>
        <sz val="10"/>
        <color theme="1"/>
        <rFont val="Arial"/>
        <charset val="134"/>
      </rPr>
      <t>M3</t>
    </r>
    <r>
      <rPr>
        <sz val="10"/>
        <color theme="1"/>
        <rFont val="Arial"/>
        <charset val="134"/>
      </rPr>
      <t>+</t>
    </r>
  </si>
  <si>
    <t>逾期 90 天以上</t>
  </si>
  <si>
    <t>≥90天</t>
  </si>
  <si>
    <t>已入不良，大概率核销</t>
  </si>
  <si>
    <r>
      <rPr>
        <b/>
        <sz val="11"/>
        <color theme="1"/>
        <rFont val="宋体"/>
        <charset val="134"/>
      </rPr>
      <t>具体计算实例</t>
    </r>
    <r>
      <rPr>
        <b/>
        <sz val="11"/>
        <color theme="1"/>
        <rFont val="Arial"/>
        <charset val="134"/>
      </rPr>
      <t>:</t>
    </r>
  </si>
  <si>
    <t>Outstanding balance$</t>
  </si>
  <si>
    <t>Write off</t>
  </si>
  <si>
    <t>Recovery</t>
  </si>
  <si>
    <t>Roll rate%</t>
  </si>
  <si>
    <t>M0-&gt;1</t>
  </si>
  <si>
    <t>M1-&gt;2</t>
  </si>
  <si>
    <t>M2-&gt;3</t>
  </si>
  <si>
    <t>M3-Write off</t>
  </si>
  <si>
    <t>Write off-&gt;Recovery</t>
  </si>
  <si>
    <t>Provision rate%</t>
  </si>
  <si>
    <t>M0-&gt;Write off</t>
  </si>
  <si>
    <t>M1-&gt;Write off</t>
  </si>
  <si>
    <t>M2-&gt;Write off</t>
  </si>
  <si>
    <t>M3-&gt;Write off</t>
  </si>
  <si>
    <t>Provision balance$</t>
  </si>
  <si>
    <r>
      <rPr>
        <b/>
        <sz val="14"/>
        <color rgb="FF1F4E79"/>
        <rFont val="Arial"/>
        <charset val="134"/>
      </rPr>
      <t xml:space="preserve">2.6 </t>
    </r>
    <r>
      <rPr>
        <b/>
        <sz val="14"/>
        <color rgb="FF1F4E79"/>
        <rFont val="微软雅黑"/>
        <charset val="134"/>
      </rPr>
      <t>迁徙率</t>
    </r>
  </si>
  <si>
    <r>
      <rPr>
        <i/>
        <sz val="9"/>
        <rFont val="微软雅黑"/>
        <charset val="134"/>
      </rPr>
      <t>迁徙率</t>
    </r>
    <r>
      <rPr>
        <i/>
        <sz val="9"/>
        <rFont val="Arial"/>
        <charset val="134"/>
      </rPr>
      <t xml:space="preserve"> = </t>
    </r>
    <r>
      <rPr>
        <i/>
        <sz val="9"/>
        <rFont val="微软雅黑"/>
        <charset val="134"/>
      </rPr>
      <t>期末更高级逾期余额</t>
    </r>
    <r>
      <rPr>
        <i/>
        <sz val="9"/>
        <rFont val="Arial"/>
        <charset val="134"/>
      </rPr>
      <t xml:space="preserve"> / </t>
    </r>
    <r>
      <rPr>
        <i/>
        <sz val="9"/>
        <rFont val="微软雅黑"/>
        <charset val="134"/>
      </rPr>
      <t>期初低级逾期余额</t>
    </r>
    <r>
      <rPr>
        <i/>
        <sz val="9"/>
        <rFont val="Arial"/>
        <charset val="134"/>
      </rPr>
      <t xml:space="preserve"> x 100%</t>
    </r>
  </si>
  <si>
    <r>
      <rPr>
        <b/>
        <sz val="10"/>
        <rFont val="微软雅黑"/>
        <charset val="134"/>
      </rPr>
      <t>输入参数</t>
    </r>
  </si>
  <si>
    <r>
      <rPr>
        <b/>
        <sz val="10"/>
        <color rgb="FFFFFFFF"/>
        <rFont val="微软雅黑"/>
        <charset val="134"/>
      </rPr>
      <t>参数名称</t>
    </r>
  </si>
  <si>
    <r>
      <rPr>
        <b/>
        <sz val="10"/>
        <color rgb="FFFFFFFF"/>
        <rFont val="微软雅黑"/>
        <charset val="134"/>
      </rPr>
      <t>参数值</t>
    </r>
  </si>
  <si>
    <r>
      <rPr>
        <b/>
        <sz val="10"/>
        <color rgb="FFFFFFFF"/>
        <rFont val="微软雅黑"/>
        <charset val="134"/>
      </rPr>
      <t>说明</t>
    </r>
  </si>
  <si>
    <r>
      <rPr>
        <b/>
        <sz val="10"/>
        <color rgb="FFFFFFFF"/>
        <rFont val="微软雅黑"/>
        <charset val="134"/>
      </rPr>
      <t>数据来源</t>
    </r>
  </si>
  <si>
    <r>
      <rPr>
        <sz val="10"/>
        <rFont val="微软雅黑"/>
        <charset val="134"/>
      </rPr>
      <t>期初</t>
    </r>
    <r>
      <rPr>
        <sz val="10"/>
        <rFont val="Arial"/>
        <charset val="134"/>
      </rPr>
      <t>M1</t>
    </r>
    <r>
      <rPr>
        <sz val="10"/>
        <rFont val="微软雅黑"/>
        <charset val="134"/>
      </rPr>
      <t>余额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元</t>
    </r>
    <r>
      <rPr>
        <sz val="10"/>
        <rFont val="Arial"/>
        <charset val="134"/>
      </rPr>
      <t>)</t>
    </r>
  </si>
  <si>
    <r>
      <rPr>
        <sz val="10"/>
        <rFont val="微软雅黑"/>
        <charset val="134"/>
      </rPr>
      <t>手工输入</t>
    </r>
  </si>
  <si>
    <r>
      <rPr>
        <sz val="10"/>
        <rFont val="微软雅黑"/>
        <charset val="134"/>
      </rPr>
      <t>业务系统</t>
    </r>
  </si>
  <si>
    <r>
      <rPr>
        <sz val="10"/>
        <rFont val="微软雅黑"/>
        <charset val="134"/>
      </rPr>
      <t>期末</t>
    </r>
    <r>
      <rPr>
        <sz val="10"/>
        <rFont val="Arial"/>
        <charset val="134"/>
      </rPr>
      <t>M2</t>
    </r>
    <r>
      <rPr>
        <sz val="10"/>
        <rFont val="微软雅黑"/>
        <charset val="134"/>
      </rPr>
      <t>余额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元</t>
    </r>
    <r>
      <rPr>
        <sz val="10"/>
        <rFont val="Arial"/>
        <charset val="134"/>
      </rPr>
      <t>)</t>
    </r>
  </si>
  <si>
    <r>
      <rPr>
        <b/>
        <sz val="10"/>
        <rFont val="Arial"/>
        <charset val="134"/>
      </rPr>
      <t>M1-&gt;M2</t>
    </r>
    <r>
      <rPr>
        <b/>
        <sz val="10"/>
        <rFont val="微软雅黑"/>
        <charset val="134"/>
      </rPr>
      <t>迁徙率</t>
    </r>
  </si>
  <si>
    <r>
      <rPr>
        <sz val="10"/>
        <rFont val="微软雅黑"/>
        <charset val="134"/>
      </rPr>
      <t>计算结果</t>
    </r>
  </si>
  <si>
    <r>
      <rPr>
        <b/>
        <sz val="11"/>
        <color rgb="FF2E75B6"/>
        <rFont val="微软雅黑"/>
        <charset val="134"/>
      </rPr>
      <t>最基本的迁移矩阵（</t>
    </r>
    <r>
      <rPr>
        <b/>
        <sz val="11"/>
        <color rgb="FF2E75B6"/>
        <rFont val="Arial"/>
        <charset val="134"/>
      </rPr>
      <t>Roll Rate Matrix</t>
    </r>
    <r>
      <rPr>
        <b/>
        <sz val="11"/>
        <color rgb="FF2E75B6"/>
        <rFont val="微软雅黑"/>
        <charset val="134"/>
      </rPr>
      <t>）</t>
    </r>
  </si>
  <si>
    <r>
      <rPr>
        <b/>
        <sz val="10"/>
        <color rgb="FFFFFFFF"/>
        <rFont val="微软雅黑"/>
        <charset val="134"/>
      </rPr>
      <t>上月</t>
    </r>
    <r>
      <rPr>
        <b/>
        <sz val="10"/>
        <color rgb="FFFFFFFF"/>
        <rFont val="Arial"/>
        <charset val="134"/>
      </rPr>
      <t>\</t>
    </r>
    <r>
      <rPr>
        <b/>
        <sz val="10"/>
        <color rgb="FFFFFFFF"/>
        <rFont val="微软雅黑"/>
        <charset val="134"/>
      </rPr>
      <t>本月</t>
    </r>
  </si>
  <si>
    <r>
      <rPr>
        <b/>
        <sz val="10"/>
        <color rgb="FFFFFFFF"/>
        <rFont val="微软雅黑"/>
        <charset val="134"/>
      </rPr>
      <t>正常</t>
    </r>
  </si>
  <si>
    <t>M3+</t>
  </si>
  <si>
    <r>
      <rPr>
        <b/>
        <sz val="10"/>
        <color rgb="FFFFFFFF"/>
        <rFont val="微软雅黑"/>
        <charset val="134"/>
      </rPr>
      <t>结清</t>
    </r>
    <r>
      <rPr>
        <b/>
        <sz val="10"/>
        <color rgb="FFFFFFFF"/>
        <rFont val="Arial"/>
        <charset val="134"/>
      </rPr>
      <t>/</t>
    </r>
    <r>
      <rPr>
        <b/>
        <sz val="10"/>
        <color rgb="FFFFFFFF"/>
        <rFont val="微软雅黑"/>
        <charset val="134"/>
      </rPr>
      <t>核销</t>
    </r>
  </si>
  <si>
    <r>
      <rPr>
        <sz val="10"/>
        <color rgb="FF333333"/>
        <rFont val="宋体"/>
        <charset val="134"/>
      </rPr>
      <t>正常（</t>
    </r>
    <r>
      <rPr>
        <sz val="10"/>
        <color rgb="FF333333"/>
        <rFont val="Arial"/>
        <charset val="134"/>
      </rPr>
      <t>Current</t>
    </r>
    <r>
      <rPr>
        <sz val="10"/>
        <color rgb="FF333333"/>
        <rFont val="宋体"/>
        <charset val="134"/>
      </rPr>
      <t>）</t>
    </r>
  </si>
  <si>
    <r>
      <rPr>
        <sz val="10"/>
        <color rgb="FF333333"/>
        <rFont val="Arial"/>
        <charset val="134"/>
      </rPr>
      <t>M1</t>
    </r>
    <r>
      <rPr>
        <sz val="10"/>
        <color rgb="FF333333"/>
        <rFont val="宋体"/>
        <charset val="134"/>
      </rPr>
      <t>（逾期</t>
    </r>
    <r>
      <rPr>
        <sz val="10"/>
        <color rgb="FF333333"/>
        <rFont val="Arial"/>
        <charset val="134"/>
      </rPr>
      <t>1</t>
    </r>
    <r>
      <rPr>
        <sz val="10"/>
        <color rgb="FF333333"/>
        <rFont val="宋体"/>
        <charset val="134"/>
      </rPr>
      <t>期）</t>
    </r>
  </si>
  <si>
    <r>
      <rPr>
        <sz val="10"/>
        <color rgb="FF333333"/>
        <rFont val="Arial"/>
        <charset val="134"/>
      </rPr>
      <t>M2</t>
    </r>
    <r>
      <rPr>
        <sz val="10"/>
        <color rgb="FF333333"/>
        <rFont val="宋体"/>
        <charset val="134"/>
      </rPr>
      <t>（逾期</t>
    </r>
    <r>
      <rPr>
        <sz val="10"/>
        <color rgb="FF333333"/>
        <rFont val="Arial"/>
        <charset val="134"/>
      </rPr>
      <t>2</t>
    </r>
    <r>
      <rPr>
        <sz val="10"/>
        <color rgb="FF333333"/>
        <rFont val="宋体"/>
        <charset val="134"/>
      </rPr>
      <t>期）</t>
    </r>
  </si>
  <si>
    <r>
      <rPr>
        <sz val="10"/>
        <color rgb="FF333333"/>
        <rFont val="Arial"/>
        <charset val="134"/>
      </rPr>
      <t>M3+</t>
    </r>
    <r>
      <rPr>
        <sz val="10"/>
        <color rgb="FF333333"/>
        <rFont val="宋体"/>
        <charset val="134"/>
      </rPr>
      <t>（逾期</t>
    </r>
    <r>
      <rPr>
        <sz val="10"/>
        <color rgb="FF333333"/>
        <rFont val="Arial"/>
        <charset val="134"/>
      </rPr>
      <t>3</t>
    </r>
    <r>
      <rPr>
        <sz val="10"/>
        <color rgb="FF333333"/>
        <rFont val="宋体"/>
        <charset val="134"/>
      </rPr>
      <t>期</t>
    </r>
    <r>
      <rPr>
        <sz val="10"/>
        <color rgb="FF333333"/>
        <rFont val="Arial"/>
        <charset val="134"/>
      </rPr>
      <t>+</t>
    </r>
    <r>
      <rPr>
        <sz val="10"/>
        <color rgb="FF333333"/>
        <rFont val="宋体"/>
        <charset val="134"/>
      </rPr>
      <t>）</t>
    </r>
  </si>
  <si>
    <t xml:space="preserve"> </t>
  </si>
  <si>
    <r>
      <rPr>
        <b/>
        <i/>
        <sz val="10.5"/>
        <color rgb="FF555555"/>
        <rFont val="Arial"/>
        <charset val="134"/>
      </rPr>
      <t xml:space="preserve">💡 </t>
    </r>
    <r>
      <rPr>
        <b/>
        <i/>
        <sz val="10.5"/>
        <color rgb="FF555555"/>
        <rFont val="宋体"/>
        <charset val="134"/>
      </rPr>
      <t>怎么读这张表？第</t>
    </r>
    <r>
      <rPr>
        <b/>
        <i/>
        <sz val="10.5"/>
        <color rgb="FF555555"/>
        <rFont val="Arial"/>
        <charset val="134"/>
      </rPr>
      <t>2</t>
    </r>
    <r>
      <rPr>
        <b/>
        <i/>
        <sz val="10.5"/>
        <color rgb="FF555555"/>
        <rFont val="宋体"/>
        <charset val="134"/>
      </rPr>
      <t>行说明：上个月</t>
    </r>
    <r>
      <rPr>
        <b/>
        <i/>
        <sz val="10.5"/>
        <color rgb="FF555555"/>
        <rFont val="Arial"/>
        <charset val="134"/>
      </rPr>
      <t>M1</t>
    </r>
    <r>
      <rPr>
        <b/>
        <i/>
        <sz val="10.5"/>
        <color rgb="FF555555"/>
        <rFont val="宋体"/>
        <charset val="134"/>
      </rPr>
      <t>的客户，本月有</t>
    </r>
    <r>
      <rPr>
        <b/>
        <i/>
        <sz val="10.5"/>
        <color rgb="FF555555"/>
        <rFont val="Arial"/>
        <charset val="134"/>
      </rPr>
      <t>40%</t>
    </r>
    <r>
      <rPr>
        <b/>
        <i/>
        <sz val="10.5"/>
        <color rgb="FF555555"/>
        <rFont val="宋体"/>
        <charset val="134"/>
      </rPr>
      <t>变好了（治愈），</t>
    </r>
    <r>
      <rPr>
        <b/>
        <i/>
        <sz val="10.5"/>
        <color rgb="FF555555"/>
        <rFont val="Arial"/>
        <charset val="134"/>
      </rPr>
      <t>35%</t>
    </r>
    <r>
      <rPr>
        <b/>
        <i/>
        <sz val="10.5"/>
        <color rgb="FF555555"/>
        <rFont val="宋体"/>
        <charset val="134"/>
      </rPr>
      <t>原地蹏步，</t>
    </r>
    <r>
      <rPr>
        <b/>
        <i/>
        <sz val="10.5"/>
        <color rgb="FF555555"/>
        <rFont val="Arial"/>
        <charset val="134"/>
      </rPr>
      <t>15%</t>
    </r>
    <r>
      <rPr>
        <b/>
        <i/>
        <sz val="10.5"/>
        <color rgb="FF555555"/>
        <rFont val="宋体"/>
        <charset val="134"/>
      </rPr>
      <t>继续恶化成</t>
    </r>
    <r>
      <rPr>
        <b/>
        <i/>
        <sz val="10.5"/>
        <color rgb="FF555555"/>
        <rFont val="Arial"/>
        <charset val="134"/>
      </rPr>
      <t>M2</t>
    </r>
    <r>
      <rPr>
        <b/>
        <i/>
        <sz val="10.5"/>
        <color rgb="FF555555"/>
        <rFont val="宋体"/>
        <charset val="134"/>
      </rPr>
      <t>。这就是</t>
    </r>
    <r>
      <rPr>
        <b/>
        <i/>
        <sz val="10.5"/>
        <color rgb="FF555555"/>
        <rFont val="Arial"/>
        <charset val="134"/>
      </rPr>
      <t xml:space="preserve"> Roll Rate </t>
    </r>
    <r>
      <rPr>
        <b/>
        <i/>
        <sz val="10.5"/>
        <color rgb="FF555555"/>
        <rFont val="宋体"/>
        <charset val="134"/>
      </rPr>
      <t>在实际工作中最常见的形态。</t>
    </r>
  </si>
  <si>
    <t>Vintage 1+ MobN dr = 某月放款资产在第N个月的逾期天数&gt;=1的未还本金/某个总放款总额</t>
  </si>
  <si>
    <t>Vintage 30+ MobN dr = 某月放款资产在第N个月的逾期天数&gt;=30的未还本金/某个总放款总额</t>
  </si>
  <si>
    <t>Vintage 60+ MobN dr = 某月放款资产在第N个月的逾期天数&gt;=60的未还本金/某个总放款总额</t>
  </si>
  <si>
    <t>Vintage 90+ MobN dr = 某月放款资产在第N个月的逾期天数&gt;=90的未还本金/某个总放款总额</t>
  </si>
  <si>
    <r>
      <rPr>
        <b/>
        <sz val="11"/>
        <color rgb="FF2E75B6"/>
        <rFont val="Arial"/>
        <charset val="134"/>
      </rPr>
      <t>1. Vintage</t>
    </r>
    <r>
      <rPr>
        <b/>
        <sz val="11"/>
        <color rgb="FF2E75B6"/>
        <rFont val="宋体"/>
        <charset val="134"/>
      </rPr>
      <t>实际值</t>
    </r>
  </si>
  <si>
    <r>
      <rPr>
        <sz val="11"/>
        <color theme="1"/>
        <rFont val="Arial"/>
        <charset val="134"/>
      </rPr>
      <t xml:space="preserve">1.1 </t>
    </r>
    <r>
      <rPr>
        <sz val="11"/>
        <color theme="1"/>
        <rFont val="宋体"/>
        <charset val="134"/>
      </rPr>
      <t>列对不同放款月的风险变化</t>
    </r>
  </si>
  <si>
    <r>
      <rPr>
        <sz val="11"/>
        <color theme="1"/>
        <rFont val="Arial"/>
        <charset val="134"/>
      </rPr>
      <t xml:space="preserve">1.2 </t>
    </r>
    <r>
      <rPr>
        <sz val="11"/>
        <color theme="1"/>
        <rFont val="宋体"/>
        <charset val="134"/>
      </rPr>
      <t>行看风险大概在那个</t>
    </r>
    <r>
      <rPr>
        <sz val="11"/>
        <color theme="1"/>
        <rFont val="Arial"/>
        <charset val="134"/>
      </rPr>
      <t>Mob</t>
    </r>
    <r>
      <rPr>
        <sz val="11"/>
        <color theme="1"/>
        <rFont val="宋体"/>
        <charset val="134"/>
      </rPr>
      <t>进行收敛，根据历史趋势快速判断风险，不需要在整个生命周期走完才去评估风险</t>
    </r>
  </si>
  <si>
    <t>放款金额(元)</t>
  </si>
  <si>
    <t>Mob1 90+率</t>
  </si>
  <si>
    <t>业务真实值</t>
  </si>
  <si>
    <t>Month</t>
  </si>
  <si>
    <t>GMV</t>
  </si>
  <si>
    <t>Tenor</t>
  </si>
  <si>
    <t>Mob0</t>
  </si>
  <si>
    <t>Mob1</t>
  </si>
  <si>
    <t>Mob2</t>
  </si>
  <si>
    <t>Mob3</t>
  </si>
  <si>
    <t>Mob4</t>
  </si>
  <si>
    <t>Mob5</t>
  </si>
  <si>
    <t>Mob6</t>
  </si>
  <si>
    <t>Mob7</t>
  </si>
  <si>
    <t>Mob8</t>
  </si>
  <si>
    <t>Mob9</t>
  </si>
  <si>
    <t>Mob10</t>
  </si>
  <si>
    <t>Mob11</t>
  </si>
  <si>
    <t>Mob12</t>
  </si>
  <si>
    <t>Mob2 90+率</t>
  </si>
  <si>
    <t>Mob3 90+率</t>
  </si>
  <si>
    <t>Mob4 90+率</t>
  </si>
  <si>
    <t>Mob5 90+率</t>
  </si>
  <si>
    <t>...</t>
  </si>
  <si>
    <t>对比同业</t>
  </si>
  <si>
    <t>【实例0】2.7 Vintage分析日常监控体系搭建</t>
  </si>
  <si>
    <t>【实例1】2.7 Vintage分析异常波动排查</t>
  </si>
  <si>
    <r>
      <rPr>
        <sz val="10"/>
        <color rgb="FFFF0000"/>
        <rFont val="Arial"/>
        <charset val="134"/>
      </rPr>
      <t>*</t>
    </r>
    <r>
      <rPr>
        <sz val="10"/>
        <color rgb="FFFF0000"/>
        <rFont val="宋体"/>
        <charset val="134"/>
      </rPr>
      <t>虚拟数值</t>
    </r>
  </si>
  <si>
    <r>
      <rPr>
        <b/>
        <sz val="11"/>
        <color rgb="FF2E75B6"/>
        <rFont val="Arial"/>
        <charset val="134"/>
      </rPr>
      <t>2. EL</t>
    </r>
    <r>
      <rPr>
        <b/>
        <sz val="11"/>
        <color rgb="FF2E75B6"/>
        <rFont val="宋体"/>
        <charset val="134"/>
      </rPr>
      <t>预测</t>
    </r>
  </si>
  <si>
    <t>纵向比较</t>
  </si>
  <si>
    <t>【实例2】2.7 Vintage分析策略优化效果验证</t>
  </si>
  <si>
    <r>
      <rPr>
        <sz val="11"/>
        <color theme="1"/>
        <rFont val="Arial"/>
        <charset val="134"/>
      </rPr>
      <t>*</t>
    </r>
    <r>
      <rPr>
        <sz val="11"/>
        <color theme="1"/>
        <rFont val="宋体"/>
        <charset val="134"/>
      </rPr>
      <t>虚拟数值</t>
    </r>
  </si>
  <si>
    <r>
      <rPr>
        <b/>
        <sz val="11"/>
        <color rgb="FF2E75B6"/>
        <rFont val="Arial"/>
        <charset val="134"/>
      </rPr>
      <t>3. EL</t>
    </r>
    <r>
      <rPr>
        <b/>
        <sz val="11"/>
        <color rgb="FF2E75B6"/>
        <rFont val="宋体"/>
        <charset val="134"/>
      </rPr>
      <t>预测</t>
    </r>
  </si>
  <si>
    <t>Annualized EL%</t>
  </si>
  <si>
    <t>方法1</t>
  </si>
  <si>
    <t>方法2</t>
  </si>
  <si>
    <t>GAP</t>
  </si>
  <si>
    <t>风险敞口 = 未偿还本金 + 预期损失</t>
  </si>
  <si>
    <t>未偿还本金(元)</t>
  </si>
  <si>
    <t>预期损失率</t>
  </si>
  <si>
    <t>预期损失(元)</t>
  </si>
  <si>
    <t>风险敞口(元)</t>
  </si>
  <si>
    <t>根据资本要求</t>
  </si>
  <si>
    <t>【实例0】2.8 风险敞口日常监控体系搭建</t>
  </si>
  <si>
    <t>【实例1】2.8 风险敞口异常波动排查</t>
  </si>
  <si>
    <t>【实例2】2.8 风险敞口策略优化效果验证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</si>
</sst>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.0_ ;_ @_ "/>
    <numFmt numFmtId="178" formatCode="0.0%"/>
    <numFmt numFmtId="179" formatCode="yyyy/m/d;@"/>
  </numFmts>
  <fonts count="70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i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1F4E79"/>
      <name val="微软雅黑"/>
      <charset val="134"/>
    </font>
    <font>
      <b/>
      <sz val="9.5"/>
      <color rgb="FFFFFFFF"/>
      <name val="微软雅黑"/>
      <charset val="134"/>
    </font>
    <font>
      <sz val="9"/>
      <color theme="1"/>
      <name val="微软雅黑"/>
      <charset val="134"/>
    </font>
    <font>
      <b/>
      <sz val="11"/>
      <color rgb="FF2E75B6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0"/>
      <color rgb="FFFF0000"/>
      <name val="Arial"/>
      <charset val="134"/>
    </font>
    <font>
      <sz val="11"/>
      <color rgb="FFFF0000"/>
      <name val="Arial"/>
      <charset val="134"/>
    </font>
    <font>
      <sz val="9"/>
      <color rgb="FFFF0000"/>
      <name val="宋体"/>
      <charset val="134"/>
      <scheme val="minor"/>
    </font>
    <font>
      <b/>
      <sz val="14"/>
      <color rgb="FF1F4E79"/>
      <name val="Arial"/>
      <charset val="134"/>
    </font>
    <font>
      <i/>
      <sz val="9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1"/>
      <color rgb="FF2E75B6"/>
      <name val="微软雅黑"/>
      <charset val="134"/>
    </font>
    <font>
      <sz val="10"/>
      <color rgb="FF333333"/>
      <name val="Arial"/>
      <charset val="134"/>
    </font>
    <font>
      <b/>
      <i/>
      <sz val="10.5"/>
      <color rgb="FF555555"/>
      <name val="Arial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4" tint="-0.5"/>
      <name val="微软雅黑"/>
      <charset val="134"/>
    </font>
    <font>
      <sz val="11"/>
      <color theme="4" tint="-0.5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b/>
      <sz val="11"/>
      <color theme="1"/>
      <name val="宋体"/>
      <charset val="134"/>
    </font>
    <font>
      <b/>
      <sz val="11"/>
      <color rgb="FFFFFFFF"/>
      <name val="Arial"/>
      <charset val="134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Arial Unicode MS"/>
      <charset val="134"/>
    </font>
    <font>
      <sz val="11"/>
      <color theme="1"/>
      <name val="Symbol"/>
      <charset val="134"/>
    </font>
    <font>
      <sz val="10"/>
      <color rgb="FFFF0000"/>
      <name val="微软雅黑"/>
      <charset val="134"/>
    </font>
    <font>
      <sz val="11"/>
      <color rgb="FFFF0000"/>
      <name val="Symbol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name val="宋体"/>
      <charset val="134"/>
    </font>
    <font>
      <sz val="12"/>
      <color theme="1"/>
      <name val="宋体"/>
      <charset val="134"/>
    </font>
    <font>
      <b/>
      <sz val="11"/>
      <color rgb="FF2E75B6"/>
      <name val="宋体"/>
      <charset val="134"/>
    </font>
    <font>
      <sz val="7"/>
      <color rgb="FFFF0000"/>
      <name val="Times New Roman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</font>
    <font>
      <sz val="7"/>
      <color theme="1"/>
      <name val="Times New Roman"/>
      <charset val="134"/>
    </font>
    <font>
      <sz val="10"/>
      <color rgb="FF333333"/>
      <name val="宋体"/>
      <charset val="134"/>
    </font>
    <font>
      <sz val="10"/>
      <color rgb="FFFF0000"/>
      <name val="宋体"/>
      <charset val="134"/>
    </font>
    <font>
      <sz val="12"/>
      <color theme="1"/>
      <name val="Times New Roman"/>
      <charset val="134"/>
    </font>
    <font>
      <b/>
      <sz val="14"/>
      <color theme="4" tint="-0.5"/>
      <name val="Arial"/>
      <charset val="134"/>
    </font>
    <font>
      <b/>
      <sz val="14"/>
      <color theme="4" tint="-0.5"/>
      <name val="宋体"/>
      <charset val="134"/>
    </font>
    <font>
      <b/>
      <i/>
      <sz val="10.5"/>
      <color rgb="FF555555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4" borderId="14" applyNumberFormat="0" applyAlignment="0" applyProtection="0">
      <alignment vertical="center"/>
    </xf>
    <xf numFmtId="0" fontId="47" fillId="15" borderId="15" applyNumberFormat="0" applyAlignment="0" applyProtection="0">
      <alignment vertical="center"/>
    </xf>
    <xf numFmtId="0" fontId="48" fillId="15" borderId="14" applyNumberFormat="0" applyAlignment="0" applyProtection="0">
      <alignment vertical="center"/>
    </xf>
    <xf numFmtId="0" fontId="49" fillId="16" borderId="16" applyNumberFormat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</cellStyleXfs>
  <cellXfs count="9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vertical="center" wrapText="1"/>
    </xf>
    <xf numFmtId="10" fontId="4" fillId="2" borderId="1" xfId="3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6" borderId="2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9" fontId="8" fillId="7" borderId="3" xfId="0" applyNumberFormat="1" applyFont="1" applyFill="1" applyBorder="1" applyAlignment="1">
      <alignment horizontal="center" vertical="top" wrapText="1"/>
    </xf>
    <xf numFmtId="9" fontId="8" fillId="0" borderId="3" xfId="0" applyNumberFormat="1" applyFont="1" applyBorder="1" applyAlignment="1">
      <alignment horizontal="center" vertical="top" wrapText="1"/>
    </xf>
    <xf numFmtId="0" fontId="9" fillId="0" borderId="0" xfId="0" applyFont="1" applyFill="1" applyAlignment="1"/>
    <xf numFmtId="0" fontId="10" fillId="0" borderId="0" xfId="0" applyFont="1" applyFill="1" applyAlignment="1"/>
    <xf numFmtId="17" fontId="4" fillId="2" borderId="1" xfId="0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/>
    <xf numFmtId="14" fontId="10" fillId="0" borderId="1" xfId="0" applyNumberFormat="1" applyFont="1" applyFill="1" applyBorder="1" applyAlignment="1"/>
    <xf numFmtId="176" fontId="10" fillId="0" borderId="1" xfId="0" applyNumberFormat="1" applyFont="1" applyFill="1" applyBorder="1" applyAlignment="1"/>
    <xf numFmtId="177" fontId="10" fillId="0" borderId="1" xfId="0" applyNumberFormat="1" applyFont="1" applyFill="1" applyBorder="1" applyAlignment="1"/>
    <xf numFmtId="9" fontId="10" fillId="0" borderId="1" xfId="0" applyNumberFormat="1" applyFont="1" applyFill="1" applyBorder="1" applyAlignment="1"/>
    <xf numFmtId="10" fontId="10" fillId="0" borderId="1" xfId="0" applyNumberFormat="1" applyFont="1" applyFill="1" applyBorder="1" applyAlignment="1"/>
    <xf numFmtId="0" fontId="12" fillId="0" borderId="0" xfId="0" applyFont="1" applyFill="1" applyAlignment="1"/>
    <xf numFmtId="10" fontId="13" fillId="0" borderId="1" xfId="0" applyNumberFormat="1" applyFont="1" applyFill="1" applyBorder="1" applyAlignment="1"/>
    <xf numFmtId="0" fontId="14" fillId="0" borderId="0" xfId="0" applyFont="1"/>
    <xf numFmtId="0" fontId="10" fillId="0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178" fontId="0" fillId="0" borderId="1" xfId="3" applyNumberFormat="1" applyFont="1" applyFill="1" applyBorder="1" applyAlignment="1" applyProtection="1">
      <alignment vertical="center"/>
    </xf>
    <xf numFmtId="0" fontId="10" fillId="0" borderId="0" xfId="0" applyFont="1"/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178" fontId="17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0" fillId="0" borderId="0" xfId="0" applyFont="1"/>
    <xf numFmtId="0" fontId="19" fillId="9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top" wrapText="1"/>
    </xf>
    <xf numFmtId="9" fontId="21" fillId="10" borderId="1" xfId="0" applyNumberFormat="1" applyFont="1" applyFill="1" applyBorder="1" applyAlignment="1">
      <alignment horizontal="center" vertical="top" wrapText="1"/>
    </xf>
    <xf numFmtId="10" fontId="21" fillId="10" borderId="1" xfId="0" applyNumberFormat="1" applyFont="1" applyFill="1" applyBorder="1" applyAlignment="1">
      <alignment horizontal="center" vertical="top" wrapText="1"/>
    </xf>
    <xf numFmtId="9" fontId="10" fillId="0" borderId="0" xfId="3" applyNumberFormat="1" applyFont="1" applyAlignment="1"/>
    <xf numFmtId="0" fontId="21" fillId="11" borderId="1" xfId="0" applyFont="1" applyFill="1" applyBorder="1" applyAlignment="1">
      <alignment horizontal="center" vertical="top" wrapText="1"/>
    </xf>
    <xf numFmtId="9" fontId="21" fillId="11" borderId="1" xfId="0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horizontal="justify"/>
    </xf>
    <xf numFmtId="0" fontId="22" fillId="0" borderId="0" xfId="0" applyFont="1" applyAlignment="1">
      <alignment horizontal="left" vertical="top" wrapText="1"/>
    </xf>
    <xf numFmtId="0" fontId="11" fillId="0" borderId="0" xfId="0" applyFont="1"/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horizontal="left" vertical="top"/>
    </xf>
    <xf numFmtId="0" fontId="19" fillId="12" borderId="4" xfId="0" applyFont="1" applyFill="1" applyBorder="1" applyAlignment="1">
      <alignment horizontal="center" vertical="top" wrapText="1"/>
    </xf>
    <xf numFmtId="0" fontId="19" fillId="12" borderId="5" xfId="0" applyFont="1" applyFill="1" applyBorder="1" applyAlignment="1">
      <alignment horizontal="center" vertical="top" wrapText="1"/>
    </xf>
    <xf numFmtId="0" fontId="28" fillId="10" borderId="6" xfId="0" applyFont="1" applyFill="1" applyBorder="1" applyAlignment="1">
      <alignment horizontal="center" vertical="top" wrapText="1"/>
    </xf>
    <xf numFmtId="0" fontId="28" fillId="10" borderId="7" xfId="0" applyFont="1" applyFill="1" applyBorder="1" applyAlignment="1">
      <alignment horizontal="left" vertical="top" wrapText="1"/>
    </xf>
    <xf numFmtId="0" fontId="28" fillId="11" borderId="6" xfId="0" applyFont="1" applyFill="1" applyBorder="1" applyAlignment="1">
      <alignment horizontal="center" vertical="top" wrapText="1"/>
    </xf>
    <xf numFmtId="0" fontId="28" fillId="11" borderId="7" xfId="0" applyFont="1" applyFill="1" applyBorder="1" applyAlignment="1">
      <alignment horizontal="left" vertical="top" wrapText="1"/>
    </xf>
    <xf numFmtId="0" fontId="29" fillId="0" borderId="0" xfId="0" applyFont="1"/>
    <xf numFmtId="179" fontId="30" fillId="9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176" fontId="10" fillId="0" borderId="1" xfId="0" applyNumberFormat="1" applyFont="1" applyBorder="1"/>
    <xf numFmtId="178" fontId="10" fillId="0" borderId="1" xfId="3" applyNumberFormat="1" applyFont="1" applyBorder="1" applyAlignment="1"/>
    <xf numFmtId="10" fontId="3" fillId="4" borderId="1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/>
    <xf numFmtId="0" fontId="2" fillId="0" borderId="0" xfId="0" applyFont="1" applyAlignment="1">
      <alignment horizontal="left" vertical="center" wrapText="1"/>
    </xf>
    <xf numFmtId="0" fontId="23" fillId="0" borderId="0" xfId="0" applyFont="1"/>
    <xf numFmtId="0" fontId="34" fillId="0" borderId="0" xfId="0" applyFont="1"/>
    <xf numFmtId="0" fontId="24" fillId="0" borderId="0" xfId="0" applyFont="1"/>
    <xf numFmtId="176" fontId="4" fillId="2" borderId="1" xfId="0" applyNumberFormat="1" applyFont="1" applyFill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10" fontId="8" fillId="0" borderId="3" xfId="0" applyNumberFormat="1" applyFont="1" applyBorder="1" applyAlignment="1">
      <alignment horizontal="center" vertical="top" wrapText="1"/>
    </xf>
    <xf numFmtId="10" fontId="8" fillId="7" borderId="3" xfId="0" applyNumberFormat="1" applyFont="1" applyFill="1" applyBorder="1" applyAlignment="1">
      <alignment horizontal="center" vertical="top" wrapText="1"/>
    </xf>
    <xf numFmtId="17" fontId="8" fillId="0" borderId="3" xfId="0" applyNumberFormat="1" applyFont="1" applyBorder="1" applyAlignment="1">
      <alignment horizontal="center" vertical="top" wrapText="1"/>
    </xf>
    <xf numFmtId="17" fontId="8" fillId="7" borderId="3" xfId="0" applyNumberFormat="1" applyFont="1" applyFill="1" applyBorder="1" applyAlignment="1">
      <alignment horizontal="center" vertical="top" wrapText="1"/>
    </xf>
    <xf numFmtId="0" fontId="36" fillId="0" borderId="0" xfId="0" applyFont="1"/>
    <xf numFmtId="0" fontId="37" fillId="0" borderId="0" xfId="0" applyFont="1"/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3" sqref="D13"/>
    </sheetView>
  </sheetViews>
  <sheetFormatPr defaultColWidth="9" defaultRowHeight="14" outlineLevelCol="3"/>
  <cols>
    <col min="1" max="1" width="8" customWidth="1"/>
    <col min="2" max="2" width="12" customWidth="1"/>
    <col min="3" max="3" width="25" customWidth="1"/>
    <col min="4" max="4" width="30" customWidth="1"/>
  </cols>
  <sheetData>
    <row r="1" ht="20" spans="1:4">
      <c r="A1" s="1" t="s">
        <v>0</v>
      </c>
    </row>
    <row r="3" ht="14.5" spans="1:4">
      <c r="A3" s="5" t="s">
        <v>1</v>
      </c>
      <c r="B3" s="5" t="s">
        <v>2</v>
      </c>
      <c r="C3" s="5" t="s">
        <v>3</v>
      </c>
      <c r="D3" s="5" t="s">
        <v>4</v>
      </c>
    </row>
    <row r="4" ht="14.5" spans="1:4">
      <c r="A4" s="14">
        <v>1</v>
      </c>
      <c r="B4" s="14" t="s">
        <v>5</v>
      </c>
      <c r="C4" s="14" t="s">
        <v>6</v>
      </c>
      <c r="D4" s="14" t="s">
        <v>7</v>
      </c>
    </row>
    <row r="5" ht="14.5" spans="1:4">
      <c r="A5" s="14">
        <v>2</v>
      </c>
      <c r="B5" s="14" t="s">
        <v>8</v>
      </c>
      <c r="C5" s="14" t="s">
        <v>9</v>
      </c>
      <c r="D5" s="14" t="s">
        <v>10</v>
      </c>
    </row>
    <row r="6" ht="14.5" spans="1:4">
      <c r="A6" s="14">
        <v>3</v>
      </c>
      <c r="B6" s="14" t="s">
        <v>11</v>
      </c>
      <c r="C6" s="14" t="s">
        <v>12</v>
      </c>
      <c r="D6" s="14" t="s">
        <v>13</v>
      </c>
    </row>
    <row r="7" ht="14.5" spans="1:4">
      <c r="A7" s="14">
        <v>4</v>
      </c>
      <c r="B7" s="14" t="s">
        <v>14</v>
      </c>
      <c r="C7" s="14" t="s">
        <v>15</v>
      </c>
      <c r="D7" s="14" t="s">
        <v>16</v>
      </c>
    </row>
    <row r="8" ht="14.5" spans="1:4">
      <c r="A8" s="14">
        <v>5</v>
      </c>
      <c r="B8" s="14" t="s">
        <v>17</v>
      </c>
      <c r="C8" s="14" t="s">
        <v>18</v>
      </c>
      <c r="D8" s="14" t="s">
        <v>19</v>
      </c>
    </row>
    <row r="9" ht="14.5" spans="1:4">
      <c r="A9" s="14">
        <v>6</v>
      </c>
      <c r="B9" s="14" t="s">
        <v>20</v>
      </c>
      <c r="C9" s="14" t="s">
        <v>21</v>
      </c>
      <c r="D9" s="14" t="s">
        <v>22</v>
      </c>
    </row>
    <row r="10" ht="14.5" spans="1:4">
      <c r="A10" s="14">
        <v>7</v>
      </c>
      <c r="B10" s="14" t="s">
        <v>23</v>
      </c>
      <c r="C10" s="14" t="s">
        <v>24</v>
      </c>
      <c r="D10" s="14" t="s">
        <v>25</v>
      </c>
    </row>
    <row r="11" ht="14.5" spans="1:4">
      <c r="A11" s="14">
        <v>8</v>
      </c>
      <c r="B11" s="14" t="s">
        <v>26</v>
      </c>
      <c r="C11" s="14" t="s">
        <v>27</v>
      </c>
      <c r="D11" s="14" t="s">
        <v>28</v>
      </c>
    </row>
  </sheetData>
  <mergeCells count="1">
    <mergeCell ref="A1:D1"/>
  </mergeCells>
  <pageMargins left="0.75" right="0.75" top="1" bottom="1" header="0.5" footer="0.5"/>
  <headerFooter/>
  <ignoredErrors>
    <ignoredError sqref="B4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zoomScale="85" zoomScaleNormal="85" workbookViewId="0">
      <pane ySplit="17" topLeftCell="A18" activePane="bottomLeft" state="frozen"/>
      <selection/>
      <selection pane="bottomLeft" activeCell="F4" sqref="F4"/>
    </sheetView>
  </sheetViews>
  <sheetFormatPr defaultColWidth="9" defaultRowHeight="14" outlineLevelCol="5"/>
  <cols>
    <col min="1" max="2" width="20" customWidth="1"/>
    <col min="3" max="4" width="15" customWidth="1"/>
    <col min="5" max="5" width="12.0909090909091" customWidth="1"/>
    <col min="6" max="6" width="19.5454545454545" customWidth="1"/>
  </cols>
  <sheetData>
    <row r="1" ht="20" spans="1:4">
      <c r="A1" s="80" t="s">
        <v>7</v>
      </c>
    </row>
    <row r="2" spans="1:4">
      <c r="A2" s="81" t="s">
        <v>29</v>
      </c>
      <c r="B2" s="82"/>
      <c r="C2" s="82"/>
      <c r="D2" s="82"/>
    </row>
    <row r="3" spans="1:4">
      <c r="A3" s="81" t="s">
        <v>30</v>
      </c>
      <c r="B3" s="82"/>
      <c r="C3" s="82"/>
      <c r="D3" s="82"/>
    </row>
    <row r="4" spans="1:4">
      <c r="A4" s="83"/>
    </row>
    <row r="5" ht="16.5" spans="1:4">
      <c r="A5" s="84" t="s">
        <v>31</v>
      </c>
    </row>
    <row r="6" ht="16.5" spans="1:4">
      <c r="A6" s="85" t="s">
        <v>32</v>
      </c>
    </row>
    <row r="7" ht="16.5" spans="1:4">
      <c r="A7" s="85" t="s">
        <v>33</v>
      </c>
    </row>
    <row r="8" ht="16.5" spans="1:4">
      <c r="A8" s="85" t="s">
        <v>34</v>
      </c>
    </row>
    <row r="9" ht="16.5" spans="1:4">
      <c r="A9" s="84" t="s">
        <v>35</v>
      </c>
    </row>
    <row r="10" ht="16.5" spans="1:4">
      <c r="A10" s="94" t="s">
        <v>36</v>
      </c>
      <c r="B10" s="75"/>
    </row>
    <row r="11" ht="16.5" spans="1:4">
      <c r="A11" s="94" t="s">
        <v>37</v>
      </c>
      <c r="B11" s="75"/>
    </row>
    <row r="12" ht="16.5" spans="1:4">
      <c r="A12" s="94" t="s">
        <v>38</v>
      </c>
      <c r="B12" s="75"/>
    </row>
    <row r="13" ht="16.5" spans="1:4">
      <c r="A13" s="94" t="s">
        <v>39</v>
      </c>
      <c r="B13" s="75"/>
    </row>
    <row r="14" ht="16.5" spans="1:4">
      <c r="A14" s="86"/>
    </row>
    <row r="16" ht="14.5" spans="1:4">
      <c r="A16" s="3" t="s">
        <v>40</v>
      </c>
      <c r="B16" s="4" t="s">
        <v>41</v>
      </c>
      <c r="C16" s="4" t="s">
        <v>41</v>
      </c>
      <c r="D16" s="4" t="s">
        <v>41</v>
      </c>
    </row>
    <row r="17" ht="14.5" spans="1:4">
      <c r="A17" s="5" t="s">
        <v>42</v>
      </c>
      <c r="B17" s="5" t="s">
        <v>43</v>
      </c>
      <c r="C17" s="5" t="s">
        <v>44</v>
      </c>
      <c r="D17" s="5" t="s">
        <v>45</v>
      </c>
    </row>
    <row r="18" ht="14.5" spans="1:4">
      <c r="A18" s="6" t="s">
        <v>46</v>
      </c>
      <c r="B18" s="87">
        <v>5000</v>
      </c>
      <c r="C18" s="4" t="s">
        <v>47</v>
      </c>
      <c r="D18" s="4" t="s">
        <v>48</v>
      </c>
    </row>
    <row r="19" ht="14.5" spans="1:4">
      <c r="A19" s="6" t="s">
        <v>49</v>
      </c>
      <c r="B19" s="87">
        <v>285</v>
      </c>
      <c r="C19" s="4" t="s">
        <v>47</v>
      </c>
      <c r="D19" s="4" t="s">
        <v>48</v>
      </c>
    </row>
    <row r="20" ht="14.5" spans="1:4">
      <c r="A20" s="9" t="s">
        <v>6</v>
      </c>
      <c r="B20" s="74">
        <f>B19/B18</f>
        <v>0.057</v>
      </c>
      <c r="C20" s="11" t="s">
        <v>50</v>
      </c>
      <c r="D20" s="11" t="s">
        <v>51</v>
      </c>
    </row>
    <row r="22" ht="14.5" spans="1:4">
      <c r="A22" s="3" t="s">
        <v>40</v>
      </c>
      <c r="B22" s="4" t="s">
        <v>41</v>
      </c>
      <c r="C22" s="4" t="s">
        <v>41</v>
      </c>
      <c r="D22" s="4" t="s">
        <v>41</v>
      </c>
    </row>
    <row r="23" ht="14.5" spans="1:4">
      <c r="A23" s="5" t="s">
        <v>42</v>
      </c>
      <c r="B23" s="5" t="s">
        <v>43</v>
      </c>
      <c r="C23" s="5" t="s">
        <v>44</v>
      </c>
      <c r="D23" s="5" t="s">
        <v>45</v>
      </c>
    </row>
    <row r="24" ht="14.5" spans="1:4">
      <c r="A24" s="6" t="s">
        <v>52</v>
      </c>
      <c r="B24" s="87">
        <v>30991822</v>
      </c>
      <c r="C24" s="4" t="s">
        <v>47</v>
      </c>
      <c r="D24" s="4" t="s">
        <v>48</v>
      </c>
    </row>
    <row r="25" ht="14.5" spans="1:4">
      <c r="A25" s="6" t="s">
        <v>53</v>
      </c>
      <c r="B25" s="87">
        <v>1028102</v>
      </c>
      <c r="C25" s="4" t="s">
        <v>47</v>
      </c>
      <c r="D25" s="4" t="s">
        <v>48</v>
      </c>
    </row>
    <row r="26" ht="14.5" spans="1:4">
      <c r="A26" s="9" t="s">
        <v>6</v>
      </c>
      <c r="B26" s="74">
        <f>B25/B24</f>
        <v>0.0331733319841602</v>
      </c>
      <c r="C26" s="11" t="s">
        <v>50</v>
      </c>
      <c r="D26" s="11" t="s">
        <v>51</v>
      </c>
    </row>
    <row r="27" spans="1:4">
      <c r="A27" s="95" t="s">
        <v>54</v>
      </c>
    </row>
    <row r="28" spans="1:4">
      <c r="A28" s="95" t="s">
        <v>55</v>
      </c>
    </row>
    <row r="30" ht="14.5" spans="1:4">
      <c r="A30" s="12" t="s">
        <v>56</v>
      </c>
      <c r="B30" s="13" t="s">
        <v>41</v>
      </c>
      <c r="C30" s="13" t="s">
        <v>41</v>
      </c>
      <c r="D30" s="13" t="s">
        <v>41</v>
      </c>
    </row>
    <row r="31" ht="14.5" spans="1:4">
      <c r="A31" s="14" t="s">
        <v>57</v>
      </c>
      <c r="B31" s="14" t="s">
        <v>58</v>
      </c>
      <c r="C31" s="96" t="s">
        <v>59</v>
      </c>
      <c r="D31" s="97"/>
    </row>
    <row r="33" ht="17.25" spans="1:6">
      <c r="A33" s="15" t="s">
        <v>60</v>
      </c>
    </row>
    <row r="34" ht="14.75" spans="1:6">
      <c r="A34" s="16" t="s">
        <v>61</v>
      </c>
      <c r="B34" s="16" t="s">
        <v>6</v>
      </c>
      <c r="C34" s="16" t="s">
        <v>62</v>
      </c>
      <c r="D34" s="16" t="s">
        <v>63</v>
      </c>
      <c r="E34" s="16" t="s">
        <v>64</v>
      </c>
    </row>
    <row r="35" ht="14.75" spans="1:6">
      <c r="A35" s="17" t="s">
        <v>65</v>
      </c>
      <c r="B35" s="90">
        <v>0.015</v>
      </c>
      <c r="C35" s="20">
        <v>0</v>
      </c>
      <c r="D35" s="17" t="s">
        <v>66</v>
      </c>
      <c r="E35" s="20">
        <v>0.05</v>
      </c>
    </row>
    <row r="36" ht="14.75" spans="1:6">
      <c r="A36" s="18" t="s">
        <v>67</v>
      </c>
      <c r="B36" s="91">
        <v>0.021</v>
      </c>
      <c r="C36" s="91">
        <f>B36-B35</f>
        <v>0.006</v>
      </c>
      <c r="D36" s="18" t="s">
        <v>68</v>
      </c>
      <c r="E36" s="19">
        <v>0.12</v>
      </c>
    </row>
    <row r="37" ht="14.75" spans="1:6">
      <c r="A37" s="17" t="s">
        <v>69</v>
      </c>
      <c r="B37" s="90">
        <v>0.032</v>
      </c>
      <c r="C37" s="90">
        <f>B37-B36</f>
        <v>0.011</v>
      </c>
      <c r="D37" s="17" t="s">
        <v>70</v>
      </c>
      <c r="E37" s="20">
        <v>0.18</v>
      </c>
    </row>
    <row r="38" ht="14.75" spans="1:6">
      <c r="A38" s="18" t="s">
        <v>71</v>
      </c>
      <c r="B38" s="91">
        <v>0.042</v>
      </c>
      <c r="C38" s="91">
        <f>B38-B37</f>
        <v>0.01</v>
      </c>
      <c r="D38" s="18" t="s">
        <v>72</v>
      </c>
      <c r="E38" s="19">
        <v>0.22</v>
      </c>
    </row>
    <row r="40" ht="17.25" spans="1:6">
      <c r="A40" s="15" t="s">
        <v>73</v>
      </c>
    </row>
    <row r="41" ht="14.75" spans="1:6">
      <c r="A41" s="16" t="s">
        <v>74</v>
      </c>
      <c r="B41" s="16" t="s">
        <v>75</v>
      </c>
      <c r="C41" s="16" t="s">
        <v>76</v>
      </c>
      <c r="D41" s="16" t="s">
        <v>6</v>
      </c>
      <c r="E41" s="16" t="s">
        <v>77</v>
      </c>
      <c r="F41" s="16" t="s">
        <v>78</v>
      </c>
    </row>
    <row r="42" ht="14.75" spans="1:6">
      <c r="A42" s="17" t="s">
        <v>79</v>
      </c>
      <c r="B42" s="17">
        <v>30</v>
      </c>
      <c r="C42" s="17" t="s">
        <v>80</v>
      </c>
      <c r="D42" s="90">
        <v>0.018</v>
      </c>
      <c r="E42" s="17" t="s">
        <v>81</v>
      </c>
      <c r="F42" s="17" t="s">
        <v>82</v>
      </c>
    </row>
    <row r="43" ht="14.75" spans="1:6">
      <c r="A43" s="18" t="s">
        <v>83</v>
      </c>
      <c r="B43" s="18">
        <v>30</v>
      </c>
      <c r="C43" s="18" t="s">
        <v>84</v>
      </c>
      <c r="D43" s="91">
        <v>0.012</v>
      </c>
      <c r="E43" s="18" t="s">
        <v>85</v>
      </c>
      <c r="F43" s="18" t="s">
        <v>86</v>
      </c>
    </row>
    <row r="44" ht="14.75" spans="1:6">
      <c r="A44" s="17" t="s">
        <v>87</v>
      </c>
      <c r="B44" s="17">
        <v>30</v>
      </c>
      <c r="C44" s="17" t="s">
        <v>88</v>
      </c>
      <c r="D44" s="90">
        <v>0.008</v>
      </c>
      <c r="E44" s="17" t="s">
        <v>89</v>
      </c>
      <c r="F44" s="17" t="s">
        <v>90</v>
      </c>
    </row>
    <row r="46" ht="17.25" spans="1:6">
      <c r="A46" s="15" t="s">
        <v>91</v>
      </c>
    </row>
    <row r="47" ht="14.75" spans="1:6">
      <c r="A47" s="16" t="s">
        <v>92</v>
      </c>
      <c r="B47" s="16" t="s">
        <v>93</v>
      </c>
      <c r="C47" s="16" t="s">
        <v>94</v>
      </c>
      <c r="D47" s="16" t="s">
        <v>6</v>
      </c>
      <c r="E47" s="16" t="s">
        <v>95</v>
      </c>
      <c r="F47" s="16" t="s">
        <v>96</v>
      </c>
    </row>
    <row r="48" ht="14.75" spans="1:6">
      <c r="A48" s="17" t="s">
        <v>97</v>
      </c>
      <c r="B48" s="20">
        <v>0.62</v>
      </c>
      <c r="C48" s="20">
        <v>0</v>
      </c>
      <c r="D48" s="90">
        <v>0.015</v>
      </c>
      <c r="E48" s="20">
        <v>0</v>
      </c>
      <c r="F48" s="17" t="s">
        <v>66</v>
      </c>
    </row>
    <row r="49" ht="14.75" spans="1:6">
      <c r="A49" s="18" t="s">
        <v>98</v>
      </c>
      <c r="B49" s="19">
        <v>0.65</v>
      </c>
      <c r="C49" s="19">
        <f>B49-B48</f>
        <v>0.03</v>
      </c>
      <c r="D49" s="91">
        <v>0.018</v>
      </c>
      <c r="E49" s="91">
        <f>D49-D48</f>
        <v>0.003</v>
      </c>
      <c r="F49" s="18" t="s">
        <v>99</v>
      </c>
    </row>
    <row r="50" ht="14.75" spans="1:6">
      <c r="A50" s="17" t="s">
        <v>100</v>
      </c>
      <c r="B50" s="20">
        <v>0.68</v>
      </c>
      <c r="C50" s="20">
        <f>B50-B49</f>
        <v>0.03</v>
      </c>
      <c r="D50" s="90">
        <v>0.023</v>
      </c>
      <c r="E50" s="90">
        <f>D50-D49</f>
        <v>0.005</v>
      </c>
      <c r="F50" s="17" t="s">
        <v>101</v>
      </c>
    </row>
    <row r="51" ht="14.75" spans="1:6">
      <c r="A51" s="18" t="s">
        <v>102</v>
      </c>
      <c r="B51" s="19">
        <v>0.72</v>
      </c>
      <c r="C51" s="19">
        <f>B51-B50</f>
        <v>0.0399999999999999</v>
      </c>
      <c r="D51" s="91">
        <v>0.031</v>
      </c>
      <c r="E51" s="91">
        <f>D51-D50</f>
        <v>0.008</v>
      </c>
      <c r="F51" s="18" t="s">
        <v>103</v>
      </c>
    </row>
  </sheetData>
  <mergeCells count="4">
    <mergeCell ref="A1:D1"/>
    <mergeCell ref="A2:D2"/>
    <mergeCell ref="A3:D3"/>
    <mergeCell ref="C31:D31"/>
  </mergeCells>
  <conditionalFormatting sqref="B20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{46b53ac2-6124-4e21-b635-06bbef665b49}</x14:id>
        </ext>
      </extLst>
    </cfRule>
  </conditionalFormatting>
  <conditionalFormatting sqref="B26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{7fcd86fa-fff8-4e06-ba23-44331ac1274f}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b53ac2-6124-4e21-b635-06bbef665b4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B20</xm:sqref>
        </x14:conditionalFormatting>
        <x14:conditionalFormatting xmlns:xm="http://schemas.microsoft.com/office/excel/2006/main">
          <x14:cfRule type="dataBar" id="{7fcd86fa-fff8-4e06-ba23-44331ac1274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zoomScale="70" zoomScaleNormal="70" workbookViewId="0">
      <pane ySplit="14" topLeftCell="A15" activePane="bottomLeft" state="frozen"/>
      <selection/>
      <selection pane="bottomLeft" activeCell="E21" sqref="E21"/>
    </sheetView>
  </sheetViews>
  <sheetFormatPr defaultColWidth="9" defaultRowHeight="14" outlineLevelCol="5"/>
  <cols>
    <col min="1" max="2" width="20" customWidth="1"/>
    <col min="3" max="4" width="15" customWidth="1"/>
    <col min="5" max="5" width="13.6272727272727" customWidth="1"/>
  </cols>
  <sheetData>
    <row r="1" ht="20" spans="1:4">
      <c r="A1" s="80" t="s">
        <v>10</v>
      </c>
    </row>
    <row r="2" spans="1:4">
      <c r="A2" s="81" t="s">
        <v>104</v>
      </c>
      <c r="B2" s="82"/>
      <c r="C2" s="82"/>
      <c r="D2" s="82"/>
    </row>
    <row r="3" spans="1:4">
      <c r="A3" s="81" t="s">
        <v>105</v>
      </c>
      <c r="B3" s="82"/>
      <c r="C3" s="82"/>
      <c r="D3" s="82"/>
    </row>
    <row r="4" spans="1:4">
      <c r="A4" s="83"/>
    </row>
    <row r="5" ht="16.5" spans="1:4">
      <c r="A5" s="84" t="s">
        <v>31</v>
      </c>
    </row>
    <row r="6" ht="16.5" spans="1:4">
      <c r="A6" s="85" t="s">
        <v>106</v>
      </c>
    </row>
    <row r="7" ht="16.5" spans="1:4">
      <c r="A7" s="85" t="s">
        <v>107</v>
      </c>
    </row>
    <row r="8" ht="16.5" spans="1:4">
      <c r="A8" s="85" t="s">
        <v>108</v>
      </c>
    </row>
    <row r="9" ht="16.5" spans="1:4">
      <c r="A9" s="85" t="s">
        <v>109</v>
      </c>
    </row>
    <row r="10" ht="16.5" spans="1:4">
      <c r="A10" s="84" t="s">
        <v>110</v>
      </c>
    </row>
    <row r="11" ht="16.5" spans="1:4">
      <c r="A11" s="86" t="s">
        <v>111</v>
      </c>
    </row>
    <row r="12" spans="1:4">
      <c r="A12" s="83"/>
    </row>
    <row r="13" ht="14.5" spans="1:4">
      <c r="A13" s="3" t="s">
        <v>40</v>
      </c>
      <c r="B13" s="4" t="s">
        <v>41</v>
      </c>
      <c r="C13" s="4" t="s">
        <v>41</v>
      </c>
      <c r="D13" s="4" t="s">
        <v>41</v>
      </c>
    </row>
    <row r="14" ht="14.5" spans="1:4">
      <c r="A14" s="5" t="s">
        <v>42</v>
      </c>
      <c r="B14" s="5" t="s">
        <v>43</v>
      </c>
      <c r="C14" s="5" t="s">
        <v>44</v>
      </c>
      <c r="D14" s="5" t="s">
        <v>45</v>
      </c>
    </row>
    <row r="15" ht="14.5" spans="1:4">
      <c r="A15" s="6" t="s">
        <v>46</v>
      </c>
      <c r="B15" s="4">
        <v>5000</v>
      </c>
      <c r="C15" s="4" t="s">
        <v>47</v>
      </c>
      <c r="D15" s="4" t="s">
        <v>48</v>
      </c>
    </row>
    <row r="16" ht="14.5" spans="1:4">
      <c r="A16" s="6" t="s">
        <v>112</v>
      </c>
      <c r="B16" s="4">
        <v>135</v>
      </c>
      <c r="C16" s="4" t="s">
        <v>47</v>
      </c>
      <c r="D16" s="4" t="s">
        <v>48</v>
      </c>
    </row>
    <row r="17" ht="14.5" spans="1:5">
      <c r="A17" s="9" t="s">
        <v>9</v>
      </c>
      <c r="B17" s="74">
        <f>B16/B15</f>
        <v>0.027</v>
      </c>
      <c r="C17" s="11" t="s">
        <v>50</v>
      </c>
      <c r="D17" s="11" t="s">
        <v>51</v>
      </c>
    </row>
    <row r="19" ht="14.5" spans="1:5">
      <c r="A19" s="3" t="s">
        <v>40</v>
      </c>
      <c r="B19" s="4" t="s">
        <v>41</v>
      </c>
      <c r="C19" s="4" t="s">
        <v>41</v>
      </c>
      <c r="D19" s="4" t="s">
        <v>41</v>
      </c>
    </row>
    <row r="20" ht="14.5" spans="1:5">
      <c r="A20" s="5" t="s">
        <v>42</v>
      </c>
      <c r="B20" s="5" t="s">
        <v>43</v>
      </c>
      <c r="C20" s="5" t="s">
        <v>44</v>
      </c>
      <c r="D20" s="5" t="s">
        <v>45</v>
      </c>
    </row>
    <row r="21" ht="14.5" spans="1:5">
      <c r="A21" s="6" t="s">
        <v>52</v>
      </c>
      <c r="B21" s="87">
        <v>2918200</v>
      </c>
      <c r="C21" s="4" t="s">
        <v>47</v>
      </c>
      <c r="D21" s="4" t="s">
        <v>48</v>
      </c>
    </row>
    <row r="22" ht="14.5" spans="1:5">
      <c r="A22" s="6" t="s">
        <v>113</v>
      </c>
      <c r="B22" s="87">
        <v>39302</v>
      </c>
      <c r="C22" s="4" t="s">
        <v>47</v>
      </c>
      <c r="D22" s="4" t="s">
        <v>48</v>
      </c>
    </row>
    <row r="23" ht="14.5" spans="1:5">
      <c r="A23" s="9" t="s">
        <v>9</v>
      </c>
      <c r="B23" s="74">
        <f>B22/B21</f>
        <v>0.0134678911657871</v>
      </c>
      <c r="C23" s="11" t="s">
        <v>50</v>
      </c>
      <c r="D23" s="11" t="s">
        <v>51</v>
      </c>
    </row>
    <row r="25" ht="14.5" spans="1:5">
      <c r="A25" s="12" t="s">
        <v>56</v>
      </c>
      <c r="B25" s="13" t="s">
        <v>41</v>
      </c>
      <c r="C25" s="13" t="s">
        <v>41</v>
      </c>
      <c r="D25" s="13" t="s">
        <v>41</v>
      </c>
    </row>
    <row r="26" ht="14.5" spans="1:5">
      <c r="A26" s="14" t="s">
        <v>57</v>
      </c>
      <c r="B26" s="14" t="s">
        <v>114</v>
      </c>
      <c r="C26" s="88" t="s">
        <v>115</v>
      </c>
      <c r="D26" s="89"/>
    </row>
    <row r="28" ht="17.25" spans="1:5">
      <c r="A28" s="15" t="s">
        <v>116</v>
      </c>
    </row>
    <row r="29" ht="14.75" spans="1:5">
      <c r="A29" s="16" t="s">
        <v>117</v>
      </c>
      <c r="B29" s="16" t="s">
        <v>9</v>
      </c>
      <c r="C29" s="16" t="s">
        <v>118</v>
      </c>
      <c r="D29" s="16" t="s">
        <v>63</v>
      </c>
      <c r="E29" s="16" t="s">
        <v>119</v>
      </c>
    </row>
    <row r="30" ht="14.75" spans="1:5">
      <c r="A30" s="17" t="s">
        <v>120</v>
      </c>
      <c r="B30" s="90">
        <v>0.038</v>
      </c>
      <c r="C30" s="20">
        <v>0.45</v>
      </c>
      <c r="D30" s="17" t="s">
        <v>121</v>
      </c>
      <c r="E30" s="17" t="s">
        <v>122</v>
      </c>
    </row>
    <row r="31" ht="14.75" spans="1:5">
      <c r="A31" s="18" t="s">
        <v>123</v>
      </c>
      <c r="B31" s="91">
        <v>0.062</v>
      </c>
      <c r="C31" s="19">
        <v>0.62</v>
      </c>
      <c r="D31" s="18" t="s">
        <v>124</v>
      </c>
      <c r="E31" s="18" t="s">
        <v>125</v>
      </c>
    </row>
    <row r="32" ht="14.75" spans="1:5">
      <c r="A32" s="17" t="s">
        <v>126</v>
      </c>
      <c r="B32" s="90">
        <v>0.021</v>
      </c>
      <c r="C32" s="20">
        <v>0.38</v>
      </c>
      <c r="D32" s="17" t="s">
        <v>127</v>
      </c>
      <c r="E32" s="17" t="s">
        <v>128</v>
      </c>
    </row>
    <row r="33" ht="14.75" spans="1:6">
      <c r="A33" s="18" t="s">
        <v>129</v>
      </c>
      <c r="B33" s="91">
        <v>0.018</v>
      </c>
      <c r="C33" s="19">
        <v>0.35</v>
      </c>
      <c r="D33" s="18" t="s">
        <v>130</v>
      </c>
      <c r="E33" s="18" t="s">
        <v>131</v>
      </c>
    </row>
    <row r="35" ht="17.25" spans="1:6">
      <c r="A35" s="15" t="s">
        <v>132</v>
      </c>
    </row>
    <row r="36" ht="14.75" spans="1:6">
      <c r="A36" s="16" t="s">
        <v>133</v>
      </c>
      <c r="B36" s="16" t="s">
        <v>134</v>
      </c>
      <c r="C36" s="16" t="s">
        <v>135</v>
      </c>
      <c r="D36" s="16" t="s">
        <v>136</v>
      </c>
      <c r="E36" s="16" t="s">
        <v>137</v>
      </c>
    </row>
    <row r="37" ht="14.75" spans="1:6">
      <c r="A37" s="92">
        <v>45931</v>
      </c>
      <c r="B37" s="90">
        <v>0.008</v>
      </c>
      <c r="C37" s="90">
        <v>0.015</v>
      </c>
      <c r="D37" s="90">
        <v>0.02</v>
      </c>
      <c r="E37" s="90">
        <v>0.02</v>
      </c>
    </row>
    <row r="38" ht="14.75" spans="1:6">
      <c r="A38" s="93">
        <v>45962</v>
      </c>
      <c r="B38" s="91">
        <v>0.009</v>
      </c>
      <c r="C38" s="91">
        <v>0.016</v>
      </c>
      <c r="D38" s="91">
        <v>0.022</v>
      </c>
      <c r="E38" s="91">
        <v>0.022</v>
      </c>
    </row>
    <row r="39" ht="14.75" spans="1:6">
      <c r="A39" s="92">
        <v>45992</v>
      </c>
      <c r="B39" s="90">
        <v>0.01</v>
      </c>
      <c r="C39" s="90">
        <v>0.018</v>
      </c>
      <c r="D39" s="90">
        <v>0.025</v>
      </c>
      <c r="E39" s="90">
        <v>0.025</v>
      </c>
    </row>
    <row r="40" ht="14.75" spans="1:6">
      <c r="A40" s="93">
        <v>46023</v>
      </c>
      <c r="B40" s="91">
        <v>0.012</v>
      </c>
      <c r="C40" s="91">
        <v>0.022</v>
      </c>
      <c r="D40" s="91">
        <v>0.03</v>
      </c>
      <c r="E40" s="91">
        <v>0.03</v>
      </c>
    </row>
    <row r="41" ht="14.75" spans="1:6">
      <c r="A41" s="92">
        <v>46054</v>
      </c>
      <c r="B41" s="90">
        <v>0.011</v>
      </c>
      <c r="C41" s="90">
        <v>0.02</v>
      </c>
      <c r="D41" s="90">
        <v>0.028</v>
      </c>
      <c r="E41" s="90">
        <v>0.028</v>
      </c>
    </row>
    <row r="42" ht="14.75" spans="1:6">
      <c r="A42" s="93">
        <v>46082</v>
      </c>
      <c r="B42" s="91">
        <v>0.009</v>
      </c>
      <c r="C42" s="91">
        <v>0.017</v>
      </c>
      <c r="D42" s="18" t="s">
        <v>51</v>
      </c>
      <c r="E42" s="18" t="s">
        <v>51</v>
      </c>
    </row>
    <row r="44" ht="17.25" spans="1:6">
      <c r="A44" s="15" t="s">
        <v>138</v>
      </c>
    </row>
    <row r="45" ht="14.75" spans="1:6">
      <c r="A45" s="16" t="s">
        <v>139</v>
      </c>
      <c r="B45" s="16" t="s">
        <v>140</v>
      </c>
      <c r="C45" s="16" t="s">
        <v>141</v>
      </c>
      <c r="D45" s="16" t="s">
        <v>142</v>
      </c>
      <c r="E45" s="16" t="s">
        <v>143</v>
      </c>
      <c r="F45" s="16" t="s">
        <v>144</v>
      </c>
    </row>
    <row r="46" ht="14.75" spans="1:6">
      <c r="A46" s="17" t="s">
        <v>145</v>
      </c>
      <c r="B46" s="20">
        <v>0.78</v>
      </c>
      <c r="C46" s="20">
        <v>0.65</v>
      </c>
      <c r="D46" s="17">
        <v>0.72</v>
      </c>
      <c r="E46" s="17" t="s">
        <v>146</v>
      </c>
      <c r="F46" s="17" t="s">
        <v>147</v>
      </c>
    </row>
    <row r="47" ht="14.75" spans="1:6">
      <c r="A47" s="18" t="s">
        <v>148</v>
      </c>
      <c r="B47" s="19">
        <v>0.85</v>
      </c>
      <c r="C47" s="19">
        <v>0.75</v>
      </c>
      <c r="D47" s="18">
        <v>0.81</v>
      </c>
      <c r="E47" s="18" t="s">
        <v>146</v>
      </c>
      <c r="F47" s="18" t="s">
        <v>149</v>
      </c>
    </row>
    <row r="48" ht="14.75" spans="1:6">
      <c r="A48" s="17" t="s">
        <v>150</v>
      </c>
      <c r="B48" s="20">
        <v>0.83</v>
      </c>
      <c r="C48" s="20">
        <v>0.73</v>
      </c>
      <c r="D48" s="17">
        <v>0.8</v>
      </c>
      <c r="E48" s="17" t="s">
        <v>146</v>
      </c>
      <c r="F48" s="17" t="s">
        <v>151</v>
      </c>
    </row>
    <row r="49" ht="14.75" spans="1:6">
      <c r="A49" s="18" t="s">
        <v>152</v>
      </c>
      <c r="B49" s="19">
        <v>0.87</v>
      </c>
      <c r="C49" s="19">
        <v>0.78</v>
      </c>
      <c r="D49" s="18">
        <v>0.84</v>
      </c>
      <c r="E49" s="18" t="s">
        <v>146</v>
      </c>
      <c r="F49" s="18" t="s">
        <v>153</v>
      </c>
    </row>
  </sheetData>
  <mergeCells count="4">
    <mergeCell ref="A1:D1"/>
    <mergeCell ref="A2:D2"/>
    <mergeCell ref="A3:D3"/>
    <mergeCell ref="C26:D26"/>
  </mergeCells>
  <conditionalFormatting sqref="B17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{deacdb8b-a3c3-40a4-a100-36d0f358e6e0}</x14:id>
        </ext>
      </extLst>
    </cfRule>
  </conditionalFormatting>
  <conditionalFormatting sqref="B23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{3476a850-3afa-418d-a9de-677cd91a8311}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acdb8b-a3c3-40a4-a100-36d0f358e6e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B17</xm:sqref>
        </x14:conditionalFormatting>
        <x14:conditionalFormatting xmlns:xm="http://schemas.microsoft.com/office/excel/2006/main">
          <x14:cfRule type="dataBar" id="{3476a850-3afa-418d-a9de-677cd91a831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zoomScale="85" zoomScaleNormal="85" workbookViewId="0">
      <pane ySplit="5" topLeftCell="A6" activePane="bottomLeft" state="frozen"/>
      <selection/>
      <selection pane="bottomLeft" activeCell="G9" sqref="G9"/>
    </sheetView>
  </sheetViews>
  <sheetFormatPr defaultColWidth="9" defaultRowHeight="14"/>
  <cols>
    <col min="1" max="2" width="20" customWidth="1"/>
    <col min="3" max="4" width="15" customWidth="1"/>
  </cols>
  <sheetData>
    <row r="1" ht="20" spans="1:9">
      <c r="A1" s="1" t="s">
        <v>154</v>
      </c>
    </row>
    <row r="2" spans="1:9">
      <c r="A2" s="2" t="s">
        <v>155</v>
      </c>
    </row>
    <row r="4" ht="14.5" spans="1:9">
      <c r="A4" s="3" t="s">
        <v>40</v>
      </c>
      <c r="B4" s="4" t="s">
        <v>41</v>
      </c>
      <c r="C4" s="4" t="s">
        <v>41</v>
      </c>
      <c r="D4" s="4" t="s">
        <v>41</v>
      </c>
    </row>
    <row r="5" ht="14.5" spans="1:9">
      <c r="A5" s="5" t="s">
        <v>42</v>
      </c>
      <c r="B5" s="5" t="s">
        <v>43</v>
      </c>
      <c r="C5" s="5" t="s">
        <v>44</v>
      </c>
      <c r="D5" s="5" t="s">
        <v>45</v>
      </c>
    </row>
    <row r="6" ht="14.5" spans="1:9">
      <c r="A6" s="6" t="s">
        <v>156</v>
      </c>
      <c r="B6" s="4">
        <v>200000000</v>
      </c>
      <c r="C6" s="4" t="s">
        <v>47</v>
      </c>
      <c r="D6" s="4" t="s">
        <v>48</v>
      </c>
      <c r="H6" t="s">
        <v>157</v>
      </c>
    </row>
    <row r="7" ht="14.5" spans="1:9">
      <c r="A7" s="6" t="s">
        <v>158</v>
      </c>
      <c r="B7" s="4">
        <v>4200000</v>
      </c>
      <c r="C7" s="4" t="s">
        <v>47</v>
      </c>
      <c r="D7" s="4" t="s">
        <v>48</v>
      </c>
      <c r="H7" t="s">
        <v>159</v>
      </c>
    </row>
    <row r="8" ht="14.5" spans="1:9">
      <c r="A8" s="9" t="s">
        <v>160</v>
      </c>
      <c r="B8" s="74">
        <f>B7/B6</f>
        <v>0.021</v>
      </c>
      <c r="C8" s="11" t="s">
        <v>50</v>
      </c>
      <c r="D8" s="11" t="s">
        <v>51</v>
      </c>
      <c r="H8" t="s">
        <v>161</v>
      </c>
    </row>
    <row r="10" ht="15" spans="1:9">
      <c r="A10" s="12" t="s">
        <v>56</v>
      </c>
      <c r="B10" s="13" t="s">
        <v>41</v>
      </c>
      <c r="C10" s="13" t="s">
        <v>41</v>
      </c>
      <c r="D10" s="13" t="s">
        <v>41</v>
      </c>
      <c r="H10" s="76" t="s">
        <v>162</v>
      </c>
    </row>
    <row r="11" ht="15" spans="1:9">
      <c r="A11" s="14" t="s">
        <v>57</v>
      </c>
      <c r="B11" s="14" t="s">
        <v>163</v>
      </c>
      <c r="C11" s="14" t="s">
        <v>164</v>
      </c>
      <c r="D11" s="14" t="s">
        <v>165</v>
      </c>
      <c r="I11" s="77" t="s">
        <v>166</v>
      </c>
    </row>
    <row r="12" ht="15" spans="1:9">
      <c r="I12" s="77" t="s">
        <v>167</v>
      </c>
    </row>
    <row r="13" ht="16.5" spans="1:9">
      <c r="A13" s="15" t="s">
        <v>168</v>
      </c>
      <c r="H13" s="76" t="s">
        <v>169</v>
      </c>
    </row>
    <row r="14" ht="15.75" spans="1:9">
      <c r="A14" s="16" t="s">
        <v>170</v>
      </c>
      <c r="B14" s="16" t="s">
        <v>171</v>
      </c>
      <c r="C14" s="16" t="s">
        <v>172</v>
      </c>
      <c r="D14" s="16" t="s">
        <v>173</v>
      </c>
      <c r="E14" s="16" t="s">
        <v>174</v>
      </c>
      <c r="I14" s="77" t="s">
        <v>175</v>
      </c>
    </row>
    <row r="15" ht="15.75" spans="1:9">
      <c r="A15" s="17" t="s">
        <v>176</v>
      </c>
      <c r="B15" s="17" t="s">
        <v>177</v>
      </c>
      <c r="C15" s="17" t="s">
        <v>178</v>
      </c>
      <c r="D15" s="17" t="s">
        <v>179</v>
      </c>
      <c r="E15" s="17" t="s">
        <v>180</v>
      </c>
      <c r="F15" s="75" t="s">
        <v>181</v>
      </c>
      <c r="I15" s="76" t="s">
        <v>182</v>
      </c>
    </row>
    <row r="16" ht="15" spans="1:9">
      <c r="H16" s="78"/>
    </row>
    <row r="17" ht="16.5" spans="1:9">
      <c r="A17" s="15" t="s">
        <v>183</v>
      </c>
      <c r="H17" s="76" t="s">
        <v>184</v>
      </c>
    </row>
    <row r="18" ht="15.75" spans="1:9">
      <c r="A18" s="16" t="s">
        <v>185</v>
      </c>
      <c r="B18" s="16" t="s">
        <v>176</v>
      </c>
      <c r="C18" s="16" t="s">
        <v>62</v>
      </c>
      <c r="D18" s="16" t="s">
        <v>186</v>
      </c>
      <c r="E18" s="16" t="s">
        <v>174</v>
      </c>
      <c r="I18" s="76" t="s">
        <v>187</v>
      </c>
    </row>
    <row r="19" ht="16.25" spans="1:9">
      <c r="A19" s="17" t="s">
        <v>188</v>
      </c>
      <c r="B19" s="17" t="s">
        <v>172</v>
      </c>
      <c r="C19" s="17" t="s">
        <v>51</v>
      </c>
      <c r="D19" s="17" t="s">
        <v>51</v>
      </c>
      <c r="E19" s="17" t="s">
        <v>66</v>
      </c>
      <c r="I19" s="76" t="s">
        <v>189</v>
      </c>
    </row>
    <row r="20" ht="15.75" spans="1:9">
      <c r="A20" s="18" t="s">
        <v>65</v>
      </c>
      <c r="B20" s="18" t="s">
        <v>190</v>
      </c>
      <c r="C20" s="19">
        <v>0.05</v>
      </c>
      <c r="D20" s="18" t="s">
        <v>191</v>
      </c>
      <c r="E20" s="18" t="s">
        <v>99</v>
      </c>
      <c r="H20" s="76" t="s">
        <v>192</v>
      </c>
    </row>
    <row r="21" ht="15.75" spans="1:9">
      <c r="A21" s="17" t="s">
        <v>67</v>
      </c>
      <c r="B21" s="17" t="s">
        <v>193</v>
      </c>
      <c r="C21" s="20">
        <v>0.12</v>
      </c>
      <c r="D21" s="17" t="s">
        <v>194</v>
      </c>
      <c r="E21" s="17" t="s">
        <v>101</v>
      </c>
      <c r="I21" s="77" t="s">
        <v>195</v>
      </c>
    </row>
    <row r="22" ht="15.75" spans="1:9">
      <c r="A22" s="18" t="s">
        <v>69</v>
      </c>
      <c r="B22" s="18" t="s">
        <v>196</v>
      </c>
      <c r="C22" s="19">
        <v>-0.03</v>
      </c>
      <c r="D22" s="18" t="s">
        <v>197</v>
      </c>
      <c r="E22" s="18" t="s">
        <v>66</v>
      </c>
      <c r="I22" s="76" t="s">
        <v>198</v>
      </c>
    </row>
    <row r="24" ht="17.25" spans="1:9">
      <c r="A24" s="15" t="s">
        <v>199</v>
      </c>
    </row>
    <row r="25" ht="14.75" spans="1:9">
      <c r="A25" s="16" t="s">
        <v>170</v>
      </c>
      <c r="B25" s="16" t="s">
        <v>200</v>
      </c>
      <c r="C25" s="16" t="s">
        <v>201</v>
      </c>
      <c r="D25" s="16" t="s">
        <v>202</v>
      </c>
      <c r="E25" s="16" t="s">
        <v>203</v>
      </c>
    </row>
    <row r="26" ht="14.75" spans="1:9">
      <c r="A26" s="17" t="s">
        <v>176</v>
      </c>
      <c r="B26" s="17" t="s">
        <v>204</v>
      </c>
      <c r="C26" s="17" t="s">
        <v>205</v>
      </c>
      <c r="D26" s="17" t="s">
        <v>206</v>
      </c>
      <c r="E26" s="17" t="s">
        <v>207</v>
      </c>
      <c r="F26" s="75" t="s">
        <v>181</v>
      </c>
    </row>
    <row r="27" spans="1:9">
      <c r="C27" s="79" t="s">
        <v>208</v>
      </c>
      <c r="D27" s="79" t="s">
        <v>208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{600bc30d-3e6a-410b-88f2-e222784cb72d}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0bc30d-3e6a-410b-88f2-e222784cb72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pane ySplit="5" topLeftCell="A12" activePane="bottomLeft" state="frozen"/>
      <selection/>
      <selection pane="bottomLeft" activeCell="C30" sqref="C30"/>
    </sheetView>
  </sheetViews>
  <sheetFormatPr defaultColWidth="9" defaultRowHeight="14" outlineLevelCol="5"/>
  <cols>
    <col min="1" max="2" width="20" customWidth="1"/>
    <col min="3" max="4" width="15" customWidth="1"/>
  </cols>
  <sheetData>
    <row r="1" ht="20" spans="1:6">
      <c r="A1" s="1" t="s">
        <v>16</v>
      </c>
    </row>
    <row r="2" spans="1:6">
      <c r="A2" s="2" t="s">
        <v>209</v>
      </c>
    </row>
    <row r="4" ht="14.5" spans="1:6">
      <c r="A4" s="3" t="s">
        <v>40</v>
      </c>
      <c r="B4" s="4" t="s">
        <v>41</v>
      </c>
      <c r="C4" s="4" t="s">
        <v>41</v>
      </c>
      <c r="D4" s="4" t="s">
        <v>41</v>
      </c>
    </row>
    <row r="5" ht="14.5" spans="1:6">
      <c r="A5" s="5" t="s">
        <v>42</v>
      </c>
      <c r="B5" s="5" t="s">
        <v>43</v>
      </c>
      <c r="C5" s="5" t="s">
        <v>44</v>
      </c>
      <c r="D5" s="5" t="s">
        <v>45</v>
      </c>
    </row>
    <row r="6" ht="14.5" spans="1:6">
      <c r="A6" s="6" t="s">
        <v>210</v>
      </c>
      <c r="B6" s="4">
        <v>200000000</v>
      </c>
      <c r="C6" s="4" t="s">
        <v>47</v>
      </c>
      <c r="D6" s="4" t="s">
        <v>48</v>
      </c>
    </row>
    <row r="7" ht="14.5" spans="1:6">
      <c r="A7" s="6" t="s">
        <v>211</v>
      </c>
      <c r="B7" s="4">
        <v>5400000</v>
      </c>
      <c r="C7" s="4" t="s">
        <v>47</v>
      </c>
      <c r="D7" s="4" t="s">
        <v>48</v>
      </c>
    </row>
    <row r="8" ht="14.5" spans="1:6">
      <c r="A8" s="9" t="s">
        <v>212</v>
      </c>
      <c r="B8" s="74">
        <f>B7/B6</f>
        <v>0.027</v>
      </c>
      <c r="C8" s="11" t="s">
        <v>50</v>
      </c>
      <c r="D8" s="11" t="s">
        <v>51</v>
      </c>
    </row>
    <row r="10" ht="14.5" spans="1:6">
      <c r="A10" s="12" t="s">
        <v>56</v>
      </c>
      <c r="B10" s="13" t="s">
        <v>41</v>
      </c>
      <c r="C10" s="13" t="s">
        <v>41</v>
      </c>
      <c r="D10" s="13" t="s">
        <v>41</v>
      </c>
    </row>
    <row r="11" ht="14.5" spans="1:6">
      <c r="A11" s="14" t="s">
        <v>57</v>
      </c>
      <c r="B11" s="14" t="s">
        <v>213</v>
      </c>
      <c r="C11" s="14" t="s">
        <v>164</v>
      </c>
      <c r="D11" s="14" t="s">
        <v>165</v>
      </c>
    </row>
    <row r="13" ht="17.25" spans="1:6">
      <c r="A13" s="15" t="s">
        <v>214</v>
      </c>
    </row>
    <row r="14" ht="14.75" spans="1:6">
      <c r="A14" s="16" t="s">
        <v>170</v>
      </c>
      <c r="B14" s="16" t="s">
        <v>171</v>
      </c>
      <c r="C14" s="16" t="s">
        <v>172</v>
      </c>
      <c r="D14" s="16" t="s">
        <v>173</v>
      </c>
      <c r="E14" s="16" t="s">
        <v>174</v>
      </c>
    </row>
    <row r="15" ht="14.75" spans="1:6">
      <c r="A15" s="17" t="s">
        <v>16</v>
      </c>
      <c r="B15" s="17" t="s">
        <v>177</v>
      </c>
      <c r="C15" s="17" t="s">
        <v>178</v>
      </c>
      <c r="D15" s="17" t="s">
        <v>179</v>
      </c>
      <c r="E15" s="17" t="s">
        <v>180</v>
      </c>
      <c r="F15" s="75" t="s">
        <v>181</v>
      </c>
    </row>
    <row r="17" ht="17.25" spans="1:5">
      <c r="A17" s="15" t="s">
        <v>215</v>
      </c>
    </row>
    <row r="18" ht="14.75" spans="1:5">
      <c r="A18" s="16" t="s">
        <v>185</v>
      </c>
      <c r="B18" s="16" t="s">
        <v>16</v>
      </c>
      <c r="C18" s="16" t="s">
        <v>62</v>
      </c>
      <c r="D18" s="16" t="s">
        <v>186</v>
      </c>
      <c r="E18" s="16" t="s">
        <v>174</v>
      </c>
    </row>
    <row r="19" ht="14.75" spans="1:5">
      <c r="A19" s="17" t="s">
        <v>188</v>
      </c>
      <c r="B19" s="17" t="s">
        <v>172</v>
      </c>
      <c r="C19" s="17" t="s">
        <v>51</v>
      </c>
      <c r="D19" s="17" t="s">
        <v>51</v>
      </c>
      <c r="E19" s="17" t="s">
        <v>66</v>
      </c>
    </row>
    <row r="20" ht="14.75" spans="1:5">
      <c r="A20" s="18" t="s">
        <v>65</v>
      </c>
      <c r="B20" s="18" t="s">
        <v>190</v>
      </c>
      <c r="C20" s="19">
        <v>0.05</v>
      </c>
      <c r="D20" s="18" t="s">
        <v>191</v>
      </c>
      <c r="E20" s="18" t="s">
        <v>99</v>
      </c>
    </row>
    <row r="21" ht="14.75" spans="1:5">
      <c r="A21" s="17" t="s">
        <v>67</v>
      </c>
      <c r="B21" s="17" t="s">
        <v>193</v>
      </c>
      <c r="C21" s="20">
        <v>0.12</v>
      </c>
      <c r="D21" s="17" t="s">
        <v>194</v>
      </c>
      <c r="E21" s="17" t="s">
        <v>101</v>
      </c>
    </row>
    <row r="22" ht="14.75" spans="1:5">
      <c r="A22" s="18" t="s">
        <v>69</v>
      </c>
      <c r="B22" s="18" t="s">
        <v>196</v>
      </c>
      <c r="C22" s="19">
        <v>-0.03</v>
      </c>
      <c r="D22" s="18" t="s">
        <v>197</v>
      </c>
      <c r="E22" s="18" t="s">
        <v>66</v>
      </c>
    </row>
    <row r="24" ht="17.25" spans="1:5">
      <c r="A24" s="15" t="s">
        <v>216</v>
      </c>
    </row>
    <row r="25" ht="14.75" spans="1:5">
      <c r="A25" s="16" t="s">
        <v>170</v>
      </c>
      <c r="B25" s="16" t="s">
        <v>200</v>
      </c>
      <c r="C25" s="16" t="s">
        <v>201</v>
      </c>
      <c r="D25" s="16" t="s">
        <v>202</v>
      </c>
      <c r="E25" s="16" t="s">
        <v>203</v>
      </c>
    </row>
    <row r="26" ht="14.75" spans="1:5">
      <c r="A26" s="17" t="s">
        <v>16</v>
      </c>
      <c r="B26" s="17" t="s">
        <v>204</v>
      </c>
      <c r="C26" s="17" t="s">
        <v>205</v>
      </c>
      <c r="D26" s="17" t="s">
        <v>206</v>
      </c>
      <c r="E26" s="17" t="s">
        <v>207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{6736bcec-5ce9-477a-8944-41bbbb27be98}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6bcec-5ce9-477a-8944-41bbbb27be9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zoomScale="45" zoomScaleNormal="45" workbookViewId="0">
      <pane ySplit="5" topLeftCell="A20" activePane="bottomLeft" state="frozen"/>
      <selection/>
      <selection pane="bottomLeft" activeCell="Z17" sqref="Z17"/>
    </sheetView>
  </sheetViews>
  <sheetFormatPr defaultColWidth="9" defaultRowHeight="14" outlineLevelCol="7"/>
  <cols>
    <col min="1" max="1" width="23.2727272727273" style="37" customWidth="1"/>
    <col min="2" max="2" width="20" style="37" customWidth="1"/>
    <col min="3" max="4" width="15" style="37" customWidth="1"/>
    <col min="5" max="5" width="16.2727272727273" style="37" customWidth="1"/>
    <col min="6" max="6" width="16.0909090909091" style="37" customWidth="1"/>
    <col min="7" max="7" width="14" style="37"/>
    <col min="8" max="16384" width="9" style="37"/>
  </cols>
  <sheetData>
    <row r="1" ht="18" spans="1:8">
      <c r="A1" s="38" t="s">
        <v>217</v>
      </c>
    </row>
    <row r="2" spans="1:8">
      <c r="A2" s="37" t="s">
        <v>218</v>
      </c>
    </row>
    <row r="3" spans="1:8">
      <c r="A3" s="37" t="s">
        <v>219</v>
      </c>
    </row>
    <row r="4" spans="1:8">
      <c r="A4" s="37" t="s">
        <v>220</v>
      </c>
    </row>
    <row r="5" spans="1:8">
      <c r="A5" s="37" t="s">
        <v>221</v>
      </c>
    </row>
    <row r="7" spans="1:8">
      <c r="A7" s="57" t="s">
        <v>222</v>
      </c>
    </row>
    <row r="8" ht="16.5" spans="1:8">
      <c r="A8" s="58" t="s">
        <v>223</v>
      </c>
      <c r="B8" s="59"/>
      <c r="C8" s="59"/>
      <c r="D8" s="59"/>
      <c r="E8" s="59"/>
      <c r="F8" s="59"/>
      <c r="G8" s="59"/>
      <c r="H8" s="59"/>
    </row>
    <row r="9" ht="16.5" spans="1:8">
      <c r="A9" s="60"/>
      <c r="B9" s="59"/>
      <c r="C9" s="59"/>
      <c r="D9" s="59"/>
      <c r="E9" s="59"/>
      <c r="F9" s="59"/>
      <c r="G9" s="59"/>
      <c r="H9" s="59"/>
    </row>
    <row r="10" ht="16.5" spans="1:8">
      <c r="A10" s="60" t="s">
        <v>224</v>
      </c>
      <c r="B10" s="61"/>
      <c r="C10" s="61"/>
      <c r="D10" s="61"/>
      <c r="E10" s="61"/>
      <c r="F10" s="61"/>
      <c r="G10" s="61"/>
      <c r="H10" s="61"/>
    </row>
    <row r="11" ht="17.25" spans="1:8">
      <c r="A11" s="62" t="s">
        <v>225</v>
      </c>
      <c r="B11" s="62"/>
      <c r="C11" s="62"/>
      <c r="D11" s="62"/>
      <c r="E11" s="59"/>
      <c r="F11" s="59"/>
      <c r="G11" s="59"/>
      <c r="H11" s="59"/>
    </row>
    <row r="12" ht="17.25" spans="1:8">
      <c r="A12" s="63" t="s">
        <v>226</v>
      </c>
      <c r="B12" s="64" t="s">
        <v>227</v>
      </c>
      <c r="C12" s="64" t="s">
        <v>228</v>
      </c>
      <c r="D12" s="64" t="s">
        <v>229</v>
      </c>
      <c r="E12" s="59"/>
      <c r="F12" s="59"/>
      <c r="G12" s="59"/>
      <c r="H12" s="59"/>
    </row>
    <row r="13" ht="26.75" spans="1:8">
      <c r="A13" s="65" t="s">
        <v>230</v>
      </c>
      <c r="B13" s="66" t="s">
        <v>231</v>
      </c>
      <c r="C13" s="66" t="s">
        <v>232</v>
      </c>
      <c r="D13" s="66" t="s">
        <v>233</v>
      </c>
      <c r="E13" s="59"/>
      <c r="F13" s="59"/>
      <c r="G13" s="59"/>
      <c r="H13" s="59"/>
    </row>
    <row r="14" ht="26.75" spans="1:8">
      <c r="A14" s="67" t="s">
        <v>234</v>
      </c>
      <c r="B14" s="68" t="s">
        <v>235</v>
      </c>
      <c r="C14" s="68" t="s">
        <v>236</v>
      </c>
      <c r="D14" s="68" t="s">
        <v>237</v>
      </c>
      <c r="E14" s="59"/>
      <c r="F14" s="59"/>
      <c r="G14" s="59"/>
      <c r="H14" s="59"/>
    </row>
    <row r="15" ht="26.75" spans="1:8">
      <c r="A15" s="65" t="s">
        <v>238</v>
      </c>
      <c r="B15" s="66" t="s">
        <v>239</v>
      </c>
      <c r="C15" s="66" t="s">
        <v>240</v>
      </c>
      <c r="D15" s="66" t="s">
        <v>241</v>
      </c>
      <c r="E15" s="59"/>
      <c r="F15" s="59"/>
      <c r="G15" s="59"/>
      <c r="H15" s="59"/>
    </row>
    <row r="16" ht="26.75" spans="1:8">
      <c r="A16" s="67" t="s">
        <v>242</v>
      </c>
      <c r="B16" s="68" t="s">
        <v>243</v>
      </c>
      <c r="C16" s="68" t="s">
        <v>244</v>
      </c>
      <c r="D16" s="68" t="s">
        <v>245</v>
      </c>
      <c r="E16" s="59"/>
      <c r="F16" s="59"/>
      <c r="G16" s="59"/>
      <c r="H16" s="59"/>
    </row>
    <row r="17" ht="26.75" spans="1:8">
      <c r="A17" s="65" t="s">
        <v>246</v>
      </c>
      <c r="B17" s="66" t="s">
        <v>247</v>
      </c>
      <c r="C17" s="66" t="s">
        <v>248</v>
      </c>
      <c r="D17" s="66" t="s">
        <v>249</v>
      </c>
      <c r="E17" s="59"/>
      <c r="F17" s="59"/>
      <c r="G17" s="59"/>
      <c r="H17" s="59"/>
    </row>
    <row r="18" ht="16.5" spans="1:8">
      <c r="A18" s="60"/>
      <c r="B18" s="59"/>
      <c r="C18" s="59"/>
      <c r="D18" s="59"/>
      <c r="E18" s="59"/>
      <c r="F18" s="59"/>
      <c r="G18" s="59"/>
    </row>
    <row r="19" spans="1:8">
      <c r="A19" s="69" t="s">
        <v>250</v>
      </c>
    </row>
    <row r="20" spans="1:8">
      <c r="A20" s="70"/>
      <c r="B20" s="70">
        <v>45688</v>
      </c>
      <c r="C20" s="70">
        <v>45688</v>
      </c>
      <c r="D20" s="70">
        <v>45716</v>
      </c>
      <c r="E20" s="70">
        <v>45747</v>
      </c>
      <c r="F20" s="70">
        <v>45777</v>
      </c>
      <c r="G20" s="70">
        <v>45808</v>
      </c>
    </row>
    <row r="21" spans="1:8">
      <c r="A21" s="57" t="s">
        <v>251</v>
      </c>
    </row>
    <row r="22" spans="1:8">
      <c r="A22" s="71" t="s">
        <v>230</v>
      </c>
      <c r="B22" s="72">
        <v>29039</v>
      </c>
      <c r="C22" s="72">
        <v>32959</v>
      </c>
      <c r="D22" s="72">
        <v>36879</v>
      </c>
      <c r="E22" s="72">
        <v>40799</v>
      </c>
      <c r="F22" s="72">
        <v>44719</v>
      </c>
      <c r="G22" s="72">
        <v>48639</v>
      </c>
    </row>
    <row r="23" spans="1:8">
      <c r="A23" s="71" t="s">
        <v>234</v>
      </c>
      <c r="B23" s="72">
        <v>1450.51010935779</v>
      </c>
      <c r="C23" s="72">
        <v>983.194659428803</v>
      </c>
      <c r="D23" s="72">
        <v>1075.43217165915</v>
      </c>
      <c r="E23" s="72">
        <v>1366.89370006697</v>
      </c>
      <c r="F23" s="72">
        <v>1376.40028621286</v>
      </c>
      <c r="G23" s="72">
        <v>1350.51010935779</v>
      </c>
    </row>
    <row r="24" spans="1:8">
      <c r="A24" s="71" t="s">
        <v>238</v>
      </c>
      <c r="B24" s="72">
        <v>1068.99203195696</v>
      </c>
      <c r="C24" s="72">
        <v>1024.41225164401</v>
      </c>
      <c r="D24" s="72">
        <v>669.209707125299</v>
      </c>
      <c r="E24" s="72">
        <v>721.597875260098</v>
      </c>
      <c r="F24" s="72">
        <v>920.213610959926</v>
      </c>
      <c r="G24" s="72">
        <v>968.992031956964</v>
      </c>
    </row>
    <row r="25" spans="1:8">
      <c r="A25" s="71" t="s">
        <v>242</v>
      </c>
      <c r="B25" s="72">
        <v>948.825218919371</v>
      </c>
      <c r="C25" s="72">
        <v>997.47449973764</v>
      </c>
      <c r="D25" s="72">
        <v>970.421945315058</v>
      </c>
      <c r="E25" s="72">
        <v>614.189341661995</v>
      </c>
      <c r="F25" s="72">
        <v>691.371361234825</v>
      </c>
      <c r="G25" s="72">
        <v>848.825218919371</v>
      </c>
    </row>
    <row r="26" spans="1:8">
      <c r="A26" s="71" t="s">
        <v>252</v>
      </c>
      <c r="B26" s="72">
        <v>759.090025691972</v>
      </c>
      <c r="C26" s="72">
        <v>911.778500879629</v>
      </c>
      <c r="D26" s="72">
        <v>1037.72952321761</v>
      </c>
      <c r="E26" s="72">
        <v>957.810128904023</v>
      </c>
      <c r="F26" s="72">
        <v>625.633319785096</v>
      </c>
      <c r="G26" s="72">
        <v>659.090025691972</v>
      </c>
    </row>
    <row r="27" spans="1:8">
      <c r="A27" s="71" t="s">
        <v>253</v>
      </c>
      <c r="B27" s="72">
        <v>31.8817810790628</v>
      </c>
      <c r="C27" s="72">
        <v>38.2946970369444</v>
      </c>
      <c r="D27" s="72">
        <v>43.5846399751395</v>
      </c>
      <c r="E27" s="72">
        <v>40.228025413969</v>
      </c>
      <c r="F27" s="72">
        <v>26.276599430974</v>
      </c>
      <c r="G27" s="72">
        <v>27.6817810790628</v>
      </c>
    </row>
    <row r="28" spans="1:8">
      <c r="A28" s="57" t="s">
        <v>254</v>
      </c>
    </row>
    <row r="29" spans="1:8">
      <c r="A29" s="71" t="s">
        <v>255</v>
      </c>
      <c r="B29" s="71"/>
      <c r="C29" s="73">
        <f>C23/B22</f>
        <v>0.0338577313071663</v>
      </c>
      <c r="D29" s="73">
        <f>D23/C22</f>
        <v>0.0326293932358125</v>
      </c>
      <c r="E29" s="73">
        <f>E23/D22</f>
        <v>0.0370642831982149</v>
      </c>
      <c r="F29" s="73">
        <f>F23/E22</f>
        <v>0.0337361279985505</v>
      </c>
      <c r="G29" s="73">
        <f>G23/F22</f>
        <v>0.0301999174703769</v>
      </c>
    </row>
    <row r="30" spans="1:8">
      <c r="A30" s="71" t="s">
        <v>256</v>
      </c>
      <c r="B30" s="71"/>
      <c r="C30" s="73">
        <f>C24/B23</f>
        <v>0.706242752142947</v>
      </c>
      <c r="D30" s="73">
        <f>D24/C23</f>
        <v>0.680648232481331</v>
      </c>
      <c r="E30" s="73">
        <f>E24/D23</f>
        <v>0.67098408832873</v>
      </c>
      <c r="F30" s="73">
        <f>F24/E23</f>
        <v>0.673215196554672</v>
      </c>
      <c r="G30" s="73">
        <f>G24/F23</f>
        <v>0.704004526636017</v>
      </c>
    </row>
    <row r="31" spans="1:8">
      <c r="A31" s="71" t="s">
        <v>257</v>
      </c>
      <c r="B31" s="71"/>
      <c r="C31" s="73">
        <f>C25/B24</f>
        <v>0.933098161556547</v>
      </c>
      <c r="D31" s="73">
        <f>D25/C24</f>
        <v>0.947296309427864</v>
      </c>
      <c r="E31" s="73">
        <f>E25/D24</f>
        <v>0.917783073261664</v>
      </c>
      <c r="F31" s="73">
        <f>F25/E24</f>
        <v>0.95811169203571</v>
      </c>
      <c r="G31" s="73">
        <f>G25/F24</f>
        <v>0.922421934222332</v>
      </c>
    </row>
    <row r="32" spans="1:8">
      <c r="A32" s="71" t="s">
        <v>258</v>
      </c>
      <c r="B32" s="71"/>
      <c r="C32" s="73">
        <f>C26/B25</f>
        <v>0.960955171404555</v>
      </c>
      <c r="D32" s="73">
        <f>D26/C25</f>
        <v>1.04035694495504</v>
      </c>
      <c r="E32" s="73">
        <f>E26/D25</f>
        <v>0.987003780703928</v>
      </c>
      <c r="F32" s="73">
        <f>F26/E25</f>
        <v>1.01863265502481</v>
      </c>
      <c r="G32" s="73">
        <f>G26/F25</f>
        <v>0.953308254647404</v>
      </c>
    </row>
    <row r="33" spans="1:7">
      <c r="A33" s="71" t="s">
        <v>259</v>
      </c>
      <c r="B33" s="71"/>
      <c r="C33" s="73">
        <f>C27/B26</f>
        <v>0.0504481625905119</v>
      </c>
      <c r="D33" s="73">
        <f>D27/C26</f>
        <v>0.0478017851189644</v>
      </c>
      <c r="E33" s="73">
        <f>E27/D26</f>
        <v>0.0387654244327916</v>
      </c>
      <c r="F33" s="73">
        <f>F27/E26</f>
        <v>0.0274340379559789</v>
      </c>
      <c r="G33" s="73">
        <f>G27/F26</f>
        <v>0.0442460147240423</v>
      </c>
    </row>
    <row r="34" spans="1:7">
      <c r="A34" s="57" t="s">
        <v>260</v>
      </c>
    </row>
    <row r="35" spans="1:7">
      <c r="A35" s="71" t="s">
        <v>261</v>
      </c>
      <c r="B35" s="71"/>
      <c r="C35" s="73">
        <f>PRODUCT(C29:C$32)*(1-C$33)</f>
        <v>0.0203592135867521</v>
      </c>
      <c r="D35" s="73">
        <f>PRODUCT(D29:D$32)*(1-D$33)</f>
        <v>0.0208414196284482</v>
      </c>
      <c r="E35" s="73">
        <f>PRODUCT(E29:E$32)*(1-E$33)</f>
        <v>0.0216548944332891</v>
      </c>
      <c r="F35" s="73">
        <f>PRODUCT(F29:F$32)*(1-F$33)</f>
        <v>0.021557676331477</v>
      </c>
      <c r="G35" s="73">
        <f>PRODUCT(G29:G$32)*(1-G$33)</f>
        <v>0.0178685906764417</v>
      </c>
    </row>
    <row r="36" spans="1:7">
      <c r="A36" s="71" t="s">
        <v>262</v>
      </c>
      <c r="B36" s="71"/>
      <c r="C36" s="73">
        <f>PRODUCT(C30:C$32)*(1-C$33)</f>
        <v>0.601316532464856</v>
      </c>
      <c r="D36" s="73">
        <f>PRODUCT(D30:D$32)*(1-D$33)</f>
        <v>0.638731449212903</v>
      </c>
      <c r="E36" s="73">
        <f>PRODUCT(E30:E$32)*(1-E$33)</f>
        <v>0.584252346591503</v>
      </c>
      <c r="F36" s="73">
        <f>PRODUCT(F30:F$32)*(1-F$33)</f>
        <v>0.639008612144324</v>
      </c>
      <c r="G36" s="73">
        <f>PRODUCT(G30:G$32)*(1-G$33)</f>
        <v>0.591676804877662</v>
      </c>
    </row>
    <row r="37" spans="1:7">
      <c r="A37" s="71" t="s">
        <v>263</v>
      </c>
      <c r="B37" s="71"/>
      <c r="C37" s="73">
        <f>PRODUCT(C31:C$32)*(1-C$33)</f>
        <v>0.851430376652059</v>
      </c>
      <c r="D37" s="73">
        <f>PRODUCT(D31:D$32)*(1-D$33)</f>
        <v>0.938416378287477</v>
      </c>
      <c r="E37" s="73">
        <f>PRODUCT(E31:E$32)*(1-E$33)</f>
        <v>0.870739495547121</v>
      </c>
      <c r="F37" s="73">
        <f>PRODUCT(F31:F$32)*(1-F$33)</f>
        <v>0.949189227181133</v>
      </c>
      <c r="G37" s="73">
        <f>PRODUCT(G31:G$32)*(1-G$33)</f>
        <v>0.840444602969961</v>
      </c>
    </row>
    <row r="38" spans="1:7">
      <c r="A38" s="71" t="s">
        <v>264</v>
      </c>
      <c r="B38" s="71"/>
      <c r="C38" s="73">
        <f>PRODUCT(C32:C$32)*(1-C$33)</f>
        <v>0.912476748675345</v>
      </c>
      <c r="D38" s="73">
        <f>PRODUCT(D32:D$32)*(1-D$33)</f>
        <v>0.990626025825277</v>
      </c>
      <c r="E38" s="73">
        <f>PRODUCT(E32:E$32)*(1-E$33)</f>
        <v>0.948742160228171</v>
      </c>
      <c r="F38" s="73">
        <f>PRODUCT(F32:F$32)*(1-F$33)</f>
        <v>0.990687448103656</v>
      </c>
      <c r="G38" s="73">
        <f>PRODUCT(G32:G$32)*(1-G$33)</f>
        <v>0.911128163575724</v>
      </c>
    </row>
    <row r="39" spans="1:7">
      <c r="A39" s="37" t="s">
        <v>265</v>
      </c>
    </row>
    <row r="40" spans="1:7">
      <c r="A40" s="71" t="s">
        <v>230</v>
      </c>
      <c r="B40" s="71"/>
      <c r="C40" s="72">
        <f>C22*C35</f>
        <v>671.019320605761</v>
      </c>
      <c r="D40" s="72">
        <f>D22*D35</f>
        <v>768.610714477542</v>
      </c>
      <c r="E40" s="72">
        <f>E22*E35</f>
        <v>883.498037983761</v>
      </c>
      <c r="F40" s="72">
        <f>F22*F35</f>
        <v>964.037727867321</v>
      </c>
      <c r="G40" s="72">
        <f>G22*G35</f>
        <v>869.110381911448</v>
      </c>
    </row>
    <row r="41" spans="1:7">
      <c r="A41" s="71" t="s">
        <v>234</v>
      </c>
      <c r="B41" s="71"/>
      <c r="C41" s="72">
        <f>C23*C36</f>
        <v>591.211203345693</v>
      </c>
      <c r="D41" s="72">
        <f>D23*D36</f>
        <v>686.912349534025</v>
      </c>
      <c r="E41" s="72">
        <f>E23*E36</f>
        <v>798.610851805268</v>
      </c>
      <c r="F41" s="72">
        <f>F23*F36</f>
        <v>879.531636647931</v>
      </c>
      <c r="G41" s="72">
        <f>G23*G36</f>
        <v>799.065506459797</v>
      </c>
    </row>
    <row r="42" spans="1:7">
      <c r="A42" s="71" t="s">
        <v>238</v>
      </c>
      <c r="B42" s="71"/>
      <c r="C42" s="72">
        <f>C24*C37</f>
        <v>872.215709264243</v>
      </c>
      <c r="D42" s="72">
        <f>D24*D37</f>
        <v>627.997349675346</v>
      </c>
      <c r="E42" s="72">
        <f>E24*E37</f>
        <v>628.323769891852</v>
      </c>
      <c r="F42" s="72">
        <f>F24*F37</f>
        <v>873.456846228612</v>
      </c>
      <c r="G42" s="72">
        <f>G24*G37</f>
        <v>814.384123579126</v>
      </c>
    </row>
    <row r="43" spans="1:7">
      <c r="A43" s="71" t="s">
        <v>242</v>
      </c>
      <c r="B43" s="71"/>
      <c r="C43" s="72">
        <f>C25*C38</f>
        <v>910.172288407168</v>
      </c>
      <c r="D43" s="72">
        <f>D25*D38</f>
        <v>961.32523506109</v>
      </c>
      <c r="E43" s="72">
        <f>E25*E38</f>
        <v>582.707322797519</v>
      </c>
      <c r="F43" s="72">
        <f>F25*F38</f>
        <v>684.93292955368</v>
      </c>
      <c r="G43" s="72">
        <f>G25*G38</f>
        <v>773.388562910769</v>
      </c>
    </row>
  </sheetData>
  <mergeCells count="4">
    <mergeCell ref="A1:D1"/>
    <mergeCell ref="A8:H8"/>
    <mergeCell ref="A10:H10"/>
    <mergeCell ref="A11:D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pane ySplit="5" topLeftCell="A6" activePane="bottomLeft" state="frozen"/>
      <selection/>
      <selection pane="bottomLeft" activeCell="A10" sqref="A10:H10"/>
    </sheetView>
  </sheetViews>
  <sheetFormatPr defaultColWidth="9" defaultRowHeight="14"/>
  <cols>
    <col min="1" max="2" width="20" style="37" customWidth="1"/>
    <col min="3" max="4" width="15" style="37" customWidth="1"/>
    <col min="5" max="16384" width="9" style="37"/>
  </cols>
  <sheetData>
    <row r="1" ht="18" spans="1:9">
      <c r="A1" s="38" t="s">
        <v>266</v>
      </c>
    </row>
    <row r="2" spans="1:9">
      <c r="A2" s="39" t="s">
        <v>267</v>
      </c>
    </row>
    <row r="4" ht="14.5" spans="1:9">
      <c r="A4" s="40" t="s">
        <v>268</v>
      </c>
      <c r="B4" s="41" t="s">
        <v>41</v>
      </c>
      <c r="C4" s="41" t="s">
        <v>41</v>
      </c>
      <c r="D4" s="41" t="s">
        <v>41</v>
      </c>
    </row>
    <row r="5" ht="14.5" spans="1:9">
      <c r="A5" s="42" t="s">
        <v>269</v>
      </c>
      <c r="B5" s="42" t="s">
        <v>270</v>
      </c>
      <c r="C5" s="42" t="s">
        <v>271</v>
      </c>
      <c r="D5" s="42" t="s">
        <v>272</v>
      </c>
    </row>
    <row r="6" ht="14.5" spans="1:9">
      <c r="A6" s="43" t="s">
        <v>273</v>
      </c>
      <c r="B6" s="41">
        <v>3000000</v>
      </c>
      <c r="C6" s="41" t="s">
        <v>274</v>
      </c>
      <c r="D6" s="41" t="s">
        <v>275</v>
      </c>
    </row>
    <row r="7" ht="14.5" spans="1:9">
      <c r="A7" s="43" t="s">
        <v>276</v>
      </c>
      <c r="B7" s="41">
        <v>1500000</v>
      </c>
      <c r="C7" s="41" t="s">
        <v>274</v>
      </c>
      <c r="D7" s="41" t="s">
        <v>275</v>
      </c>
    </row>
    <row r="8" ht="14.5" spans="1:9">
      <c r="A8" s="44" t="s">
        <v>277</v>
      </c>
      <c r="B8" s="45">
        <f>B7/B6</f>
        <v>0.5</v>
      </c>
      <c r="C8" s="46" t="s">
        <v>278</v>
      </c>
      <c r="D8" s="46" t="s">
        <v>51</v>
      </c>
    </row>
    <row r="10" ht="16.5" spans="1:9">
      <c r="A10" s="47" t="s">
        <v>279</v>
      </c>
    </row>
    <row r="11" ht="14.5" spans="1:9">
      <c r="A11" s="48" t="s">
        <v>280</v>
      </c>
      <c r="B11" s="48" t="s">
        <v>281</v>
      </c>
      <c r="C11" s="48" t="s">
        <v>234</v>
      </c>
      <c r="D11" s="48" t="s">
        <v>238</v>
      </c>
      <c r="E11" s="48" t="s">
        <v>282</v>
      </c>
      <c r="F11" s="48" t="s">
        <v>283</v>
      </c>
    </row>
    <row r="12" spans="1:9">
      <c r="A12" s="49" t="s">
        <v>284</v>
      </c>
      <c r="B12" s="50">
        <v>0.92</v>
      </c>
      <c r="C12" s="50">
        <v>0.06</v>
      </c>
      <c r="D12" s="50">
        <v>0.01</v>
      </c>
      <c r="E12" s="51">
        <v>0.005</v>
      </c>
      <c r="F12" s="51">
        <v>0.005</v>
      </c>
      <c r="I12" s="52">
        <f>SUM(B12:F12)</f>
        <v>1</v>
      </c>
    </row>
    <row r="13" spans="1:9">
      <c r="A13" s="53" t="s">
        <v>285</v>
      </c>
      <c r="B13" s="54">
        <v>0.4</v>
      </c>
      <c r="C13" s="54">
        <v>0.35</v>
      </c>
      <c r="D13" s="54">
        <v>0.15</v>
      </c>
      <c r="E13" s="54">
        <v>0.05</v>
      </c>
      <c r="F13" s="54">
        <v>0.05</v>
      </c>
      <c r="I13" s="52">
        <f>SUM(B13:F13)</f>
        <v>1</v>
      </c>
    </row>
    <row r="14" spans="1:9">
      <c r="A14" s="49" t="s">
        <v>286</v>
      </c>
      <c r="B14" s="50">
        <v>0.2</v>
      </c>
      <c r="C14" s="50">
        <v>0.2</v>
      </c>
      <c r="D14" s="50">
        <v>0.3</v>
      </c>
      <c r="E14" s="50">
        <v>0.2</v>
      </c>
      <c r="F14" s="50">
        <v>0.1</v>
      </c>
      <c r="I14" s="52">
        <f>SUM(B14:F14)</f>
        <v>1</v>
      </c>
    </row>
    <row r="15" spans="1:9">
      <c r="A15" s="53" t="s">
        <v>287</v>
      </c>
      <c r="B15" s="54">
        <v>0.05</v>
      </c>
      <c r="C15" s="54">
        <v>0.05</v>
      </c>
      <c r="D15" s="54">
        <v>0.15</v>
      </c>
      <c r="E15" s="54">
        <v>0.6</v>
      </c>
      <c r="F15" s="54">
        <v>0.15</v>
      </c>
      <c r="I15" s="52">
        <f>SUM(B15:F15)</f>
        <v>1</v>
      </c>
    </row>
    <row r="16" spans="1:9">
      <c r="A16" s="55" t="s">
        <v>288</v>
      </c>
    </row>
    <row r="17" ht="45" customHeight="1" spans="1:8">
      <c r="A17" s="56" t="s">
        <v>289</v>
      </c>
      <c r="B17" s="56"/>
      <c r="C17" s="56"/>
      <c r="D17" s="56"/>
      <c r="E17" s="56"/>
      <c r="F17" s="56"/>
      <c r="G17" s="56"/>
      <c r="H17" s="56"/>
    </row>
  </sheetData>
  <mergeCells count="4">
    <mergeCell ref="A1:D1"/>
    <mergeCell ref="A2:D2"/>
    <mergeCell ref="A10:H10"/>
    <mergeCell ref="A17:H17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{0c40cf8a-f348-4e5f-beac-93cd68a0d628}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40cf8a-f348-4e5f-beac-93cd68a0d62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9"/>
  <sheetViews>
    <sheetView zoomScale="70" zoomScaleNormal="70" topLeftCell="C1" workbookViewId="0">
      <pane ySplit="8" topLeftCell="A9" activePane="bottomLeft" state="frozen"/>
      <selection/>
      <selection pane="bottomLeft" activeCell="M41" sqref="M41"/>
    </sheetView>
  </sheetViews>
  <sheetFormatPr defaultColWidth="9" defaultRowHeight="14"/>
  <cols>
    <col min="1" max="2" width="20" customWidth="1"/>
    <col min="3" max="4" width="15" customWidth="1"/>
    <col min="9" max="9" width="12.8454545454545" customWidth="1"/>
  </cols>
  <sheetData>
    <row r="1" ht="20" spans="1:27">
      <c r="A1" s="1" t="s">
        <v>25</v>
      </c>
    </row>
    <row r="2" spans="1:27">
      <c r="A2" s="2" t="s">
        <v>290</v>
      </c>
    </row>
    <row r="3" spans="1:27">
      <c r="A3" s="2" t="s">
        <v>291</v>
      </c>
    </row>
    <row r="4" spans="1:27">
      <c r="A4" s="2" t="s">
        <v>292</v>
      </c>
    </row>
    <row r="5" spans="1:27">
      <c r="A5" s="2" t="s">
        <v>293</v>
      </c>
    </row>
    <row r="7" ht="14.5" spans="1:27">
      <c r="A7" s="3" t="s">
        <v>40</v>
      </c>
      <c r="B7" s="4" t="s">
        <v>41</v>
      </c>
      <c r="C7" s="4" t="s">
        <v>41</v>
      </c>
      <c r="D7" s="4" t="s">
        <v>41</v>
      </c>
      <c r="H7" s="21" t="s">
        <v>294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4.5" spans="1:27">
      <c r="A8" s="5" t="s">
        <v>42</v>
      </c>
      <c r="B8" s="5" t="s">
        <v>43</v>
      </c>
      <c r="C8" s="5" t="s">
        <v>44</v>
      </c>
      <c r="D8" s="5" t="s">
        <v>45</v>
      </c>
      <c r="H8" s="21"/>
      <c r="I8" s="22" t="s">
        <v>295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4.5" spans="1:27">
      <c r="A9" s="6" t="s">
        <v>133</v>
      </c>
      <c r="B9" s="23">
        <v>45658</v>
      </c>
      <c r="C9" s="4"/>
      <c r="D9" s="4" t="s">
        <v>48</v>
      </c>
      <c r="H9" s="21"/>
      <c r="I9" s="22" t="s">
        <v>296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4.5" spans="1:27">
      <c r="A10" s="6" t="s">
        <v>297</v>
      </c>
      <c r="B10" s="4">
        <v>10000000</v>
      </c>
      <c r="C10" s="4"/>
      <c r="D10" s="4" t="s">
        <v>48</v>
      </c>
      <c r="H10" s="21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4.5" spans="1:27">
      <c r="A11" s="6" t="s">
        <v>298</v>
      </c>
      <c r="B11" s="24">
        <v>0</v>
      </c>
      <c r="C11" s="4" t="s">
        <v>299</v>
      </c>
      <c r="D11" s="4" t="s">
        <v>48</v>
      </c>
      <c r="H11" s="22"/>
      <c r="I11" s="25" t="s">
        <v>300</v>
      </c>
      <c r="J11" s="25" t="s">
        <v>301</v>
      </c>
      <c r="K11" s="25" t="s">
        <v>302</v>
      </c>
      <c r="L11" s="25" t="s">
        <v>303</v>
      </c>
      <c r="M11" s="25" t="s">
        <v>304</v>
      </c>
      <c r="N11" s="25" t="s">
        <v>305</v>
      </c>
      <c r="O11" s="25" t="s">
        <v>306</v>
      </c>
      <c r="P11" s="25" t="s">
        <v>307</v>
      </c>
      <c r="Q11" s="25" t="s">
        <v>308</v>
      </c>
      <c r="R11" s="25" t="s">
        <v>309</v>
      </c>
      <c r="S11" s="25" t="s">
        <v>310</v>
      </c>
      <c r="T11" s="25" t="s">
        <v>311</v>
      </c>
      <c r="U11" s="25" t="s">
        <v>312</v>
      </c>
      <c r="V11" s="25" t="s">
        <v>313</v>
      </c>
      <c r="W11" s="25" t="s">
        <v>314</v>
      </c>
      <c r="X11" s="25" t="s">
        <v>315</v>
      </c>
      <c r="Y11" s="22"/>
      <c r="Z11" s="22"/>
      <c r="AA11" s="22"/>
    </row>
    <row r="12" ht="14.5" spans="1:27">
      <c r="A12" s="6" t="s">
        <v>316</v>
      </c>
      <c r="B12" s="24">
        <v>0</v>
      </c>
      <c r="C12" s="4" t="s">
        <v>299</v>
      </c>
      <c r="D12" s="4" t="s">
        <v>48</v>
      </c>
      <c r="H12" s="22"/>
      <c r="I12" s="26">
        <v>45658</v>
      </c>
      <c r="J12" s="27">
        <v>1000</v>
      </c>
      <c r="K12" s="28">
        <v>5.7</v>
      </c>
      <c r="L12" s="29">
        <v>0</v>
      </c>
      <c r="M12" s="30">
        <v>0.01</v>
      </c>
      <c r="N12" s="30">
        <f t="shared" ref="N12:P12" si="0">M12+0.3%</f>
        <v>0.013</v>
      </c>
      <c r="O12" s="30">
        <f t="shared" si="0"/>
        <v>0.016</v>
      </c>
      <c r="P12" s="30">
        <f t="shared" si="0"/>
        <v>0.019</v>
      </c>
      <c r="Q12" s="30">
        <f t="shared" ref="Q12:Q19" si="1">P12+0.2%</f>
        <v>0.021</v>
      </c>
      <c r="R12" s="30">
        <f t="shared" ref="R12:R18" si="2">Q12+0.2%</f>
        <v>0.023</v>
      </c>
      <c r="S12" s="30">
        <f t="shared" ref="S12:X12" si="3">R12</f>
        <v>0.023</v>
      </c>
      <c r="T12" s="30">
        <f t="shared" si="3"/>
        <v>0.023</v>
      </c>
      <c r="U12" s="30">
        <f t="shared" si="3"/>
        <v>0.023</v>
      </c>
      <c r="V12" s="30">
        <f t="shared" si="3"/>
        <v>0.023</v>
      </c>
      <c r="W12" s="30">
        <f t="shared" si="3"/>
        <v>0.023</v>
      </c>
      <c r="X12" s="30">
        <f t="shared" si="3"/>
        <v>0.023</v>
      </c>
      <c r="Y12" s="22"/>
      <c r="Z12" s="22"/>
      <c r="AA12" s="22"/>
    </row>
    <row r="13" ht="14.5" spans="1:27">
      <c r="A13" s="6" t="s">
        <v>317</v>
      </c>
      <c r="B13" s="24">
        <v>0.005</v>
      </c>
      <c r="C13" s="4" t="s">
        <v>299</v>
      </c>
      <c r="D13" s="4" t="s">
        <v>48</v>
      </c>
      <c r="H13" s="22"/>
      <c r="I13" s="26">
        <v>45689</v>
      </c>
      <c r="J13" s="27">
        <v>1000</v>
      </c>
      <c r="K13" s="28">
        <v>5.7</v>
      </c>
      <c r="L13" s="29">
        <v>0</v>
      </c>
      <c r="M13" s="30">
        <v>0.02</v>
      </c>
      <c r="N13" s="30">
        <f t="shared" ref="N13:P13" si="4">M13+0.3%</f>
        <v>0.023</v>
      </c>
      <c r="O13" s="30">
        <f t="shared" si="4"/>
        <v>0.026</v>
      </c>
      <c r="P13" s="30">
        <f t="shared" si="4"/>
        <v>0.029</v>
      </c>
      <c r="Q13" s="30">
        <f t="shared" si="1"/>
        <v>0.031</v>
      </c>
      <c r="R13" s="30">
        <f t="shared" si="2"/>
        <v>0.033</v>
      </c>
      <c r="S13" s="30">
        <f t="shared" ref="S13:W13" si="5">R13</f>
        <v>0.033</v>
      </c>
      <c r="T13" s="30">
        <f t="shared" si="5"/>
        <v>0.033</v>
      </c>
      <c r="U13" s="30">
        <f t="shared" si="5"/>
        <v>0.033</v>
      </c>
      <c r="V13" s="30">
        <f t="shared" si="5"/>
        <v>0.033</v>
      </c>
      <c r="W13" s="30">
        <f t="shared" si="5"/>
        <v>0.033</v>
      </c>
      <c r="X13" s="30"/>
      <c r="Y13" s="22"/>
      <c r="Z13" s="22"/>
      <c r="AA13" s="22"/>
    </row>
    <row r="14" ht="14.5" spans="1:27">
      <c r="A14" s="6" t="s">
        <v>318</v>
      </c>
      <c r="B14" s="24">
        <v>0.008</v>
      </c>
      <c r="C14" s="4" t="s">
        <v>299</v>
      </c>
      <c r="D14" s="4" t="s">
        <v>48</v>
      </c>
      <c r="H14" s="22"/>
      <c r="I14" s="26">
        <v>45717</v>
      </c>
      <c r="J14" s="27">
        <v>1000</v>
      </c>
      <c r="K14" s="28">
        <v>5.7</v>
      </c>
      <c r="L14" s="29">
        <v>0</v>
      </c>
      <c r="M14" s="30">
        <v>0.04</v>
      </c>
      <c r="N14" s="30">
        <f t="shared" ref="N14:P14" si="6">M14+0.3%</f>
        <v>0.043</v>
      </c>
      <c r="O14" s="30">
        <f t="shared" si="6"/>
        <v>0.046</v>
      </c>
      <c r="P14" s="30">
        <f t="shared" si="6"/>
        <v>0.049</v>
      </c>
      <c r="Q14" s="30">
        <f t="shared" si="1"/>
        <v>0.051</v>
      </c>
      <c r="R14" s="30">
        <f t="shared" si="2"/>
        <v>0.053</v>
      </c>
      <c r="S14" s="30">
        <f t="shared" ref="S14:V14" si="7">R14</f>
        <v>0.053</v>
      </c>
      <c r="T14" s="30">
        <f t="shared" si="7"/>
        <v>0.053</v>
      </c>
      <c r="U14" s="30">
        <f t="shared" si="7"/>
        <v>0.053</v>
      </c>
      <c r="V14" s="30">
        <f t="shared" si="7"/>
        <v>0.053</v>
      </c>
      <c r="W14" s="30"/>
      <c r="X14" s="30"/>
      <c r="Y14" s="22"/>
      <c r="Z14" s="22"/>
      <c r="AA14" s="22"/>
    </row>
    <row r="15" ht="14.5" spans="1:27">
      <c r="A15" s="6" t="s">
        <v>319</v>
      </c>
      <c r="B15" s="24">
        <v>0.011</v>
      </c>
      <c r="C15" s="4" t="s">
        <v>299</v>
      </c>
      <c r="D15" s="4" t="s">
        <v>48</v>
      </c>
      <c r="H15" s="22"/>
      <c r="I15" s="26">
        <v>45748</v>
      </c>
      <c r="J15" s="27">
        <v>1000</v>
      </c>
      <c r="K15" s="28">
        <v>5.7</v>
      </c>
      <c r="L15" s="29">
        <v>0</v>
      </c>
      <c r="M15" s="30">
        <v>0.05</v>
      </c>
      <c r="N15" s="30">
        <f t="shared" ref="N15:P15" si="8">M15+0.3%</f>
        <v>0.053</v>
      </c>
      <c r="O15" s="30">
        <f t="shared" si="8"/>
        <v>0.056</v>
      </c>
      <c r="P15" s="30">
        <f t="shared" si="8"/>
        <v>0.059</v>
      </c>
      <c r="Q15" s="30">
        <f t="shared" si="1"/>
        <v>0.061</v>
      </c>
      <c r="R15" s="30">
        <f t="shared" si="2"/>
        <v>0.063</v>
      </c>
      <c r="S15" s="30">
        <f t="shared" ref="S15:U15" si="9">R15</f>
        <v>0.063</v>
      </c>
      <c r="T15" s="30">
        <f t="shared" si="9"/>
        <v>0.063</v>
      </c>
      <c r="U15" s="30">
        <f t="shared" si="9"/>
        <v>0.063</v>
      </c>
      <c r="V15" s="30"/>
      <c r="W15" s="30"/>
      <c r="X15" s="30"/>
      <c r="Y15" s="22"/>
      <c r="Z15" s="22"/>
      <c r="AA15" s="22"/>
    </row>
    <row r="16" spans="1:27">
      <c r="A16" t="s">
        <v>320</v>
      </c>
      <c r="H16" s="22"/>
      <c r="I16" s="26">
        <v>45778</v>
      </c>
      <c r="J16" s="27">
        <v>1000</v>
      </c>
      <c r="K16" s="28">
        <v>5.7</v>
      </c>
      <c r="L16" s="29">
        <v>0</v>
      </c>
      <c r="M16" s="30">
        <v>0.047</v>
      </c>
      <c r="N16" s="30">
        <f t="shared" ref="N16:P16" si="10">M16+0.3%</f>
        <v>0.05</v>
      </c>
      <c r="O16" s="30">
        <f t="shared" si="10"/>
        <v>0.053</v>
      </c>
      <c r="P16" s="30">
        <f t="shared" si="10"/>
        <v>0.056</v>
      </c>
      <c r="Q16" s="30">
        <f t="shared" si="1"/>
        <v>0.058</v>
      </c>
      <c r="R16" s="30">
        <f t="shared" si="2"/>
        <v>0.06</v>
      </c>
      <c r="S16" s="30">
        <f>R16</f>
        <v>0.06</v>
      </c>
      <c r="T16" s="30">
        <f>S16</f>
        <v>0.06</v>
      </c>
      <c r="U16" s="30"/>
      <c r="V16" s="30"/>
      <c r="W16" s="30"/>
      <c r="X16" s="30"/>
      <c r="Y16" s="22"/>
      <c r="Z16" s="22"/>
      <c r="AA16" s="22"/>
    </row>
    <row r="17" ht="14.5" spans="1:27">
      <c r="A17" s="12" t="s">
        <v>56</v>
      </c>
      <c r="B17" s="13" t="s">
        <v>41</v>
      </c>
      <c r="C17" s="13" t="s">
        <v>41</v>
      </c>
      <c r="D17" s="13" t="s">
        <v>41</v>
      </c>
      <c r="H17" s="22"/>
      <c r="I17" s="26">
        <v>45809</v>
      </c>
      <c r="J17" s="27">
        <v>1000</v>
      </c>
      <c r="K17" s="28">
        <v>5.7</v>
      </c>
      <c r="L17" s="29">
        <v>0</v>
      </c>
      <c r="M17" s="30">
        <v>0.045</v>
      </c>
      <c r="N17" s="30">
        <f t="shared" ref="N17:P17" si="11">M17+0.3%</f>
        <v>0.048</v>
      </c>
      <c r="O17" s="30">
        <f t="shared" si="11"/>
        <v>0.051</v>
      </c>
      <c r="P17" s="30">
        <f t="shared" si="11"/>
        <v>0.054</v>
      </c>
      <c r="Q17" s="30">
        <f t="shared" si="1"/>
        <v>0.056</v>
      </c>
      <c r="R17" s="30">
        <f t="shared" si="2"/>
        <v>0.058</v>
      </c>
      <c r="S17" s="30">
        <f>R17</f>
        <v>0.058</v>
      </c>
      <c r="T17" s="30"/>
      <c r="U17" s="30"/>
      <c r="V17" s="30"/>
      <c r="W17" s="30"/>
      <c r="X17" s="30"/>
      <c r="Y17" s="22"/>
      <c r="Z17" s="22"/>
      <c r="AA17" s="22"/>
    </row>
    <row r="18" ht="14.5" spans="1:27">
      <c r="A18" s="14" t="s">
        <v>57</v>
      </c>
      <c r="B18" s="14" t="s">
        <v>321</v>
      </c>
      <c r="C18" s="14" t="s">
        <v>164</v>
      </c>
      <c r="D18" s="14" t="s">
        <v>165</v>
      </c>
      <c r="H18" s="22"/>
      <c r="I18" s="26">
        <v>45839</v>
      </c>
      <c r="J18" s="27">
        <v>1000</v>
      </c>
      <c r="K18" s="28">
        <v>5.7</v>
      </c>
      <c r="L18" s="29">
        <v>0</v>
      </c>
      <c r="M18" s="30">
        <v>0.043</v>
      </c>
      <c r="N18" s="30">
        <f t="shared" ref="N18:P18" si="12">M18+0.3%</f>
        <v>0.046</v>
      </c>
      <c r="O18" s="30">
        <f t="shared" si="12"/>
        <v>0.049</v>
      </c>
      <c r="P18" s="30">
        <f t="shared" si="12"/>
        <v>0.052</v>
      </c>
      <c r="Q18" s="30">
        <f t="shared" si="1"/>
        <v>0.054</v>
      </c>
      <c r="R18" s="30">
        <f t="shared" si="2"/>
        <v>0.056</v>
      </c>
      <c r="S18" s="30"/>
      <c r="T18" s="30"/>
      <c r="U18" s="30"/>
      <c r="V18" s="30"/>
      <c r="W18" s="30"/>
      <c r="X18" s="30"/>
      <c r="Y18" s="22"/>
      <c r="Z18" s="22"/>
      <c r="AA18" s="22"/>
    </row>
    <row r="19" spans="1:27">
      <c r="H19" s="22"/>
      <c r="I19" s="26">
        <v>45870</v>
      </c>
      <c r="J19" s="27">
        <v>1000</v>
      </c>
      <c r="K19" s="28">
        <v>5.7</v>
      </c>
      <c r="L19" s="29">
        <v>0</v>
      </c>
      <c r="M19" s="30">
        <v>0.04</v>
      </c>
      <c r="N19" s="30">
        <f t="shared" ref="N19:P19" si="13">M19+0.3%</f>
        <v>0.043</v>
      </c>
      <c r="O19" s="30">
        <f t="shared" si="13"/>
        <v>0.046</v>
      </c>
      <c r="P19" s="30">
        <f t="shared" si="13"/>
        <v>0.049</v>
      </c>
      <c r="Q19" s="30">
        <f t="shared" si="1"/>
        <v>0.051</v>
      </c>
      <c r="R19" s="30"/>
      <c r="S19" s="30"/>
      <c r="T19" s="30"/>
      <c r="U19" s="30"/>
      <c r="V19" s="30"/>
      <c r="W19" s="30"/>
      <c r="X19" s="30"/>
      <c r="Y19" s="22"/>
      <c r="Z19" s="22"/>
      <c r="AA19" s="22"/>
    </row>
    <row r="20" ht="17.25" spans="1:27">
      <c r="A20" s="15" t="s">
        <v>322</v>
      </c>
      <c r="H20" s="22"/>
      <c r="I20" s="26">
        <v>45901</v>
      </c>
      <c r="J20" s="27">
        <v>1000</v>
      </c>
      <c r="K20" s="28">
        <v>5.7</v>
      </c>
      <c r="L20" s="29">
        <v>0</v>
      </c>
      <c r="M20" s="30">
        <v>0.038</v>
      </c>
      <c r="N20" s="30">
        <f t="shared" ref="N20:P20" si="14">M20+0.3%</f>
        <v>0.041</v>
      </c>
      <c r="O20" s="30">
        <f t="shared" si="14"/>
        <v>0.044</v>
      </c>
      <c r="P20" s="30">
        <f t="shared" si="14"/>
        <v>0.047</v>
      </c>
      <c r="Q20" s="30"/>
      <c r="R20" s="30"/>
      <c r="S20" s="30"/>
      <c r="T20" s="30"/>
      <c r="U20" s="30"/>
      <c r="V20" s="30"/>
      <c r="W20" s="30"/>
      <c r="X20" s="30"/>
      <c r="Y20" s="22"/>
      <c r="Z20" s="22"/>
      <c r="AA20" s="22"/>
    </row>
    <row r="21" ht="14.75" spans="1:27">
      <c r="A21" s="16" t="s">
        <v>170</v>
      </c>
      <c r="B21" s="16" t="s">
        <v>171</v>
      </c>
      <c r="C21" s="16" t="s">
        <v>172</v>
      </c>
      <c r="D21" s="16" t="s">
        <v>173</v>
      </c>
      <c r="E21" s="16" t="s">
        <v>174</v>
      </c>
      <c r="H21" s="22"/>
      <c r="I21" s="26">
        <v>45931</v>
      </c>
      <c r="J21" s="27">
        <v>1000</v>
      </c>
      <c r="K21" s="28">
        <v>5.7</v>
      </c>
      <c r="L21" s="29">
        <v>0</v>
      </c>
      <c r="M21" s="30">
        <v>0.0377</v>
      </c>
      <c r="N21" s="30">
        <f>M21+0.3%</f>
        <v>0.0407</v>
      </c>
      <c r="O21" s="30">
        <f>N21+0.3%</f>
        <v>0.0437</v>
      </c>
      <c r="P21" s="30"/>
      <c r="Q21" s="30"/>
      <c r="R21" s="30"/>
      <c r="S21" s="30"/>
      <c r="T21" s="30"/>
      <c r="U21" s="30"/>
      <c r="V21" s="30"/>
      <c r="W21" s="30"/>
      <c r="X21" s="30"/>
      <c r="Y21" s="22"/>
      <c r="Z21" s="22"/>
      <c r="AA21" s="22"/>
    </row>
    <row r="22" ht="14.75" spans="1:27">
      <c r="A22" s="17" t="s">
        <v>25</v>
      </c>
      <c r="B22" s="17" t="s">
        <v>177</v>
      </c>
      <c r="C22" s="17" t="s">
        <v>178</v>
      </c>
      <c r="D22" s="17" t="s">
        <v>179</v>
      </c>
      <c r="E22" s="17" t="s">
        <v>180</v>
      </c>
      <c r="H22" s="22"/>
      <c r="I22" s="26">
        <v>45962</v>
      </c>
      <c r="J22" s="27">
        <v>1000</v>
      </c>
      <c r="K22" s="28">
        <v>5.7</v>
      </c>
      <c r="L22" s="29">
        <v>0</v>
      </c>
      <c r="M22" s="30">
        <v>0.037</v>
      </c>
      <c r="N22" s="30">
        <f>M22+0.3%</f>
        <v>0.04</v>
      </c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22"/>
      <c r="Z22" s="22"/>
      <c r="AA22" s="22"/>
    </row>
    <row r="23" spans="1:27">
      <c r="H23" s="22"/>
      <c r="I23" s="26">
        <v>45992</v>
      </c>
      <c r="J23" s="27">
        <v>1000</v>
      </c>
      <c r="K23" s="28">
        <v>5.7</v>
      </c>
      <c r="L23" s="29">
        <v>0</v>
      </c>
      <c r="M23" s="30">
        <v>0.0382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22"/>
      <c r="Z23" s="22"/>
      <c r="AA23" s="22"/>
    </row>
    <row r="24" ht="17.25" spans="1:27">
      <c r="A24" s="15" t="s">
        <v>323</v>
      </c>
      <c r="H24" s="22"/>
      <c r="I24" s="31" t="s">
        <v>324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4.75" spans="1:27">
      <c r="A25" s="16" t="s">
        <v>185</v>
      </c>
      <c r="B25" s="16" t="s">
        <v>25</v>
      </c>
      <c r="C25" s="16" t="s">
        <v>62</v>
      </c>
      <c r="D25" s="16" t="s">
        <v>186</v>
      </c>
      <c r="E25" s="16" t="s">
        <v>174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4.75" spans="1:27">
      <c r="A26" s="17" t="s">
        <v>188</v>
      </c>
      <c r="B26" s="17" t="s">
        <v>172</v>
      </c>
      <c r="C26" s="17" t="s">
        <v>51</v>
      </c>
      <c r="D26" s="17" t="s">
        <v>51</v>
      </c>
      <c r="E26" s="17" t="s">
        <v>66</v>
      </c>
      <c r="H26" s="21" t="s">
        <v>325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4.75" spans="1:27">
      <c r="A27" s="18" t="s">
        <v>65</v>
      </c>
      <c r="B27" s="18" t="s">
        <v>190</v>
      </c>
      <c r="C27" s="19">
        <v>0.05</v>
      </c>
      <c r="D27" s="18" t="s">
        <v>191</v>
      </c>
      <c r="E27" s="18" t="s">
        <v>99</v>
      </c>
      <c r="H27" s="22"/>
      <c r="I27" s="25" t="s">
        <v>300</v>
      </c>
      <c r="J27" s="25" t="s">
        <v>301</v>
      </c>
      <c r="K27" s="25" t="s">
        <v>302</v>
      </c>
      <c r="L27" s="25" t="s">
        <v>303</v>
      </c>
      <c r="M27" s="25" t="s">
        <v>304</v>
      </c>
      <c r="N27" s="25" t="s">
        <v>305</v>
      </c>
      <c r="O27" s="25" t="s">
        <v>306</v>
      </c>
      <c r="P27" s="25" t="s">
        <v>307</v>
      </c>
      <c r="Q27" s="25" t="s">
        <v>308</v>
      </c>
      <c r="R27" s="25" t="s">
        <v>309</v>
      </c>
      <c r="S27" s="25" t="s">
        <v>310</v>
      </c>
      <c r="T27" s="25" t="s">
        <v>311</v>
      </c>
      <c r="U27" s="25" t="s">
        <v>312</v>
      </c>
      <c r="V27" s="25" t="s">
        <v>313</v>
      </c>
      <c r="W27" s="25" t="s">
        <v>314</v>
      </c>
      <c r="X27" s="25" t="s">
        <v>315</v>
      </c>
      <c r="Y27" s="22"/>
      <c r="Z27" s="22"/>
      <c r="AA27" s="22"/>
    </row>
    <row r="28" ht="14.75" spans="1:27">
      <c r="A28" s="17" t="s">
        <v>67</v>
      </c>
      <c r="B28" s="17" t="s">
        <v>193</v>
      </c>
      <c r="C28" s="20">
        <v>0.12</v>
      </c>
      <c r="D28" s="17" t="s">
        <v>194</v>
      </c>
      <c r="E28" s="17" t="s">
        <v>101</v>
      </c>
      <c r="H28" s="22"/>
      <c r="I28" s="26">
        <v>45658</v>
      </c>
      <c r="J28" s="27">
        <v>1000</v>
      </c>
      <c r="K28" s="28">
        <v>5.7</v>
      </c>
      <c r="L28" s="29">
        <v>0</v>
      </c>
      <c r="M28" s="30">
        <v>0.01</v>
      </c>
      <c r="N28" s="30">
        <f t="shared" ref="N28:P28" si="15">M28+0.3%</f>
        <v>0.013</v>
      </c>
      <c r="O28" s="30">
        <f t="shared" si="15"/>
        <v>0.016</v>
      </c>
      <c r="P28" s="30">
        <f t="shared" si="15"/>
        <v>0.019</v>
      </c>
      <c r="Q28" s="30">
        <f t="shared" ref="Q28:Q35" si="16">P28+0.2%</f>
        <v>0.021</v>
      </c>
      <c r="R28" s="30">
        <f t="shared" ref="R28:R34" si="17">Q28+0.2%</f>
        <v>0.023</v>
      </c>
      <c r="S28" s="30">
        <f t="shared" ref="S28:X28" si="18">R28</f>
        <v>0.023</v>
      </c>
      <c r="T28" s="30">
        <f t="shared" si="18"/>
        <v>0.023</v>
      </c>
      <c r="U28" s="30">
        <f t="shared" si="18"/>
        <v>0.023</v>
      </c>
      <c r="V28" s="30">
        <f t="shared" si="18"/>
        <v>0.023</v>
      </c>
      <c r="W28" s="30">
        <f t="shared" si="18"/>
        <v>0.023</v>
      </c>
      <c r="X28" s="30">
        <f t="shared" si="18"/>
        <v>0.023</v>
      </c>
    </row>
    <row r="29" ht="14.75" spans="1:27">
      <c r="A29" s="18" t="s">
        <v>69</v>
      </c>
      <c r="B29" s="18" t="s">
        <v>196</v>
      </c>
      <c r="C29" s="19">
        <v>-0.03</v>
      </c>
      <c r="D29" s="18" t="s">
        <v>197</v>
      </c>
      <c r="E29" s="18" t="s">
        <v>66</v>
      </c>
      <c r="H29" s="22"/>
      <c r="I29" s="26">
        <v>45689</v>
      </c>
      <c r="J29" s="27">
        <v>1000</v>
      </c>
      <c r="K29" s="28">
        <v>5.7</v>
      </c>
      <c r="L29" s="29">
        <v>0</v>
      </c>
      <c r="M29" s="30">
        <v>0.02</v>
      </c>
      <c r="N29" s="30">
        <f t="shared" ref="N29:P29" si="19">M29+0.3%</f>
        <v>0.023</v>
      </c>
      <c r="O29" s="30">
        <f t="shared" si="19"/>
        <v>0.026</v>
      </c>
      <c r="P29" s="30">
        <f t="shared" si="19"/>
        <v>0.029</v>
      </c>
      <c r="Q29" s="30">
        <f t="shared" si="16"/>
        <v>0.031</v>
      </c>
      <c r="R29" s="30">
        <f t="shared" si="17"/>
        <v>0.033</v>
      </c>
      <c r="S29" s="30">
        <f t="shared" ref="S29:W29" si="20">R29</f>
        <v>0.033</v>
      </c>
      <c r="T29" s="30">
        <f t="shared" si="20"/>
        <v>0.033</v>
      </c>
      <c r="U29" s="30">
        <f t="shared" si="20"/>
        <v>0.033</v>
      </c>
      <c r="V29" s="30">
        <f t="shared" si="20"/>
        <v>0.033</v>
      </c>
      <c r="W29" s="30">
        <f t="shared" si="20"/>
        <v>0.033</v>
      </c>
      <c r="X29" s="32" cm="1">
        <f t="array" ref="X29">SUMPRODUCT(X26:X28,$J26:$J28)/SUMPRODUCT(W26:W28,$J26:$J28)*W29</f>
        <v>0.033</v>
      </c>
    </row>
    <row r="30" spans="1:27">
      <c r="A30" s="33" t="s">
        <v>326</v>
      </c>
      <c r="H30" s="22"/>
      <c r="I30" s="26">
        <v>45717</v>
      </c>
      <c r="J30" s="27">
        <v>1000</v>
      </c>
      <c r="K30" s="28">
        <v>5.7</v>
      </c>
      <c r="L30" s="29">
        <v>0</v>
      </c>
      <c r="M30" s="30">
        <v>0.04</v>
      </c>
      <c r="N30" s="30">
        <f t="shared" ref="N30:P30" si="21">M30+0.3%</f>
        <v>0.043</v>
      </c>
      <c r="O30" s="30">
        <f t="shared" si="21"/>
        <v>0.046</v>
      </c>
      <c r="P30" s="30">
        <f t="shared" si="21"/>
        <v>0.049</v>
      </c>
      <c r="Q30" s="30">
        <f t="shared" si="16"/>
        <v>0.051</v>
      </c>
      <c r="R30" s="30">
        <f t="shared" si="17"/>
        <v>0.053</v>
      </c>
      <c r="S30" s="30">
        <f t="shared" ref="S30:V30" si="22">R30</f>
        <v>0.053</v>
      </c>
      <c r="T30" s="30">
        <f t="shared" si="22"/>
        <v>0.053</v>
      </c>
      <c r="U30" s="30">
        <f t="shared" si="22"/>
        <v>0.053</v>
      </c>
      <c r="V30" s="30">
        <f t="shared" si="22"/>
        <v>0.053</v>
      </c>
      <c r="W30" s="32" cm="1">
        <f t="array" ref="W30">SUMPRODUCT(W27:W29,$J27:$J29)/SUMPRODUCT(V27:V29,$J27:$J29)*V30</f>
        <v>0.053</v>
      </c>
      <c r="X30" s="32" cm="1">
        <f t="array" ref="X30">SUMPRODUCT(X27:X29,$J27:$J29)/SUMPRODUCT(W27:W29,$J27:$J29)*W30</f>
        <v>0.053</v>
      </c>
    </row>
    <row r="31" ht="17.25" spans="1:27">
      <c r="A31" s="15" t="s">
        <v>327</v>
      </c>
      <c r="H31" s="22"/>
      <c r="I31" s="26">
        <v>45748</v>
      </c>
      <c r="J31" s="27">
        <v>1000</v>
      </c>
      <c r="K31" s="28">
        <v>5.7</v>
      </c>
      <c r="L31" s="29">
        <v>0</v>
      </c>
      <c r="M31" s="30">
        <v>0.05</v>
      </c>
      <c r="N31" s="30">
        <f t="shared" ref="N31:P31" si="23">M31+0.3%</f>
        <v>0.053</v>
      </c>
      <c r="O31" s="30">
        <f t="shared" si="23"/>
        <v>0.056</v>
      </c>
      <c r="P31" s="30">
        <f t="shared" si="23"/>
        <v>0.059</v>
      </c>
      <c r="Q31" s="30">
        <f t="shared" si="16"/>
        <v>0.061</v>
      </c>
      <c r="R31" s="30">
        <f t="shared" si="17"/>
        <v>0.063</v>
      </c>
      <c r="S31" s="30">
        <f t="shared" ref="S31:U31" si="24">R31</f>
        <v>0.063</v>
      </c>
      <c r="T31" s="30">
        <f t="shared" si="24"/>
        <v>0.063</v>
      </c>
      <c r="U31" s="30">
        <f t="shared" si="24"/>
        <v>0.063</v>
      </c>
      <c r="V31" s="32" cm="1">
        <f t="array" ref="V31">SUMPRODUCT(V28:V30,$J28:$J30)/SUMPRODUCT(U28:U30,$J28:$J30)*U31</f>
        <v>0.063</v>
      </c>
      <c r="W31" s="32" cm="1">
        <f t="array" ref="W31">SUMPRODUCT(W28:W30,$J28:$J30)/SUMPRODUCT(V28:V30,$J28:$J30)*V31</f>
        <v>0.063</v>
      </c>
      <c r="X31" s="32" cm="1">
        <f t="array" ref="X31">SUMPRODUCT(X28:X30,$J28:$J30)/SUMPRODUCT(W28:W30,$J28:$J30)*W31</f>
        <v>0.063</v>
      </c>
    </row>
    <row r="32" ht="14.75" spans="1:27">
      <c r="A32" s="16" t="s">
        <v>170</v>
      </c>
      <c r="B32" s="16" t="s">
        <v>200</v>
      </c>
      <c r="C32" s="16" t="s">
        <v>201</v>
      </c>
      <c r="D32" s="16" t="s">
        <v>202</v>
      </c>
      <c r="E32" s="16" t="s">
        <v>203</v>
      </c>
      <c r="H32" s="22"/>
      <c r="I32" s="26">
        <v>45778</v>
      </c>
      <c r="J32" s="27">
        <v>1000</v>
      </c>
      <c r="K32" s="28">
        <v>5.7</v>
      </c>
      <c r="L32" s="29">
        <v>0</v>
      </c>
      <c r="M32" s="30">
        <v>0.047</v>
      </c>
      <c r="N32" s="30">
        <f t="shared" ref="N32:P32" si="25">M32+0.3%</f>
        <v>0.05</v>
      </c>
      <c r="O32" s="30">
        <f t="shared" si="25"/>
        <v>0.053</v>
      </c>
      <c r="P32" s="30">
        <f t="shared" si="25"/>
        <v>0.056</v>
      </c>
      <c r="Q32" s="30">
        <f t="shared" si="16"/>
        <v>0.058</v>
      </c>
      <c r="R32" s="30">
        <f t="shared" si="17"/>
        <v>0.06</v>
      </c>
      <c r="S32" s="30">
        <f>R32</f>
        <v>0.06</v>
      </c>
      <c r="T32" s="30">
        <f>S32</f>
        <v>0.06</v>
      </c>
      <c r="U32" s="32" cm="1">
        <f t="array" ref="U32">SUMPRODUCT(U29:U31,$J29:$J31)/SUMPRODUCT(T29:T31,$J29:$J31)*T32</f>
        <v>0.06</v>
      </c>
      <c r="V32" s="32" cm="1">
        <f t="array" ref="V32">SUMPRODUCT(V29:V31,$J29:$J31)/SUMPRODUCT(U29:U31,$J29:$J31)*U32</f>
        <v>0.06</v>
      </c>
      <c r="W32" s="32" cm="1">
        <f t="array" ref="W32">SUMPRODUCT(W29:W31,$J29:$J31)/SUMPRODUCT(V29:V31,$J29:$J31)*V32</f>
        <v>0.06</v>
      </c>
      <c r="X32" s="32" cm="1">
        <f t="array" ref="X32">SUMPRODUCT(X29:X31,$J29:$J31)/SUMPRODUCT(W29:W31,$J29:$J31)*W32</f>
        <v>0.06</v>
      </c>
    </row>
    <row r="33" ht="14.75" spans="1:27">
      <c r="A33" s="17" t="s">
        <v>25</v>
      </c>
      <c r="B33" s="17" t="s">
        <v>204</v>
      </c>
      <c r="C33" s="17" t="s">
        <v>205</v>
      </c>
      <c r="D33" s="17" t="s">
        <v>206</v>
      </c>
      <c r="E33" s="17" t="s">
        <v>207</v>
      </c>
      <c r="H33" s="22"/>
      <c r="I33" s="26">
        <v>45809</v>
      </c>
      <c r="J33" s="27">
        <v>1000</v>
      </c>
      <c r="K33" s="28">
        <v>5.7</v>
      </c>
      <c r="L33" s="29">
        <v>0</v>
      </c>
      <c r="M33" s="30">
        <v>0.045</v>
      </c>
      <c r="N33" s="30">
        <f t="shared" ref="N33:P33" si="26">M33+0.3%</f>
        <v>0.048</v>
      </c>
      <c r="O33" s="30">
        <f t="shared" si="26"/>
        <v>0.051</v>
      </c>
      <c r="P33" s="30">
        <f t="shared" si="26"/>
        <v>0.054</v>
      </c>
      <c r="Q33" s="30">
        <f t="shared" si="16"/>
        <v>0.056</v>
      </c>
      <c r="R33" s="30">
        <f t="shared" si="17"/>
        <v>0.058</v>
      </c>
      <c r="S33" s="30">
        <f>R33</f>
        <v>0.058</v>
      </c>
      <c r="T33" s="32" cm="1">
        <f t="array" ref="T33">SUMPRODUCT(T30:T32,$J30:$J32)/SUMPRODUCT(S30:S32,$J30:$J32)*S33</f>
        <v>0.058</v>
      </c>
      <c r="U33" s="32" cm="1">
        <f t="array" ref="U33">SUMPRODUCT(U30:U32,$J30:$J32)/SUMPRODUCT(T30:T32,$J30:$J32)*T33</f>
        <v>0.058</v>
      </c>
      <c r="V33" s="32" cm="1">
        <f t="array" ref="V33">SUMPRODUCT(V30:V32,$J30:$J32)/SUMPRODUCT(U30:U32,$J30:$J32)*U33</f>
        <v>0.058</v>
      </c>
      <c r="W33" s="32" cm="1">
        <f t="array" ref="W33">SUMPRODUCT(W30:W32,$J30:$J32)/SUMPRODUCT(V30:V32,$J30:$J32)*V33</f>
        <v>0.058</v>
      </c>
      <c r="X33" s="32" cm="1">
        <f t="array" ref="X33">SUMPRODUCT(X30:X32,$J30:$J32)/SUMPRODUCT(W30:W32,$J30:$J32)*W33</f>
        <v>0.058</v>
      </c>
    </row>
    <row r="34" spans="1:27">
      <c r="H34" s="22"/>
      <c r="I34" s="26">
        <v>45839</v>
      </c>
      <c r="J34" s="27">
        <v>1000</v>
      </c>
      <c r="K34" s="28">
        <v>5.7</v>
      </c>
      <c r="L34" s="29">
        <v>0</v>
      </c>
      <c r="M34" s="30">
        <v>0.043</v>
      </c>
      <c r="N34" s="30">
        <f t="shared" ref="N34:P34" si="27">M34+0.3%</f>
        <v>0.046</v>
      </c>
      <c r="O34" s="30">
        <f t="shared" si="27"/>
        <v>0.049</v>
      </c>
      <c r="P34" s="30">
        <f t="shared" si="27"/>
        <v>0.052</v>
      </c>
      <c r="Q34" s="30">
        <f t="shared" si="16"/>
        <v>0.054</v>
      </c>
      <c r="R34" s="30">
        <f t="shared" si="17"/>
        <v>0.056</v>
      </c>
      <c r="S34" s="32" cm="1">
        <f t="array" ref="S34">SUMPRODUCT(S31:S33,$J31:$J33)/SUMPRODUCT(R31:R33,$J31:$J33)*R34</f>
        <v>0.056</v>
      </c>
      <c r="T34" s="32" cm="1">
        <f t="array" ref="T34">SUMPRODUCT(T31:T33,$J31:$J33)/SUMPRODUCT(S31:S33,$J31:$J33)*S34</f>
        <v>0.056</v>
      </c>
      <c r="U34" s="32" cm="1">
        <f t="array" ref="U34">SUMPRODUCT(U31:U33,$J31:$J33)/SUMPRODUCT(T31:T33,$J31:$J33)*T34</f>
        <v>0.056</v>
      </c>
      <c r="V34" s="32" cm="1">
        <f t="array" ref="V34">SUMPRODUCT(V31:V33,$J31:$J33)/SUMPRODUCT(U31:U33,$J31:$J33)*U34</f>
        <v>0.056</v>
      </c>
      <c r="W34" s="32" cm="1">
        <f t="array" ref="W34">SUMPRODUCT(W31:W33,$J31:$J33)/SUMPRODUCT(V31:V33,$J31:$J33)*V34</f>
        <v>0.056</v>
      </c>
      <c r="X34" s="32" cm="1">
        <f t="array" ref="X34">SUMPRODUCT(X31:X33,$J31:$J33)/SUMPRODUCT(W31:W33,$J31:$J33)*W34</f>
        <v>0.056</v>
      </c>
    </row>
    <row r="35" spans="1:27">
      <c r="H35" s="22"/>
      <c r="I35" s="26">
        <v>45870</v>
      </c>
      <c r="J35" s="27">
        <v>1000</v>
      </c>
      <c r="K35" s="28">
        <v>5.7</v>
      </c>
      <c r="L35" s="29">
        <v>0</v>
      </c>
      <c r="M35" s="30">
        <v>0.04</v>
      </c>
      <c r="N35" s="30">
        <f t="shared" ref="N35:P35" si="28">M35+0.3%</f>
        <v>0.043</v>
      </c>
      <c r="O35" s="30">
        <f t="shared" si="28"/>
        <v>0.046</v>
      </c>
      <c r="P35" s="30">
        <f t="shared" si="28"/>
        <v>0.049</v>
      </c>
      <c r="Q35" s="30">
        <f t="shared" si="16"/>
        <v>0.051</v>
      </c>
      <c r="R35" s="32" cm="1">
        <f t="array" ref="R35">SUMPRODUCT(R32:R34,$J32:$J34)/SUMPRODUCT(Q32:Q34,$J32:$J34)*Q35</f>
        <v>0.0528214285714286</v>
      </c>
      <c r="S35" s="32" cm="1">
        <f t="array" ref="S35">SUMPRODUCT(S32:S34,$J32:$J34)/SUMPRODUCT(R32:R34,$J32:$J34)*R35</f>
        <v>0.0528214285714286</v>
      </c>
      <c r="T35" s="32" cm="1">
        <f t="array" ref="T35">SUMPRODUCT(T32:T34,$J32:$J34)/SUMPRODUCT(S32:S34,$J32:$J34)*S35</f>
        <v>0.0528214285714286</v>
      </c>
      <c r="U35" s="32" cm="1">
        <f t="array" ref="U35">SUMPRODUCT(U32:U34,$J32:$J34)/SUMPRODUCT(T32:T34,$J32:$J34)*T35</f>
        <v>0.0528214285714286</v>
      </c>
      <c r="V35" s="32" cm="1">
        <f t="array" ref="V35">SUMPRODUCT(V32:V34,$J32:$J34)/SUMPRODUCT(U32:U34,$J32:$J34)*U35</f>
        <v>0.0528214285714286</v>
      </c>
      <c r="W35" s="32" cm="1">
        <f t="array" ref="W35">SUMPRODUCT(W32:W34,$J32:$J34)/SUMPRODUCT(V32:V34,$J32:$J34)*V35</f>
        <v>0.0528214285714286</v>
      </c>
      <c r="X35" s="32" cm="1">
        <f t="array" ref="X35">SUMPRODUCT(X32:X34,$J32:$J34)/SUMPRODUCT(W32:W34,$J32:$J34)*W35</f>
        <v>0.0528214285714286</v>
      </c>
    </row>
    <row r="36" spans="1:27">
      <c r="H36" s="22"/>
      <c r="I36" s="26">
        <v>45901</v>
      </c>
      <c r="J36" s="27">
        <v>1000</v>
      </c>
      <c r="K36" s="28">
        <v>5.7</v>
      </c>
      <c r="L36" s="29">
        <v>0</v>
      </c>
      <c r="M36" s="30">
        <v>0.038</v>
      </c>
      <c r="N36" s="30">
        <f t="shared" ref="N36:P36" si="29">M36+0.3%</f>
        <v>0.041</v>
      </c>
      <c r="O36" s="30">
        <f t="shared" si="29"/>
        <v>0.044</v>
      </c>
      <c r="P36" s="30">
        <f t="shared" si="29"/>
        <v>0.047</v>
      </c>
      <c r="Q36" s="32" cm="1">
        <f t="array" ref="Q36">SUMPRODUCT(Q33:Q35,$J33:$J35)/SUMPRODUCT(P33:P35,$J33:$J35)*P36</f>
        <v>0.0488193548387097</v>
      </c>
      <c r="R36" s="32" cm="1">
        <f t="array" ref="R36">SUMPRODUCT(R33:R35,$J33:$J35)/SUMPRODUCT(Q33:Q35,$J33:$J35)*Q36</f>
        <v>0.0505845622119816</v>
      </c>
      <c r="S36" s="32" cm="1">
        <f t="array" ref="S36">SUMPRODUCT(S33:S35,$J33:$J35)/SUMPRODUCT(R33:R35,$J33:$J35)*R36</f>
        <v>0.0505845622119816</v>
      </c>
      <c r="T36" s="32" cm="1">
        <f t="array" ref="T36">SUMPRODUCT(T33:T35,$J33:$J35)/SUMPRODUCT(S33:S35,$J33:$J35)*S36</f>
        <v>0.0505845622119816</v>
      </c>
      <c r="U36" s="32" cm="1">
        <f t="array" ref="U36">SUMPRODUCT(U33:U35,$J33:$J35)/SUMPRODUCT(T33:T35,$J33:$J35)*T36</f>
        <v>0.0505845622119816</v>
      </c>
      <c r="V36" s="32" cm="1">
        <f t="array" ref="V36">SUMPRODUCT(V33:V35,$J33:$J35)/SUMPRODUCT(U33:U35,$J33:$J35)*U36</f>
        <v>0.0505845622119816</v>
      </c>
      <c r="W36" s="32" cm="1">
        <f t="array" ref="W36">SUMPRODUCT(W33:W35,$J33:$J35)/SUMPRODUCT(V33:V35,$J33:$J35)*V36</f>
        <v>0.0505845622119816</v>
      </c>
      <c r="X36" s="32" cm="1">
        <f t="array" ref="X36">SUMPRODUCT(X33:X35,$J33:$J35)/SUMPRODUCT(W33:W35,$J33:$J35)*W36</f>
        <v>0.0505845622119816</v>
      </c>
    </row>
    <row r="37" spans="1:27">
      <c r="H37" s="22"/>
      <c r="I37" s="26">
        <v>45931</v>
      </c>
      <c r="J37" s="27">
        <v>1000</v>
      </c>
      <c r="K37" s="28">
        <v>5.7</v>
      </c>
      <c r="L37" s="29">
        <v>0</v>
      </c>
      <c r="M37" s="30">
        <v>0.0377</v>
      </c>
      <c r="N37" s="30">
        <f>M37+0.3%</f>
        <v>0.0407</v>
      </c>
      <c r="O37" s="30">
        <f>N37+0.3%</f>
        <v>0.0437</v>
      </c>
      <c r="P37" s="32" cm="1">
        <f t="array" ref="P37">SUMPRODUCT(P34:P36,$J34:$J36)/SUMPRODUCT(O34:O36,$J34:$J36)*O37</f>
        <v>0.0465294964028777</v>
      </c>
      <c r="Q37" s="32" cm="1">
        <f t="array" ref="Q37">SUMPRODUCT(Q34:Q36,$J34:$J36)/SUMPRODUCT(P34:P36,$J34:$J36)*P37</f>
        <v>0.0483590345787886</v>
      </c>
      <c r="R37" s="32" cm="1">
        <f t="array" ref="R37">SUMPRODUCT(R34:R36,$J34:$J36)/SUMPRODUCT(Q34:Q36,$J34:$J36)*Q37</f>
        <v>0.0501154086132016</v>
      </c>
      <c r="S37" s="32" cm="1">
        <f t="array" ref="S37">SUMPRODUCT(S34:S36,$J34:$J36)/SUMPRODUCT(R34:R36,$J34:$J36)*R37</f>
        <v>0.0501154086132016</v>
      </c>
      <c r="T37" s="32" cm="1">
        <f t="array" ref="T37">SUMPRODUCT(T34:T36,$J34:$J36)/SUMPRODUCT(S34:S36,$J34:$J36)*S37</f>
        <v>0.0501154086132016</v>
      </c>
      <c r="U37" s="32" cm="1">
        <f t="array" ref="U37">SUMPRODUCT(U34:U36,$J34:$J36)/SUMPRODUCT(T34:T36,$J34:$J36)*T37</f>
        <v>0.0501154086132016</v>
      </c>
      <c r="V37" s="32" cm="1">
        <f t="array" ref="V37">SUMPRODUCT(V34:V36,$J34:$J36)/SUMPRODUCT(U34:U36,$J34:$J36)*U37</f>
        <v>0.0501154086132016</v>
      </c>
      <c r="W37" s="32" cm="1">
        <f t="array" ref="W37">SUMPRODUCT(W34:W36,$J34:$J36)/SUMPRODUCT(V34:V36,$J34:$J36)*V37</f>
        <v>0.0501154086132016</v>
      </c>
      <c r="X37" s="32" cm="1">
        <f t="array" ref="X37">SUMPRODUCT(X34:X36,$J34:$J36)/SUMPRODUCT(W34:W36,$J34:$J36)*W37</f>
        <v>0.0501154086132016</v>
      </c>
    </row>
    <row r="38" spans="1:27">
      <c r="H38" s="22"/>
      <c r="I38" s="26">
        <v>45962</v>
      </c>
      <c r="J38" s="27">
        <v>1000</v>
      </c>
      <c r="K38" s="28">
        <v>5.7</v>
      </c>
      <c r="L38" s="29">
        <v>0</v>
      </c>
      <c r="M38" s="30">
        <v>0.037</v>
      </c>
      <c r="N38" s="30">
        <f>M38+0.3%</f>
        <v>0.04</v>
      </c>
      <c r="O38" s="32" cm="1">
        <f t="array" ref="O38">SUMPRODUCT(O35:O37,$J35:$J37)/SUMPRODUCT(N35:N37,$J35:$J37)*N38</f>
        <v>0.0428869286287089</v>
      </c>
      <c r="P38" s="32" cm="1">
        <f t="array" ref="P38">SUMPRODUCT(P35:P37,$J35:$J37)/SUMPRODUCT(O35:O37,$J35:$J37)*O38</f>
        <v>0.0457191648445478</v>
      </c>
      <c r="Q38" s="32" cm="1">
        <f t="array" ref="Q38">SUMPRODUCT(Q35:Q37,$J35:$J37)/SUMPRODUCT(P35:P37,$J35:$J37)*P38</f>
        <v>0.0475311593961502</v>
      </c>
      <c r="R38" s="32" cm="1">
        <f t="array" ref="R38">SUMPRODUCT(R35:R37,$J35:$J37)/SUMPRODUCT(Q35:Q37,$J35:$J37)*Q38</f>
        <v>0.0492450358930591</v>
      </c>
      <c r="S38" s="32" cm="1">
        <f t="array" ref="S38">SUMPRODUCT(S35:S37,$J35:$J37)/SUMPRODUCT(R35:R37,$J35:$J37)*R38</f>
        <v>0.0492450358930591</v>
      </c>
      <c r="T38" s="32" cm="1">
        <f t="array" ref="T38">SUMPRODUCT(T35:T37,$J35:$J37)/SUMPRODUCT(S35:S37,$J35:$J37)*S38</f>
        <v>0.0492450358930591</v>
      </c>
      <c r="U38" s="32" cm="1">
        <f t="array" ref="U38">SUMPRODUCT(U35:U37,$J35:$J37)/SUMPRODUCT(T35:T37,$J35:$J37)*T38</f>
        <v>0.0492450358930591</v>
      </c>
      <c r="V38" s="32" cm="1">
        <f t="array" ref="V38">SUMPRODUCT(V35:V37,$J35:$J37)/SUMPRODUCT(U35:U37,$J35:$J37)*U38</f>
        <v>0.0492450358930591</v>
      </c>
      <c r="W38" s="32" cm="1">
        <f t="array" ref="W38">SUMPRODUCT(W35:W37,$J35:$J37)/SUMPRODUCT(V35:V37,$J35:$J37)*V38</f>
        <v>0.0492450358930591</v>
      </c>
      <c r="X38" s="32" cm="1">
        <f t="array" ref="X38">SUMPRODUCT(X35:X37,$J35:$J37)/SUMPRODUCT(W35:W37,$J35:$J37)*W38</f>
        <v>0.0492450358930591</v>
      </c>
    </row>
    <row r="39" spans="1:27">
      <c r="H39" s="22"/>
      <c r="I39" s="26">
        <v>45992</v>
      </c>
      <c r="J39" s="27">
        <v>1000</v>
      </c>
      <c r="K39" s="28">
        <v>5.7</v>
      </c>
      <c r="L39" s="29">
        <v>0</v>
      </c>
      <c r="M39" s="30">
        <v>0.0382</v>
      </c>
      <c r="N39" s="32" cm="1">
        <f t="array" ref="N39">SUMPRODUCT(N36:N38,$J36:$J38)/SUMPRODUCT(M36:M38,$J36:$J38)*M39</f>
        <v>0.0412505767524401</v>
      </c>
      <c r="O39" s="32" cm="1">
        <f t="array" ref="O39">SUMPRODUCT(O36:O38,$J36:$J38)/SUMPRODUCT(N36:N38,$J36:$J38)*N39</f>
        <v>0.0442628276274772</v>
      </c>
      <c r="P39" s="32" cm="1">
        <f t="array" ref="P39">SUMPRODUCT(P36:P38,$J36:$J38)/SUMPRODUCT(O36:O38,$J36:$J38)*O39</f>
        <v>0.0471987476455338</v>
      </c>
      <c r="Q39" s="32" cm="1">
        <f t="array" ref="Q39">SUMPRODUCT(Q36:Q38,$J36:$J38)/SUMPRODUCT(P36:P38,$J36:$J38)*P39</f>
        <v>0.049049731718557</v>
      </c>
      <c r="R39" s="32" cm="1">
        <f t="array" ref="R39">SUMPRODUCT(R36:R38,$J36:$J38)/SUMPRODUCT(Q36:Q38,$J36:$J38)*Q39</f>
        <v>0.0508243057376829</v>
      </c>
      <c r="S39" s="32" cm="1">
        <f t="array" ref="S39">SUMPRODUCT(S36:S38,$J36:$J38)/SUMPRODUCT(R36:R38,$J36:$J38)*R39</f>
        <v>0.0508243057376829</v>
      </c>
      <c r="T39" s="32" cm="1">
        <f t="array" ref="T39">SUMPRODUCT(T36:T38,$J36:$J38)/SUMPRODUCT(S36:S38,$J36:$J38)*S39</f>
        <v>0.0508243057376829</v>
      </c>
      <c r="U39" s="32" cm="1">
        <f t="array" ref="U39">SUMPRODUCT(U36:U38,$J36:$J38)/SUMPRODUCT(T36:T38,$J36:$J38)*T39</f>
        <v>0.0508243057376829</v>
      </c>
      <c r="V39" s="32" cm="1">
        <f t="array" ref="V39">SUMPRODUCT(V36:V38,$J36:$J38)/SUMPRODUCT(U36:U38,$J36:$J38)*U39</f>
        <v>0.0508243057376829</v>
      </c>
      <c r="W39" s="32" cm="1">
        <f t="array" ref="W39">SUMPRODUCT(W36:W38,$J36:$J38)/SUMPRODUCT(V36:V38,$J36:$J38)*V39</f>
        <v>0.0508243057376829</v>
      </c>
      <c r="X39" s="32" cm="1">
        <f t="array" ref="X39">SUMPRODUCT(X36:X38,$J36:$J38)/SUMPRODUCT(W36:W38,$J36:$J38)*W39</f>
        <v>0.0508243057376829</v>
      </c>
      <c r="Y39" s="22"/>
      <c r="Z39" s="22"/>
      <c r="AA39" s="22"/>
    </row>
    <row r="40" spans="1:27">
      <c r="H40" s="22"/>
      <c r="I40" s="22" t="s">
        <v>328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>
      <c r="H44" s="21" t="s">
        <v>329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34"/>
      <c r="Z44" s="34"/>
      <c r="AA44" s="22"/>
    </row>
    <row r="45" spans="1:27">
      <c r="H45" s="21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34" t="s">
        <v>330</v>
      </c>
      <c r="Z45" s="34"/>
      <c r="AA45" s="22"/>
    </row>
    <row r="46" ht="14.5" spans="1:27">
      <c r="H46" s="22"/>
      <c r="I46" s="25" t="s">
        <v>300</v>
      </c>
      <c r="J46" s="25" t="s">
        <v>301</v>
      </c>
      <c r="K46" s="25" t="s">
        <v>302</v>
      </c>
      <c r="L46" s="25" t="s">
        <v>303</v>
      </c>
      <c r="M46" s="25" t="s">
        <v>304</v>
      </c>
      <c r="N46" s="25" t="s">
        <v>305</v>
      </c>
      <c r="O46" s="25" t="s">
        <v>306</v>
      </c>
      <c r="P46" s="25" t="s">
        <v>307</v>
      </c>
      <c r="Q46" s="25" t="s">
        <v>308</v>
      </c>
      <c r="R46" s="25" t="s">
        <v>309</v>
      </c>
      <c r="S46" s="25" t="s">
        <v>310</v>
      </c>
      <c r="T46" s="25" t="s">
        <v>311</v>
      </c>
      <c r="U46" s="25" t="s">
        <v>312</v>
      </c>
      <c r="V46" s="25" t="s">
        <v>313</v>
      </c>
      <c r="W46" s="25" t="s">
        <v>314</v>
      </c>
      <c r="X46" s="25" t="s">
        <v>315</v>
      </c>
      <c r="Y46" s="35" t="s">
        <v>331</v>
      </c>
      <c r="Z46" s="35" t="s">
        <v>332</v>
      </c>
      <c r="AA46" s="35" t="s">
        <v>333</v>
      </c>
    </row>
    <row r="47" spans="1:27">
      <c r="H47" s="22"/>
      <c r="I47" s="26">
        <v>45658</v>
      </c>
      <c r="J47" s="27">
        <v>1000</v>
      </c>
      <c r="K47" s="28">
        <v>5.7</v>
      </c>
      <c r="L47" s="29">
        <v>0</v>
      </c>
      <c r="M47" s="30">
        <v>0.01</v>
      </c>
      <c r="N47" s="30">
        <f t="shared" ref="N47:P47" si="30">M47+0.3%</f>
        <v>0.013</v>
      </c>
      <c r="O47" s="30">
        <f t="shared" si="30"/>
        <v>0.016</v>
      </c>
      <c r="P47" s="30">
        <f t="shared" si="30"/>
        <v>0.019</v>
      </c>
      <c r="Q47" s="30">
        <f t="shared" ref="Q47:Q54" si="31">P47+0.2%</f>
        <v>0.021</v>
      </c>
      <c r="R47" s="30">
        <f t="shared" ref="R47:R53" si="32">Q47+0.2%</f>
        <v>0.023</v>
      </c>
      <c r="S47" s="30">
        <f t="shared" ref="S47:X47" si="33">R47</f>
        <v>0.023</v>
      </c>
      <c r="T47" s="30">
        <f t="shared" si="33"/>
        <v>0.023</v>
      </c>
      <c r="U47" s="30">
        <f t="shared" si="33"/>
        <v>0.023</v>
      </c>
      <c r="V47" s="30">
        <f t="shared" si="33"/>
        <v>0.023</v>
      </c>
      <c r="W47" s="30">
        <f t="shared" si="33"/>
        <v>0.023</v>
      </c>
      <c r="X47" s="30">
        <f t="shared" si="33"/>
        <v>0.023</v>
      </c>
      <c r="Y47" s="36">
        <f t="shared" ref="Y47:Y58" si="34">X47*24/(1+K47)</f>
        <v>0.0823880597014925</v>
      </c>
      <c r="Z47" s="36">
        <f>RATE(K47,(1+X47)/K47,-1)*12</f>
        <v>0.0819511561753635</v>
      </c>
      <c r="AA47" s="36">
        <f t="shared" ref="AA47:AA58" si="35">Z47-Y47</f>
        <v>-0.000436903526129004</v>
      </c>
    </row>
    <row r="48" spans="1:27">
      <c r="H48" s="22"/>
      <c r="I48" s="26">
        <v>45689</v>
      </c>
      <c r="J48" s="27">
        <v>1000</v>
      </c>
      <c r="K48" s="28">
        <v>5.7</v>
      </c>
      <c r="L48" s="29">
        <v>0</v>
      </c>
      <c r="M48" s="30">
        <v>0.02</v>
      </c>
      <c r="N48" s="30">
        <f t="shared" ref="N48:P48" si="36">M48+0.3%</f>
        <v>0.023</v>
      </c>
      <c r="O48" s="30">
        <f t="shared" si="36"/>
        <v>0.026</v>
      </c>
      <c r="P48" s="30">
        <f t="shared" si="36"/>
        <v>0.029</v>
      </c>
      <c r="Q48" s="30">
        <f t="shared" si="31"/>
        <v>0.031</v>
      </c>
      <c r="R48" s="30">
        <f t="shared" si="32"/>
        <v>0.033</v>
      </c>
      <c r="S48" s="30">
        <f t="shared" ref="S48:W48" si="37">R48</f>
        <v>0.033</v>
      </c>
      <c r="T48" s="30">
        <f t="shared" si="37"/>
        <v>0.033</v>
      </c>
      <c r="U48" s="30">
        <f t="shared" si="37"/>
        <v>0.033</v>
      </c>
      <c r="V48" s="30">
        <f t="shared" si="37"/>
        <v>0.033</v>
      </c>
      <c r="W48" s="30">
        <f t="shared" si="37"/>
        <v>0.033</v>
      </c>
      <c r="X48" s="32" cm="1">
        <f t="array" ref="X48">SUMPRODUCT(X45:X47,$J45:$J47)/SUMPRODUCT(W45:W47,$J45:$J47)*W48</f>
        <v>0.033</v>
      </c>
      <c r="Y48" s="36">
        <f t="shared" si="34"/>
        <v>0.118208955223881</v>
      </c>
      <c r="Z48" s="36">
        <f t="shared" ref="Z47:Z58" si="38">RATE(K48,(1+X48)/K48,-1)*12</f>
        <v>0.117314960555517</v>
      </c>
      <c r="AA48" s="36">
        <f t="shared" si="35"/>
        <v>-0.000893994668363499</v>
      </c>
    </row>
    <row r="49" spans="8:27">
      <c r="H49" s="22"/>
      <c r="I49" s="26">
        <v>45717</v>
      </c>
      <c r="J49" s="27">
        <v>1000</v>
      </c>
      <c r="K49" s="28">
        <v>5.7</v>
      </c>
      <c r="L49" s="29">
        <v>0</v>
      </c>
      <c r="M49" s="30">
        <v>0.04</v>
      </c>
      <c r="N49" s="30">
        <f t="shared" ref="N49:P49" si="39">M49+0.3%</f>
        <v>0.043</v>
      </c>
      <c r="O49" s="30">
        <f t="shared" si="39"/>
        <v>0.046</v>
      </c>
      <c r="P49" s="30">
        <f t="shared" si="39"/>
        <v>0.049</v>
      </c>
      <c r="Q49" s="30">
        <f t="shared" si="31"/>
        <v>0.051</v>
      </c>
      <c r="R49" s="30">
        <f t="shared" si="32"/>
        <v>0.053</v>
      </c>
      <c r="S49" s="30">
        <f t="shared" ref="S49:V49" si="40">R49</f>
        <v>0.053</v>
      </c>
      <c r="T49" s="30">
        <f t="shared" si="40"/>
        <v>0.053</v>
      </c>
      <c r="U49" s="30">
        <f t="shared" si="40"/>
        <v>0.053</v>
      </c>
      <c r="V49" s="30">
        <f t="shared" si="40"/>
        <v>0.053</v>
      </c>
      <c r="W49" s="32" cm="1">
        <f t="array" ref="W49">SUMPRODUCT(W46:W48,$J46:$J48)/SUMPRODUCT(V46:V48,$J46:$J48)*V49</f>
        <v>0.053</v>
      </c>
      <c r="X49" s="32" cm="1">
        <f t="array" ref="X49">SUMPRODUCT(X46:X48,$J46:$J48)/SUMPRODUCT(W46:W48,$J46:$J48)*W49</f>
        <v>0.053</v>
      </c>
      <c r="Y49" s="36">
        <f t="shared" si="34"/>
        <v>0.189850746268657</v>
      </c>
      <c r="Z49" s="36">
        <f t="shared" si="38"/>
        <v>0.187572129228246</v>
      </c>
      <c r="AA49" s="36">
        <f t="shared" si="35"/>
        <v>-0.00227861704041113</v>
      </c>
    </row>
    <row r="50" spans="8:27">
      <c r="H50" s="22"/>
      <c r="I50" s="26">
        <v>45748</v>
      </c>
      <c r="J50" s="27">
        <v>1000</v>
      </c>
      <c r="K50" s="28">
        <v>5.7</v>
      </c>
      <c r="L50" s="29">
        <v>0</v>
      </c>
      <c r="M50" s="30">
        <v>0.05</v>
      </c>
      <c r="N50" s="30">
        <f t="shared" ref="N50:P50" si="41">M50+0.3%</f>
        <v>0.053</v>
      </c>
      <c r="O50" s="30">
        <f t="shared" si="41"/>
        <v>0.056</v>
      </c>
      <c r="P50" s="30">
        <f t="shared" si="41"/>
        <v>0.059</v>
      </c>
      <c r="Q50" s="30">
        <f t="shared" si="31"/>
        <v>0.061</v>
      </c>
      <c r="R50" s="30">
        <f t="shared" si="32"/>
        <v>0.063</v>
      </c>
      <c r="S50" s="30">
        <f t="shared" ref="S50:U50" si="42">R50</f>
        <v>0.063</v>
      </c>
      <c r="T50" s="30">
        <f t="shared" si="42"/>
        <v>0.063</v>
      </c>
      <c r="U50" s="30">
        <f t="shared" si="42"/>
        <v>0.063</v>
      </c>
      <c r="V50" s="32" cm="1">
        <f t="array" ref="V50">SUMPRODUCT(V47:V49,$J47:$J49)/SUMPRODUCT(U47:U49,$J47:$J49)*U50</f>
        <v>0.063</v>
      </c>
      <c r="W50" s="32" cm="1">
        <f t="array" ref="W50">SUMPRODUCT(W47:W49,$J47:$J49)/SUMPRODUCT(V47:V49,$J47:$J49)*V50</f>
        <v>0.063</v>
      </c>
      <c r="X50" s="32" cm="1">
        <f t="array" ref="X50">SUMPRODUCT(X47:X49,$J47:$J49)/SUMPRODUCT(W47:W49,$J47:$J49)*W50</f>
        <v>0.063</v>
      </c>
      <c r="Y50" s="36">
        <f t="shared" si="34"/>
        <v>0.225671641791045</v>
      </c>
      <c r="Z50" s="36">
        <f t="shared" si="38"/>
        <v>0.222471011974215</v>
      </c>
      <c r="AA50" s="36">
        <f t="shared" si="35"/>
        <v>-0.0032006298168302</v>
      </c>
    </row>
    <row r="51" spans="8:27">
      <c r="H51" s="22"/>
      <c r="I51" s="26">
        <v>45778</v>
      </c>
      <c r="J51" s="27">
        <v>1000</v>
      </c>
      <c r="K51" s="28">
        <v>5.7</v>
      </c>
      <c r="L51" s="29">
        <v>0</v>
      </c>
      <c r="M51" s="30">
        <v>0.047</v>
      </c>
      <c r="N51" s="30">
        <f t="shared" ref="N51:P51" si="43">M51+0.3%</f>
        <v>0.05</v>
      </c>
      <c r="O51" s="30">
        <f t="shared" si="43"/>
        <v>0.053</v>
      </c>
      <c r="P51" s="30">
        <f t="shared" si="43"/>
        <v>0.056</v>
      </c>
      <c r="Q51" s="30">
        <f t="shared" si="31"/>
        <v>0.058</v>
      </c>
      <c r="R51" s="30">
        <f t="shared" si="32"/>
        <v>0.06</v>
      </c>
      <c r="S51" s="30">
        <f>R51</f>
        <v>0.06</v>
      </c>
      <c r="T51" s="30">
        <f>S51</f>
        <v>0.06</v>
      </c>
      <c r="U51" s="32" cm="1">
        <f t="array" ref="U51">SUMPRODUCT(U48:U50,$J48:$J50)/SUMPRODUCT(T48:T50,$J48:$J50)*T51</f>
        <v>0.06</v>
      </c>
      <c r="V51" s="32" cm="1">
        <f t="array" ref="V51">SUMPRODUCT(V48:V50,$J48:$J50)/SUMPRODUCT(U48:U50,$J48:$J50)*U51</f>
        <v>0.06</v>
      </c>
      <c r="W51" s="32" cm="1">
        <f t="array" ref="W51">SUMPRODUCT(W48:W50,$J48:$J50)/SUMPRODUCT(V48:V50,$J48:$J50)*V51</f>
        <v>0.06</v>
      </c>
      <c r="X51" s="32" cm="1">
        <f t="array" ref="X51">SUMPRODUCT(X48:X50,$J48:$J50)/SUMPRODUCT(W48:W50,$J48:$J50)*W51</f>
        <v>0.06</v>
      </c>
      <c r="Y51" s="36">
        <f t="shared" si="34"/>
        <v>0.214925373134328</v>
      </c>
      <c r="Z51" s="36">
        <f t="shared" si="38"/>
        <v>0.212017171854693</v>
      </c>
      <c r="AA51" s="36">
        <f t="shared" si="35"/>
        <v>-0.00290820127963526</v>
      </c>
    </row>
    <row r="52" spans="8:27">
      <c r="H52" s="22"/>
      <c r="I52" s="26">
        <v>45809</v>
      </c>
      <c r="J52" s="27">
        <v>1000</v>
      </c>
      <c r="K52" s="28">
        <v>5.7</v>
      </c>
      <c r="L52" s="29">
        <v>0</v>
      </c>
      <c r="M52" s="30">
        <v>0.045</v>
      </c>
      <c r="N52" s="30">
        <f t="shared" ref="N52:P52" si="44">M52+0.3%</f>
        <v>0.048</v>
      </c>
      <c r="O52" s="30">
        <f t="shared" si="44"/>
        <v>0.051</v>
      </c>
      <c r="P52" s="30">
        <f t="shared" si="44"/>
        <v>0.054</v>
      </c>
      <c r="Q52" s="30">
        <f t="shared" si="31"/>
        <v>0.056</v>
      </c>
      <c r="R52" s="30">
        <f t="shared" si="32"/>
        <v>0.058</v>
      </c>
      <c r="S52" s="30">
        <f>R52</f>
        <v>0.058</v>
      </c>
      <c r="T52" s="32" cm="1">
        <f t="array" ref="T52">SUMPRODUCT(T49:T51,$J49:$J51)/SUMPRODUCT(S49:S51,$J49:$J51)*S52</f>
        <v>0.058</v>
      </c>
      <c r="U52" s="32" cm="1">
        <f t="array" ref="U52">SUMPRODUCT(U49:U51,$J49:$J51)/SUMPRODUCT(T49:T51,$J49:$J51)*T52</f>
        <v>0.058</v>
      </c>
      <c r="V52" s="32" cm="1">
        <f t="array" ref="V52">SUMPRODUCT(V49:V51,$J49:$J51)/SUMPRODUCT(U49:U51,$J49:$J51)*U52</f>
        <v>0.058</v>
      </c>
      <c r="W52" s="32" cm="1">
        <f t="array" ref="W52">SUMPRODUCT(W49:W51,$J49:$J51)/SUMPRODUCT(V49:V51,$J49:$J51)*V52</f>
        <v>0.058</v>
      </c>
      <c r="X52" s="32" cm="1">
        <f t="array" ref="X52">SUMPRODUCT(X49:X51,$J49:$J51)/SUMPRODUCT(W49:W51,$J49:$J51)*W52</f>
        <v>0.058</v>
      </c>
      <c r="Y52" s="36">
        <f t="shared" si="34"/>
        <v>0.207761194029851</v>
      </c>
      <c r="Z52" s="36">
        <f t="shared" si="38"/>
        <v>0.205040431601049</v>
      </c>
      <c r="AA52" s="36">
        <f t="shared" si="35"/>
        <v>-0.00272076242880206</v>
      </c>
    </row>
    <row r="53" spans="8:27">
      <c r="H53" s="22"/>
      <c r="I53" s="26">
        <v>45839</v>
      </c>
      <c r="J53" s="27">
        <v>1000</v>
      </c>
      <c r="K53" s="28">
        <v>5.7</v>
      </c>
      <c r="L53" s="29">
        <v>0</v>
      </c>
      <c r="M53" s="30">
        <v>0.043</v>
      </c>
      <c r="N53" s="30">
        <f t="shared" ref="N53:P53" si="45">M53+0.3%</f>
        <v>0.046</v>
      </c>
      <c r="O53" s="30">
        <f t="shared" si="45"/>
        <v>0.049</v>
      </c>
      <c r="P53" s="30">
        <f t="shared" si="45"/>
        <v>0.052</v>
      </c>
      <c r="Q53" s="30">
        <f t="shared" si="31"/>
        <v>0.054</v>
      </c>
      <c r="R53" s="30">
        <f t="shared" si="32"/>
        <v>0.056</v>
      </c>
      <c r="S53" s="32" cm="1">
        <f t="array" ref="S53">SUMPRODUCT(S50:S52,$J50:$J52)/SUMPRODUCT(R50:R52,$J50:$J52)*R53</f>
        <v>0.056</v>
      </c>
      <c r="T53" s="32" cm="1">
        <f t="array" ref="T53">SUMPRODUCT(T50:T52,$J50:$J52)/SUMPRODUCT(S50:S52,$J50:$J52)*S53</f>
        <v>0.056</v>
      </c>
      <c r="U53" s="32" cm="1">
        <f t="array" ref="U53">SUMPRODUCT(U50:U52,$J50:$J52)/SUMPRODUCT(T50:T52,$J50:$J52)*T53</f>
        <v>0.056</v>
      </c>
      <c r="V53" s="32" cm="1">
        <f t="array" ref="V53">SUMPRODUCT(V50:V52,$J50:$J52)/SUMPRODUCT(U50:U52,$J50:$J52)*U53</f>
        <v>0.056</v>
      </c>
      <c r="W53" s="32" cm="1">
        <f t="array" ref="W53">SUMPRODUCT(W50:W52,$J50:$J52)/SUMPRODUCT(V50:V52,$J50:$J52)*V53</f>
        <v>0.056</v>
      </c>
      <c r="X53" s="32" cm="1">
        <f t="array" ref="X53">SUMPRODUCT(X50:X52,$J50:$J52)/SUMPRODUCT(W50:W52,$J50:$J52)*W53</f>
        <v>0.056</v>
      </c>
      <c r="Y53" s="36">
        <f t="shared" si="34"/>
        <v>0.200597014925373</v>
      </c>
      <c r="Z53" s="36">
        <f t="shared" si="38"/>
        <v>0.198057655876142</v>
      </c>
      <c r="AA53" s="36">
        <f t="shared" si="35"/>
        <v>-0.00253935904923122</v>
      </c>
    </row>
    <row r="54" spans="8:27">
      <c r="H54" s="22"/>
      <c r="I54" s="26">
        <v>45870</v>
      </c>
      <c r="J54" s="27">
        <v>1000</v>
      </c>
      <c r="K54" s="28">
        <v>5.7</v>
      </c>
      <c r="L54" s="29">
        <v>0</v>
      </c>
      <c r="M54" s="30">
        <v>0.04</v>
      </c>
      <c r="N54" s="30">
        <f t="shared" ref="N54:P54" si="46">M54+0.3%</f>
        <v>0.043</v>
      </c>
      <c r="O54" s="30">
        <f t="shared" si="46"/>
        <v>0.046</v>
      </c>
      <c r="P54" s="30">
        <f t="shared" si="46"/>
        <v>0.049</v>
      </c>
      <c r="Q54" s="30">
        <f t="shared" si="31"/>
        <v>0.051</v>
      </c>
      <c r="R54" s="32" cm="1">
        <f t="array" ref="R54">SUMPRODUCT(R51:R53,$J51:$J53)/SUMPRODUCT(Q51:Q53,$J51:$J53)*Q54</f>
        <v>0.0528214285714286</v>
      </c>
      <c r="S54" s="32" cm="1">
        <f t="array" ref="S54">SUMPRODUCT(S51:S53,$J51:$J53)/SUMPRODUCT(R51:R53,$J51:$J53)*R54</f>
        <v>0.0528214285714286</v>
      </c>
      <c r="T54" s="32" cm="1">
        <f t="array" ref="T54">SUMPRODUCT(T51:T53,$J51:$J53)/SUMPRODUCT(S51:S53,$J51:$J53)*S54</f>
        <v>0.0528214285714286</v>
      </c>
      <c r="U54" s="32" cm="1">
        <f t="array" ref="U54">SUMPRODUCT(U51:U53,$J51:$J53)/SUMPRODUCT(T51:T53,$J51:$J53)*T54</f>
        <v>0.0528214285714286</v>
      </c>
      <c r="V54" s="32" cm="1">
        <f t="array" ref="V54">SUMPRODUCT(V51:V53,$J51:$J53)/SUMPRODUCT(U51:U53,$J51:$J53)*U54</f>
        <v>0.0528214285714286</v>
      </c>
      <c r="W54" s="32" cm="1">
        <f t="array" ref="W54">SUMPRODUCT(W51:W53,$J51:$J53)/SUMPRODUCT(V51:V53,$J51:$J53)*V54</f>
        <v>0.0528214285714286</v>
      </c>
      <c r="X54" s="32" cm="1">
        <f t="array" ref="X54">SUMPRODUCT(X51:X53,$J51:$J53)/SUMPRODUCT(W51:W53,$J51:$J53)*W54</f>
        <v>0.0528214285714286</v>
      </c>
      <c r="Y54" s="36">
        <f t="shared" si="34"/>
        <v>0.189211087420043</v>
      </c>
      <c r="Z54" s="36">
        <f t="shared" si="38"/>
        <v>0.186947559448206</v>
      </c>
      <c r="AA54" s="36">
        <f t="shared" si="35"/>
        <v>-0.00226352797183696</v>
      </c>
    </row>
    <row r="55" spans="8:27">
      <c r="H55" s="22"/>
      <c r="I55" s="26">
        <v>45901</v>
      </c>
      <c r="J55" s="27">
        <v>1000</v>
      </c>
      <c r="K55" s="28">
        <v>5.7</v>
      </c>
      <c r="L55" s="29">
        <v>0</v>
      </c>
      <c r="M55" s="30">
        <v>0.038</v>
      </c>
      <c r="N55" s="30">
        <f t="shared" ref="N55:P55" si="47">M55+0.3%</f>
        <v>0.041</v>
      </c>
      <c r="O55" s="30">
        <f t="shared" si="47"/>
        <v>0.044</v>
      </c>
      <c r="P55" s="30">
        <f t="shared" si="47"/>
        <v>0.047</v>
      </c>
      <c r="Q55" s="32" cm="1">
        <f t="array" ref="Q55">SUMPRODUCT(Q52:Q54,$J52:$J54)/SUMPRODUCT(P52:P54,$J52:$J54)*P55</f>
        <v>0.0488193548387097</v>
      </c>
      <c r="R55" s="32" cm="1">
        <f t="array" ref="R55">SUMPRODUCT(R52:R54,$J52:$J54)/SUMPRODUCT(Q52:Q54,$J52:$J54)*Q55</f>
        <v>0.0505845622119816</v>
      </c>
      <c r="S55" s="32" cm="1">
        <f t="array" ref="S55">SUMPRODUCT(S52:S54,$J52:$J54)/SUMPRODUCT(R52:R54,$J52:$J54)*R55</f>
        <v>0.0505845622119816</v>
      </c>
      <c r="T55" s="32" cm="1">
        <f t="array" ref="T55">SUMPRODUCT(T52:T54,$J52:$J54)/SUMPRODUCT(S52:S54,$J52:$J54)*S55</f>
        <v>0.0505845622119816</v>
      </c>
      <c r="U55" s="32" cm="1">
        <f t="array" ref="U55">SUMPRODUCT(U52:U54,$J52:$J54)/SUMPRODUCT(T52:T54,$J52:$J54)*T55</f>
        <v>0.0505845622119816</v>
      </c>
      <c r="V55" s="32" cm="1">
        <f t="array" ref="V55">SUMPRODUCT(V52:V54,$J52:$J54)/SUMPRODUCT(U52:U54,$J52:$J54)*U55</f>
        <v>0.0505845622119816</v>
      </c>
      <c r="W55" s="32" cm="1">
        <f t="array" ref="W55">SUMPRODUCT(W52:W54,$J52:$J54)/SUMPRODUCT(V52:V54,$J52:$J54)*V55</f>
        <v>0.0505845622119816</v>
      </c>
      <c r="X55" s="32" cm="1">
        <f t="array" ref="X55">SUMPRODUCT(X52:X54,$J52:$J54)/SUMPRODUCT(W52:W54,$J52:$J54)*W55</f>
        <v>0.0505845622119816</v>
      </c>
      <c r="Y55" s="36">
        <f t="shared" si="34"/>
        <v>0.181198431804113</v>
      </c>
      <c r="Z55" s="36">
        <f t="shared" si="38"/>
        <v>0.179119797775496</v>
      </c>
      <c r="AA55" s="36">
        <f t="shared" si="35"/>
        <v>-0.00207863402861666</v>
      </c>
    </row>
    <row r="56" spans="8:27">
      <c r="H56" s="22"/>
      <c r="I56" s="26">
        <v>45931</v>
      </c>
      <c r="J56" s="27">
        <v>1000</v>
      </c>
      <c r="K56" s="28">
        <v>5.7</v>
      </c>
      <c r="L56" s="29">
        <v>0</v>
      </c>
      <c r="M56" s="30">
        <v>0.0377</v>
      </c>
      <c r="N56" s="30">
        <f>M56+0.3%</f>
        <v>0.0407</v>
      </c>
      <c r="O56" s="30">
        <f>N56+0.3%</f>
        <v>0.0437</v>
      </c>
      <c r="P56" s="32" cm="1">
        <f t="array" ref="P56">SUMPRODUCT(P53:P55,$J53:$J55)/SUMPRODUCT(O53:O55,$J53:$J55)*O56</f>
        <v>0.0465294964028777</v>
      </c>
      <c r="Q56" s="32" cm="1">
        <f t="array" ref="Q56">SUMPRODUCT(Q53:Q55,$J53:$J55)/SUMPRODUCT(P53:P55,$J53:$J55)*P56</f>
        <v>0.0483590345787886</v>
      </c>
      <c r="R56" s="32" cm="1">
        <f t="array" ref="R56">SUMPRODUCT(R53:R55,$J53:$J55)/SUMPRODUCT(Q53:Q55,$J53:$J55)*Q56</f>
        <v>0.0501154086132016</v>
      </c>
      <c r="S56" s="32" cm="1">
        <f t="array" ref="S56">SUMPRODUCT(S53:S55,$J53:$J55)/SUMPRODUCT(R53:R55,$J53:$J55)*R56</f>
        <v>0.0501154086132016</v>
      </c>
      <c r="T56" s="32" cm="1">
        <f t="array" ref="T56">SUMPRODUCT(T53:T55,$J53:$J55)/SUMPRODUCT(S53:S55,$J53:$J55)*S56</f>
        <v>0.0501154086132016</v>
      </c>
      <c r="U56" s="32" cm="1">
        <f t="array" ref="U56">SUMPRODUCT(U53:U55,$J53:$J55)/SUMPRODUCT(T53:T55,$J53:$J55)*T56</f>
        <v>0.0501154086132016</v>
      </c>
      <c r="V56" s="32" cm="1">
        <f t="array" ref="V56">SUMPRODUCT(V53:V55,$J53:$J55)/SUMPRODUCT(U53:U55,$J53:$J55)*U56</f>
        <v>0.0501154086132016</v>
      </c>
      <c r="W56" s="32" cm="1">
        <f t="array" ref="W56">SUMPRODUCT(W53:W55,$J53:$J55)/SUMPRODUCT(V53:V55,$J53:$J55)*V56</f>
        <v>0.0501154086132016</v>
      </c>
      <c r="X56" s="32" cm="1">
        <f t="array" ref="X56">SUMPRODUCT(X53:X55,$J53:$J55)/SUMPRODUCT(W53:W55,$J53:$J55)*W56</f>
        <v>0.0501154086132016</v>
      </c>
      <c r="Y56" s="36">
        <f t="shared" si="34"/>
        <v>0.179517881599528</v>
      </c>
      <c r="Z56" s="36">
        <f t="shared" si="38"/>
        <v>0.177477057293609</v>
      </c>
      <c r="AA56" s="36">
        <f t="shared" si="35"/>
        <v>-0.0020408243059192</v>
      </c>
    </row>
    <row r="57" spans="8:27">
      <c r="H57" s="22"/>
      <c r="I57" s="26">
        <v>45962</v>
      </c>
      <c r="J57" s="27">
        <v>1000</v>
      </c>
      <c r="K57" s="28">
        <v>5.7</v>
      </c>
      <c r="L57" s="29">
        <v>0</v>
      </c>
      <c r="M57" s="30">
        <v>0.037</v>
      </c>
      <c r="N57" s="30">
        <f>M57+0.3%</f>
        <v>0.04</v>
      </c>
      <c r="O57" s="32" cm="1">
        <f t="array" ref="O57">SUMPRODUCT(O54:O56,$J54:$J56)/SUMPRODUCT(N54:N56,$J54:$J56)*N57</f>
        <v>0.0428869286287089</v>
      </c>
      <c r="P57" s="32" cm="1">
        <f t="array" ref="P57">SUMPRODUCT(P54:P56,$J54:$J56)/SUMPRODUCT(O54:O56,$J54:$J56)*O57</f>
        <v>0.0457191648445478</v>
      </c>
      <c r="Q57" s="32" cm="1">
        <f t="array" ref="Q57">SUMPRODUCT(Q54:Q56,$J54:$J56)/SUMPRODUCT(P54:P56,$J54:$J56)*P57</f>
        <v>0.0475311593961502</v>
      </c>
      <c r="R57" s="32" cm="1">
        <f t="array" ref="R57">SUMPRODUCT(R54:R56,$J54:$J56)/SUMPRODUCT(Q54:Q56,$J54:$J56)*Q57</f>
        <v>0.0492450358930591</v>
      </c>
      <c r="S57" s="32" cm="1">
        <f t="array" ref="S57">SUMPRODUCT(S54:S56,$J54:$J56)/SUMPRODUCT(R54:R56,$J54:$J56)*R57</f>
        <v>0.0492450358930591</v>
      </c>
      <c r="T57" s="32" cm="1">
        <f t="array" ref="T57">SUMPRODUCT(T54:T56,$J54:$J56)/SUMPRODUCT(S54:S56,$J54:$J56)*S57</f>
        <v>0.0492450358930591</v>
      </c>
      <c r="U57" s="32" cm="1">
        <f t="array" ref="U57">SUMPRODUCT(U54:U56,$J54:$J56)/SUMPRODUCT(T54:T56,$J54:$J56)*T57</f>
        <v>0.0492450358930591</v>
      </c>
      <c r="V57" s="32" cm="1">
        <f t="array" ref="V57">SUMPRODUCT(V54:V56,$J54:$J56)/SUMPRODUCT(U54:U56,$J54:$J56)*U57</f>
        <v>0.0492450358930591</v>
      </c>
      <c r="W57" s="32" cm="1">
        <f t="array" ref="W57">SUMPRODUCT(W54:W56,$J54:$J56)/SUMPRODUCT(V54:V56,$J54:$J56)*V57</f>
        <v>0.0492450358930591</v>
      </c>
      <c r="X57" s="32" cm="1">
        <f t="array" ref="X57">SUMPRODUCT(X54:X56,$J54:$J56)/SUMPRODUCT(W54:W56,$J54:$J56)*W57</f>
        <v>0.0492450358930591</v>
      </c>
      <c r="Y57" s="36">
        <f t="shared" si="34"/>
        <v>0.176400128572152</v>
      </c>
      <c r="Z57" s="36">
        <f t="shared" si="38"/>
        <v>0.174428556671848</v>
      </c>
      <c r="AA57" s="36">
        <f t="shared" si="35"/>
        <v>-0.00197157190030392</v>
      </c>
    </row>
    <row r="58" spans="8:27">
      <c r="H58" s="22"/>
      <c r="I58" s="26">
        <v>45992</v>
      </c>
      <c r="J58" s="27">
        <v>1000</v>
      </c>
      <c r="K58" s="28">
        <v>5.7</v>
      </c>
      <c r="L58" s="29">
        <v>0</v>
      </c>
      <c r="M58" s="30">
        <v>0.0382</v>
      </c>
      <c r="N58" s="32" cm="1">
        <f t="array" ref="N58">SUMPRODUCT(N55:N57,$J55:$J57)/SUMPRODUCT(M55:M57,$J55:$J57)*M58</f>
        <v>0.0412505767524401</v>
      </c>
      <c r="O58" s="32" cm="1">
        <f t="array" ref="O58">SUMPRODUCT(O55:O57,$J55:$J57)/SUMPRODUCT(N55:N57,$J55:$J57)*N58</f>
        <v>0.0442628276274772</v>
      </c>
      <c r="P58" s="32" cm="1">
        <f t="array" ref="P58">SUMPRODUCT(P55:P57,$J55:$J57)/SUMPRODUCT(O55:O57,$J55:$J57)*O58</f>
        <v>0.0471987476455338</v>
      </c>
      <c r="Q58" s="32" cm="1">
        <f t="array" ref="Q58">SUMPRODUCT(Q55:Q57,$J55:$J57)/SUMPRODUCT(P55:P57,$J55:$J57)*P58</f>
        <v>0.049049731718557</v>
      </c>
      <c r="R58" s="32" cm="1">
        <f t="array" ref="R58">SUMPRODUCT(R55:R57,$J55:$J57)/SUMPRODUCT(Q55:Q57,$J55:$J57)*Q58</f>
        <v>0.0508243057376829</v>
      </c>
      <c r="S58" s="32" cm="1">
        <f t="array" ref="S58">SUMPRODUCT(S55:S57,$J55:$J57)/SUMPRODUCT(R55:R57,$J55:$J57)*R58</f>
        <v>0.0508243057376829</v>
      </c>
      <c r="T58" s="32" cm="1">
        <f t="array" ref="T58">SUMPRODUCT(T55:T57,$J55:$J57)/SUMPRODUCT(S55:S57,$J55:$J57)*S58</f>
        <v>0.0508243057376829</v>
      </c>
      <c r="U58" s="32" cm="1">
        <f t="array" ref="U58">SUMPRODUCT(U55:U57,$J55:$J57)/SUMPRODUCT(T55:T57,$J55:$J57)*T58</f>
        <v>0.0508243057376829</v>
      </c>
      <c r="V58" s="32" cm="1">
        <f t="array" ref="V58">SUMPRODUCT(V55:V57,$J55:$J57)/SUMPRODUCT(U55:U57,$J55:$J57)*U58</f>
        <v>0.0508243057376829</v>
      </c>
      <c r="W58" s="32" cm="1">
        <f t="array" ref="W58">SUMPRODUCT(W55:W57,$J55:$J57)/SUMPRODUCT(V55:V57,$J55:$J57)*V58</f>
        <v>0.0508243057376829</v>
      </c>
      <c r="X58" s="32" cm="1">
        <f t="array" ref="X58">SUMPRODUCT(X55:X57,$J55:$J57)/SUMPRODUCT(W55:W57,$J55:$J57)*W58</f>
        <v>0.0508243057376829</v>
      </c>
      <c r="Y58" s="36">
        <f t="shared" si="34"/>
        <v>0.182057214582745</v>
      </c>
      <c r="Z58" s="36">
        <f t="shared" si="38"/>
        <v>0.17995912937613</v>
      </c>
      <c r="AA58" s="36">
        <f t="shared" si="35"/>
        <v>-0.00209808520661484</v>
      </c>
    </row>
    <row r="59" spans="8:27">
      <c r="H59" s="22"/>
      <c r="I59" s="22" t="s">
        <v>328</v>
      </c>
      <c r="J59" s="22"/>
      <c r="K59" s="22"/>
      <c r="L59" s="22"/>
      <c r="Z59" s="22"/>
      <c r="AA59" s="22"/>
    </row>
  </sheetData>
  <mergeCells count="8">
    <mergeCell ref="A1:D1"/>
    <mergeCell ref="A2:D2"/>
    <mergeCell ref="A3:D3"/>
    <mergeCell ref="A4:D4"/>
    <mergeCell ref="A5:D5"/>
    <mergeCell ref="H7:O7"/>
    <mergeCell ref="H26:O26"/>
    <mergeCell ref="H44:O44"/>
  </mergeCells>
  <conditionalFormatting sqref="N12:N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{fac9b531-86b2-42ad-a711-eedd6ef5e7ec}</x14:id>
        </ext>
      </extLst>
    </cfRule>
  </conditionalFormatting>
  <conditionalFormatting sqref="N28:N3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{68c456cb-bb22-4cea-8945-765343cea6a9}</x14:id>
        </ext>
      </extLst>
    </cfRule>
  </conditionalFormatting>
  <conditionalFormatting sqref="N28:N3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{f0071363-75f1-492e-8e47-1b7270575443}</x14:id>
        </ext>
      </extLst>
    </cfRule>
  </conditionalFormatting>
  <conditionalFormatting sqref="N47:N5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{1cefa415-5d7e-463d-9a25-e5eba5382b95}</x14:id>
        </ext>
      </extLst>
    </cfRule>
  </conditionalFormatting>
  <conditionalFormatting sqref="N47:N5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{8f3817ed-af0a-496c-b78f-fbc8beafdcd9}</x14:id>
        </ext>
      </extLst>
    </cfRule>
  </conditionalFormatting>
  <conditionalFormatting sqref="R28:R3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{6d7e1803-91e4-4b53-9c48-05f67f1cc624}</x14:id>
        </ext>
      </extLst>
    </cfRule>
  </conditionalFormatting>
  <conditionalFormatting sqref="R47:R53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{25d8ce27-dea3-476b-b2b0-77f5ea81357c}</x14:id>
        </ext>
      </extLst>
    </cfRule>
  </conditionalFormatting>
  <conditionalFormatting sqref="R47:R5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{885fb1f3-7e75-4e37-a53e-004836caccde}</x14:id>
        </ext>
      </extLst>
    </cfRule>
  </conditionalFormatting>
  <conditionalFormatting sqref="X28:X3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{03fb3bba-f0d7-491d-ae07-d451662cede0}</x14:id>
        </ext>
      </extLst>
    </cfRule>
  </conditionalFormatting>
  <conditionalFormatting sqref="X47:X5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{636e3dfd-3777-4826-a4d4-1484b501cbeb}</x14:id>
        </ext>
      </extLst>
    </cfRule>
  </conditionalFormatting>
  <conditionalFormatting sqref="AA47:AA5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8:R34 R3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{48197656-044a-4aa9-8057-5ae6cc82391c}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c9b531-86b2-42ad-a711-eedd6ef5e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N12:N22</xm:sqref>
        </x14:conditionalFormatting>
        <x14:conditionalFormatting xmlns:xm="http://schemas.microsoft.com/office/excel/2006/main">
          <x14:cfRule type="dataBar" id="{68c456cb-bb22-4cea-8945-765343cea6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N28:N38</xm:sqref>
        </x14:conditionalFormatting>
        <x14:conditionalFormatting xmlns:xm="http://schemas.microsoft.com/office/excel/2006/main">
          <x14:cfRule type="dataBar" id="{f0071363-75f1-492e-8e47-1b72705754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N28:N39</xm:sqref>
        </x14:conditionalFormatting>
        <x14:conditionalFormatting xmlns:xm="http://schemas.microsoft.com/office/excel/2006/main">
          <x14:cfRule type="dataBar" id="{1cefa415-5d7e-463d-9a25-e5eba5382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N47:N57</xm:sqref>
        </x14:conditionalFormatting>
        <x14:conditionalFormatting xmlns:xm="http://schemas.microsoft.com/office/excel/2006/main">
          <x14:cfRule type="dataBar" id="{8f3817ed-af0a-496c-b78f-fbc8beafdc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N47:N58</xm:sqref>
        </x14:conditionalFormatting>
        <x14:conditionalFormatting xmlns:xm="http://schemas.microsoft.com/office/excel/2006/main">
          <x14:cfRule type="dataBar" id="{6d7e1803-91e4-4b53-9c48-05f67f1cc6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R28:R39</xm:sqref>
        </x14:conditionalFormatting>
        <x14:conditionalFormatting xmlns:xm="http://schemas.microsoft.com/office/excel/2006/main">
          <x14:cfRule type="dataBar" id="{25d8ce27-dea3-476b-b2b0-77f5ea81357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R47:R53</xm:sqref>
        </x14:conditionalFormatting>
        <x14:conditionalFormatting xmlns:xm="http://schemas.microsoft.com/office/excel/2006/main">
          <x14:cfRule type="dataBar" id="{885fb1f3-7e75-4e37-a53e-004836caccd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R47:R58</xm:sqref>
        </x14:conditionalFormatting>
        <x14:conditionalFormatting xmlns:xm="http://schemas.microsoft.com/office/excel/2006/main">
          <x14:cfRule type="dataBar" id="{03fb3bba-f0d7-491d-ae07-d451662ced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X28:X39</xm:sqref>
        </x14:conditionalFormatting>
        <x14:conditionalFormatting xmlns:xm="http://schemas.microsoft.com/office/excel/2006/main">
          <x14:cfRule type="dataBar" id="{636e3dfd-3777-4826-a4d4-1484b501c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X47:X58</xm:sqref>
        </x14:conditionalFormatting>
        <x14:conditionalFormatting xmlns:xm="http://schemas.microsoft.com/office/excel/2006/main">
          <x14:cfRule type="dataBar" id="{48197656-044a-4aa9-8057-5ae6cc8239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R28:R34 R39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5" topLeftCell="A6" activePane="bottomLeft" state="frozen"/>
      <selection/>
      <selection pane="bottomLeft" activeCell="H9" sqref="H9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28</v>
      </c>
    </row>
    <row r="2" spans="1:5">
      <c r="A2" s="2" t="s">
        <v>334</v>
      </c>
    </row>
    <row r="4" ht="14.5" spans="1:5">
      <c r="A4" s="3" t="s">
        <v>40</v>
      </c>
      <c r="B4" s="4" t="s">
        <v>41</v>
      </c>
      <c r="C4" s="4" t="s">
        <v>41</v>
      </c>
      <c r="D4" s="4" t="s">
        <v>41</v>
      </c>
    </row>
    <row r="5" ht="14.5" spans="1:5">
      <c r="A5" s="5" t="s">
        <v>42</v>
      </c>
      <c r="B5" s="5" t="s">
        <v>43</v>
      </c>
      <c r="C5" s="5" t="s">
        <v>44</v>
      </c>
      <c r="D5" s="5" t="s">
        <v>45</v>
      </c>
    </row>
    <row r="6" ht="14.5" spans="1:5">
      <c r="A6" s="6" t="s">
        <v>335</v>
      </c>
      <c r="B6" s="7">
        <v>200000000</v>
      </c>
      <c r="C6" s="4" t="s">
        <v>47</v>
      </c>
      <c r="D6" s="4" t="s">
        <v>48</v>
      </c>
    </row>
    <row r="7" ht="14.5" spans="1:5">
      <c r="A7" s="6" t="s">
        <v>336</v>
      </c>
      <c r="B7" s="8">
        <v>0.025</v>
      </c>
      <c r="C7" s="4" t="s">
        <v>47</v>
      </c>
      <c r="D7" s="4" t="s">
        <v>48</v>
      </c>
    </row>
    <row r="8" ht="14.5" spans="1:5">
      <c r="A8" s="9" t="s">
        <v>337</v>
      </c>
      <c r="B8" s="10">
        <f>B7*B6</f>
        <v>5000000</v>
      </c>
      <c r="C8" s="11" t="s">
        <v>50</v>
      </c>
      <c r="D8" s="11" t="s">
        <v>51</v>
      </c>
    </row>
    <row r="9" ht="14.5" spans="1:5">
      <c r="A9" s="9" t="s">
        <v>338</v>
      </c>
      <c r="B9" s="10">
        <f>B6</f>
        <v>200000000</v>
      </c>
      <c r="C9" s="11" t="s">
        <v>50</v>
      </c>
      <c r="D9" s="11" t="s">
        <v>51</v>
      </c>
    </row>
    <row r="11" ht="14.5" spans="1:5">
      <c r="A11" s="12" t="s">
        <v>56</v>
      </c>
      <c r="B11" s="13" t="s">
        <v>41</v>
      </c>
      <c r="C11" s="13" t="s">
        <v>41</v>
      </c>
      <c r="D11" s="13" t="s">
        <v>41</v>
      </c>
    </row>
    <row r="12" ht="14.5" spans="1:5">
      <c r="A12" s="14" t="s">
        <v>57</v>
      </c>
      <c r="B12" s="14" t="s">
        <v>339</v>
      </c>
      <c r="C12" s="14" t="s">
        <v>164</v>
      </c>
      <c r="D12" s="14" t="s">
        <v>165</v>
      </c>
    </row>
    <row r="14" ht="17.25" spans="1:5">
      <c r="A14" s="15" t="s">
        <v>340</v>
      </c>
    </row>
    <row r="15" ht="14.75" spans="1:5">
      <c r="A15" s="16" t="s">
        <v>170</v>
      </c>
      <c r="B15" s="16" t="s">
        <v>171</v>
      </c>
      <c r="C15" s="16" t="s">
        <v>172</v>
      </c>
      <c r="D15" s="16" t="s">
        <v>173</v>
      </c>
      <c r="E15" s="16" t="s">
        <v>174</v>
      </c>
    </row>
    <row r="16" ht="14.75" spans="1:5">
      <c r="A16" s="17" t="s">
        <v>28</v>
      </c>
      <c r="B16" s="17" t="s">
        <v>177</v>
      </c>
      <c r="C16" s="17" t="s">
        <v>178</v>
      </c>
      <c r="D16" s="17" t="s">
        <v>179</v>
      </c>
      <c r="E16" s="17" t="s">
        <v>180</v>
      </c>
    </row>
    <row r="18" ht="17.25" spans="1:5">
      <c r="A18" s="15" t="s">
        <v>341</v>
      </c>
    </row>
    <row r="19" ht="14.75" spans="1:5">
      <c r="A19" s="16" t="s">
        <v>185</v>
      </c>
      <c r="B19" s="16" t="s">
        <v>28</v>
      </c>
      <c r="C19" s="16" t="s">
        <v>62</v>
      </c>
      <c r="D19" s="16" t="s">
        <v>186</v>
      </c>
      <c r="E19" s="16" t="s">
        <v>174</v>
      </c>
    </row>
    <row r="20" ht="14.75" spans="1:5">
      <c r="A20" s="17" t="s">
        <v>188</v>
      </c>
      <c r="B20" s="17" t="s">
        <v>172</v>
      </c>
      <c r="C20" s="17" t="s">
        <v>51</v>
      </c>
      <c r="D20" s="17" t="s">
        <v>51</v>
      </c>
      <c r="E20" s="17" t="s">
        <v>66</v>
      </c>
    </row>
    <row r="21" ht="14.75" spans="1:5">
      <c r="A21" s="18" t="s">
        <v>65</v>
      </c>
      <c r="B21" s="18" t="s">
        <v>190</v>
      </c>
      <c r="C21" s="19">
        <v>0.05</v>
      </c>
      <c r="D21" s="18" t="s">
        <v>191</v>
      </c>
      <c r="E21" s="18" t="s">
        <v>99</v>
      </c>
    </row>
    <row r="22" ht="14.75" spans="1:5">
      <c r="A22" s="17" t="s">
        <v>67</v>
      </c>
      <c r="B22" s="17" t="s">
        <v>193</v>
      </c>
      <c r="C22" s="20">
        <v>0.12</v>
      </c>
      <c r="D22" s="17" t="s">
        <v>194</v>
      </c>
      <c r="E22" s="17" t="s">
        <v>101</v>
      </c>
    </row>
    <row r="23" ht="14.75" spans="1:5">
      <c r="A23" s="18" t="s">
        <v>69</v>
      </c>
      <c r="B23" s="18" t="s">
        <v>196</v>
      </c>
      <c r="C23" s="19">
        <v>-0.03</v>
      </c>
      <c r="D23" s="18" t="s">
        <v>197</v>
      </c>
      <c r="E23" s="18" t="s">
        <v>66</v>
      </c>
    </row>
    <row r="25" ht="17.25" spans="1:5">
      <c r="A25" s="15" t="s">
        <v>342</v>
      </c>
    </row>
    <row r="26" ht="14.75" spans="1:5">
      <c r="A26" s="16" t="s">
        <v>170</v>
      </c>
      <c r="B26" s="16" t="s">
        <v>200</v>
      </c>
      <c r="C26" s="16" t="s">
        <v>201</v>
      </c>
      <c r="D26" s="16" t="s">
        <v>202</v>
      </c>
      <c r="E26" s="16" t="s">
        <v>203</v>
      </c>
    </row>
    <row r="27" ht="14.75" spans="1:5">
      <c r="A27" s="17" t="s">
        <v>28</v>
      </c>
      <c r="B27" s="17" t="s">
        <v>204</v>
      </c>
      <c r="C27" s="17" t="s">
        <v>205</v>
      </c>
      <c r="D27" s="17" t="s">
        <v>206</v>
      </c>
      <c r="E27" s="17" t="s">
        <v>207</v>
      </c>
    </row>
  </sheetData>
  <mergeCells count="2">
    <mergeCell ref="A1:D1"/>
    <mergeCell ref="A2:D2"/>
  </mergeCells>
  <conditionalFormatting sqref="B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{4206cbf7-de82-47fd-b59a-3babf94d15bf}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06cbf7-de82-47fd-b59a-3babf94d15b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2.1 FPD7</vt:lpstr>
      <vt:lpstr>2.2 FPD30</vt:lpstr>
      <vt:lpstr>2.3 DPD30+</vt:lpstr>
      <vt:lpstr>2.4 不良贷款率(NPL)</vt:lpstr>
      <vt:lpstr>2.5 滚动率</vt:lpstr>
      <vt:lpstr>2.6 迁徙率</vt:lpstr>
      <vt:lpstr>2.7 Vintage分析</vt:lpstr>
      <vt:lpstr>2.8 风险敞口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2026-04-01T03:27:00Z</dcterms:created>
  <dcterms:modified xsi:type="dcterms:W3CDTF">2026-05-04T15:11:39Z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C828D2F93A1B47A9AB2162972A2A1873_12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