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全链路KPI测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<sst xmlns="http://schemas.openxmlformats.org/spreadsheetml/2006/main" count="47" uniqueCount="31">
  <si>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r>
      <rPr>
        <b/>
        <sz val="14"/>
        <color rgb="FF1F3864"/>
        <rFont val="微软雅黑"/>
        <charset val="134"/>
      </rPr>
      <t>一、风控体系总览</t>
    </r>
    <r>
      <rPr>
        <b/>
        <sz val="14"/>
        <color rgb="FF1F3864"/>
        <rFont val="Arial"/>
        <charset val="134"/>
      </rPr>
      <t xml:space="preserve"> — </t>
    </r>
    <r>
      <rPr>
        <b/>
        <sz val="14"/>
        <color rgb="FF1F3864"/>
        <rFont val="微软雅黑"/>
        <charset val="134"/>
      </rPr>
      <t>全链路核心</t>
    </r>
    <r>
      <rPr>
        <b/>
        <sz val="14"/>
        <color rgb="FF1F3864"/>
        <rFont val="Arial"/>
        <charset val="134"/>
      </rPr>
      <t>KPI</t>
    </r>
    <r>
      <rPr>
        <b/>
        <sz val="14"/>
        <color rgb="FF1F3864"/>
        <rFont val="微软雅黑"/>
        <charset val="134"/>
      </rPr>
      <t>测算</t>
    </r>
  </si>
  <si>
    <r>
      <rPr>
        <b/>
        <sz val="11"/>
        <color rgb="FF2E75B6"/>
        <rFont val="Arial"/>
        <charset val="134"/>
      </rPr>
      <t>1. FY2026(</t>
    </r>
    <r>
      <rPr>
        <b/>
        <sz val="11"/>
        <color rgb="FF2E75B6"/>
        <rFont val="微软雅黑"/>
        <charset val="134"/>
      </rPr>
      <t>假设</t>
    </r>
    <r>
      <rPr>
        <b/>
        <sz val="11"/>
        <color rgb="FF2E75B6"/>
        <rFont val="Arial"/>
        <charset val="134"/>
      </rPr>
      <t>)</t>
    </r>
    <r>
      <rPr>
        <b/>
        <sz val="11"/>
        <color rgb="FF2E75B6"/>
        <rFont val="微软雅黑"/>
        <charset val="134"/>
      </rPr>
      <t>放款与逾期测算</t>
    </r>
  </si>
  <si>
    <r>
      <rPr>
        <b/>
        <sz val="10"/>
        <color rgb="FFFFFFFF"/>
        <rFont val="微软雅黑"/>
        <charset val="134"/>
      </rPr>
      <t>指标项</t>
    </r>
  </si>
  <si>
    <r>
      <rPr>
        <b/>
        <sz val="10"/>
        <color rgb="FFFFFFFF"/>
        <rFont val="微软雅黑"/>
        <charset val="134"/>
      </rPr>
      <t>数值</t>
    </r>
  </si>
  <si>
    <r>
      <rPr>
        <b/>
        <sz val="10"/>
        <color rgb="FFFFFFFF"/>
        <rFont val="微软雅黑"/>
        <charset val="134"/>
      </rPr>
      <t>单位</t>
    </r>
  </si>
  <si>
    <t>Note</t>
  </si>
  <si>
    <t>平均期限</t>
  </si>
  <si>
    <r>
      <rPr>
        <sz val="10"/>
        <color rgb="FF333333"/>
        <rFont val="Arial"/>
        <charset val="134"/>
      </rPr>
      <t>FY2026</t>
    </r>
    <r>
      <rPr>
        <sz val="10"/>
        <color rgb="FF333333"/>
        <rFont val="微软雅黑"/>
        <charset val="134"/>
      </rPr>
      <t>申请量</t>
    </r>
  </si>
  <si>
    <r>
      <rPr>
        <sz val="10"/>
        <color rgb="FF333333"/>
        <rFont val="微软雅黑"/>
        <charset val="134"/>
      </rPr>
      <t>件</t>
    </r>
  </si>
  <si>
    <r>
      <rPr>
        <sz val="10"/>
        <color rgb="FF333333"/>
        <rFont val="微软雅黑"/>
        <charset val="134"/>
      </rPr>
      <t>贷前通过率</t>
    </r>
  </si>
  <si>
    <t>%</t>
  </si>
  <si>
    <t>年度放款量</t>
  </si>
  <si>
    <t>件均放款金额</t>
  </si>
  <si>
    <r>
      <rPr>
        <sz val="10"/>
        <color rgb="FF333333"/>
        <rFont val="微软雅黑"/>
        <charset val="134"/>
      </rPr>
      <t>元</t>
    </r>
  </si>
  <si>
    <t>年度放款总额</t>
  </si>
  <si>
    <t>元</t>
  </si>
  <si>
    <r>
      <rPr>
        <sz val="10"/>
        <color rgb="FF333333"/>
        <rFont val="微软雅黑"/>
        <charset val="134"/>
      </rPr>
      <t>年化利率</t>
    </r>
    <r>
      <rPr>
        <sz val="10"/>
        <color rgb="FF333333"/>
        <rFont val="Arial"/>
        <charset val="134"/>
      </rPr>
      <t>(APR)</t>
    </r>
  </si>
  <si>
    <t>年度利息收入</t>
  </si>
  <si>
    <r>
      <rPr>
        <sz val="10"/>
        <color rgb="FF333333"/>
        <rFont val="微软雅黑"/>
        <charset val="134"/>
      </rPr>
      <t>资金成本率</t>
    </r>
  </si>
  <si>
    <r>
      <rPr>
        <sz val="10"/>
        <color rgb="FF333333"/>
        <rFont val="微软雅黑"/>
        <charset val="134"/>
      </rPr>
      <t>年度资金成本</t>
    </r>
    <r>
      <rPr>
        <sz val="10"/>
        <color rgb="FF333333"/>
        <rFont val="Arial"/>
        <charset val="134"/>
      </rPr>
      <t>(=B10*B13)</t>
    </r>
  </si>
  <si>
    <r>
      <rPr>
        <sz val="10"/>
        <color rgb="FF333333"/>
        <rFont val="微软雅黑"/>
        <charset val="134"/>
      </rPr>
      <t>运营成本率</t>
    </r>
    <r>
      <rPr>
        <sz val="10"/>
        <color rgb="FF333333"/>
        <rFont val="Arial"/>
        <charset val="134"/>
      </rPr>
      <t>(</t>
    </r>
    <r>
      <rPr>
        <sz val="10"/>
        <color rgb="FF333333"/>
        <rFont val="微软雅黑"/>
        <charset val="134"/>
      </rPr>
      <t>占放款额</t>
    </r>
    <r>
      <rPr>
        <sz val="10"/>
        <color rgb="FF333333"/>
        <rFont val="Arial"/>
        <charset val="134"/>
      </rPr>
      <t>)</t>
    </r>
  </si>
  <si>
    <r>
      <rPr>
        <sz val="10"/>
        <color rgb="FF333333"/>
        <rFont val="微软雅黑"/>
        <charset val="134"/>
      </rPr>
      <t>年度运营成本</t>
    </r>
    <r>
      <rPr>
        <sz val="10"/>
        <color rgb="FF333333"/>
        <rFont val="Arial"/>
        <charset val="134"/>
      </rPr>
      <t>(=B10*B15)</t>
    </r>
  </si>
  <si>
    <r>
      <rPr>
        <sz val="10"/>
        <color rgb="FF333333"/>
        <rFont val="Arial"/>
        <charset val="134"/>
      </rPr>
      <t>EL%(</t>
    </r>
    <r>
      <rPr>
        <sz val="10"/>
        <color rgb="FF333333"/>
        <rFont val="微软雅黑"/>
        <charset val="134"/>
      </rPr>
      <t>优化前</t>
    </r>
    <r>
      <rPr>
        <sz val="10"/>
        <color rgb="FF333333"/>
        <rFont val="Arial"/>
        <charset val="134"/>
      </rPr>
      <t>)</t>
    </r>
  </si>
  <si>
    <r>
      <rPr>
        <sz val="10"/>
        <color rgb="FF333333"/>
        <rFont val="Arial"/>
        <charset val="134"/>
      </rPr>
      <t>EL%(</t>
    </r>
    <r>
      <rPr>
        <sz val="10"/>
        <color rgb="FF333333"/>
        <rFont val="微软雅黑"/>
        <charset val="134"/>
      </rPr>
      <t>优化后</t>
    </r>
    <r>
      <rPr>
        <sz val="10"/>
        <color rgb="FF333333"/>
        <rFont val="Arial"/>
        <charset val="134"/>
      </rPr>
      <t>)</t>
    </r>
  </si>
  <si>
    <r>
      <rPr>
        <sz val="10"/>
        <color rgb="FF333333"/>
        <rFont val="微软雅黑"/>
        <charset val="134"/>
      </rPr>
      <t>逾期率降幅</t>
    </r>
    <r>
      <rPr>
        <sz val="10"/>
        <color rgb="FF333333"/>
        <rFont val="Arial"/>
        <charset val="134"/>
      </rPr>
      <t>(=B18-B17)</t>
    </r>
  </si>
  <si>
    <r>
      <rPr>
        <sz val="10"/>
        <color rgb="FF333333"/>
        <rFont val="微软雅黑"/>
        <charset val="134"/>
      </rPr>
      <t>优化前坏账损失</t>
    </r>
    <r>
      <rPr>
        <sz val="10"/>
        <color rgb="FF333333"/>
        <rFont val="Arial"/>
        <charset val="134"/>
      </rPr>
      <t>(=B10*B17)</t>
    </r>
  </si>
  <si>
    <r>
      <rPr>
        <sz val="10"/>
        <color rgb="FF333333"/>
        <rFont val="微软雅黑"/>
        <charset val="134"/>
      </rPr>
      <t>优化后坏账损失</t>
    </r>
    <r>
      <rPr>
        <sz val="10"/>
        <color rgb="FF333333"/>
        <rFont val="Arial"/>
        <charset val="134"/>
      </rPr>
      <t>(=B10*B18)</t>
    </r>
  </si>
  <si>
    <r>
      <rPr>
        <sz val="10"/>
        <color rgb="FF333333"/>
        <rFont val="微软雅黑"/>
        <charset val="134"/>
      </rPr>
      <t>坏账减少额</t>
    </r>
    <r>
      <rPr>
        <sz val="10"/>
        <color rgb="FF333333"/>
        <rFont val="Arial"/>
        <charset val="134"/>
      </rPr>
      <t>(=B20-B21)</t>
    </r>
  </si>
  <si>
    <r>
      <rPr>
        <sz val="10"/>
        <color rgb="FF333333"/>
        <rFont val="微软雅黑"/>
        <charset val="134"/>
      </rPr>
      <t>年度净利润</t>
    </r>
    <r>
      <rPr>
        <sz val="10"/>
        <color rgb="FF333333"/>
        <rFont val="Arial"/>
        <charset val="134"/>
      </rPr>
      <t>(=B12-B14-B16-B21)</t>
    </r>
  </si>
  <si>
    <t>UE</t>
  </si>
  <si>
    <t>Annualized 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</si>
</sst>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_ * #,##0_ ;_ * \-#,##0_ ;_ * &quot;-&quot;??_ ;_ @_ "/>
    <numFmt numFmtId="178" formatCode="_ * #,##0.0_ ;_ * \-#,##0.0_ ;_ 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4"/>
      <color rgb="FF1F3864"/>
      <name val="Arial"/>
      <charset val="134"/>
    </font>
    <font>
      <b/>
      <sz val="11"/>
      <color rgb="FF2E75B6"/>
      <name val="Arial"/>
      <charset val="134"/>
    </font>
    <font>
      <b/>
      <sz val="10"/>
      <color rgb="FFFFFFFF"/>
      <name val="Arial"/>
      <charset val="134"/>
    </font>
    <font>
      <sz val="10"/>
      <color rgb="FF333333"/>
      <name val="宋体"/>
      <charset val="134"/>
    </font>
    <font>
      <sz val="10"/>
      <color rgb="FF000000"/>
      <name val="Arial"/>
      <charset val="134"/>
    </font>
    <font>
      <sz val="10"/>
      <color rgb="FF333333"/>
      <name val="Arial"/>
      <charset val="134"/>
    </font>
    <font>
      <sz val="10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FFFF"/>
      <name val="微软雅黑"/>
      <charset val="134"/>
    </font>
    <font>
      <b/>
      <sz val="14"/>
      <color rgb="FF1F3864"/>
      <name val="微软雅黑"/>
      <charset val="134"/>
    </font>
    <font>
      <b/>
      <sz val="11"/>
      <color rgb="FF2E75B6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7" fillId="4" borderId="1" xfId="0" applyFont="1" applyFill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10" fontId="1" fillId="0" borderId="0" xfId="0" applyNumberFormat="1" applyFont="1"/>
    <xf numFmtId="0" fontId="8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topLeftCell="A20" workbookViewId="0">
      <selection activeCell="B26" sqref="B26"/>
    </sheetView>
  </sheetViews>
  <sheetFormatPr defaultColWidth="9" defaultRowHeight="14" outlineLevelCol="6"/>
  <cols>
    <col min="1" max="1" width="27" style="1" customWidth="1"/>
    <col min="2" max="2" width="20" style="1" customWidth="1"/>
    <col min="3" max="3" width="6.09090909090909" style="2" customWidth="1"/>
    <col min="4" max="4" width="34.2727272727273" style="1" customWidth="1"/>
    <col min="5" max="16384" width="9" style="1"/>
  </cols>
  <sheetData>
    <row r="1" ht="35" customHeight="1" spans="1:4">
      <c r="A1" s="3" t="s">
        <v>0</v>
      </c>
    </row>
    <row r="3" ht="16.5" spans="1:4">
      <c r="A3" s="4" t="s">
        <v>1</v>
      </c>
    </row>
    <row r="4" ht="14.5" spans="1:4">
      <c r="A4" s="5" t="s">
        <v>2</v>
      </c>
      <c r="B4" s="5" t="s">
        <v>3</v>
      </c>
      <c r="C4" s="5" t="s">
        <v>4</v>
      </c>
      <c r="D4" s="5" t="s">
        <v>5</v>
      </c>
    </row>
    <row r="5" spans="1:4">
      <c r="A5" s="6" t="s">
        <v>6</v>
      </c>
      <c r="B5" s="7">
        <v>6</v>
      </c>
      <c r="C5" s="8"/>
      <c r="D5" s="9"/>
    </row>
    <row r="6" ht="14.5" spans="1:4">
      <c r="A6" s="10" t="s">
        <v>7</v>
      </c>
      <c r="B6" s="11">
        <v>6000000</v>
      </c>
      <c r="C6" s="12" t="s">
        <v>8</v>
      </c>
      <c r="D6" s="9"/>
    </row>
    <row r="7" ht="14.5" spans="1:4">
      <c r="A7" s="13" t="s">
        <v>9</v>
      </c>
      <c r="B7" s="14">
        <v>0.6</v>
      </c>
      <c r="C7" s="8" t="s">
        <v>10</v>
      </c>
      <c r="D7" s="9"/>
    </row>
    <row r="8" ht="14.5" spans="1:4">
      <c r="A8" s="15" t="s">
        <v>11</v>
      </c>
      <c r="B8" s="11">
        <f>B6*B7</f>
        <v>3600000</v>
      </c>
      <c r="C8" s="12" t="s">
        <v>8</v>
      </c>
      <c r="D8" s="9"/>
    </row>
    <row r="9" ht="14.5" spans="1:4">
      <c r="A9" s="16" t="s">
        <v>12</v>
      </c>
      <c r="B9" s="11">
        <v>15000</v>
      </c>
      <c r="C9" s="8" t="s">
        <v>13</v>
      </c>
      <c r="D9" s="9"/>
    </row>
    <row r="10" ht="14.5" spans="1:4">
      <c r="A10" s="15" t="s">
        <v>14</v>
      </c>
      <c r="B10" s="17">
        <f>B9*B8</f>
        <v>54000000000</v>
      </c>
      <c r="C10" s="18" t="s">
        <v>15</v>
      </c>
      <c r="D10" s="9"/>
    </row>
    <row r="11" ht="14.5" spans="1:4">
      <c r="A11" s="13" t="s">
        <v>16</v>
      </c>
      <c r="B11" s="11">
        <v>18</v>
      </c>
      <c r="C11" s="8" t="s">
        <v>10</v>
      </c>
      <c r="D11" s="9"/>
    </row>
    <row r="12" ht="14.5" spans="1:4">
      <c r="A12" s="15" t="s">
        <v>17</v>
      </c>
      <c r="B12" s="17">
        <f>B10*B11/100</f>
        <v>9720000000</v>
      </c>
      <c r="C12" s="18" t="s">
        <v>15</v>
      </c>
      <c r="D12" s="9"/>
    </row>
    <row r="13" ht="14.5" spans="1:4">
      <c r="A13" s="13" t="s">
        <v>18</v>
      </c>
      <c r="B13" s="11">
        <v>8</v>
      </c>
      <c r="C13" s="8" t="s">
        <v>10</v>
      </c>
      <c r="D13" s="9"/>
    </row>
    <row r="14" ht="14.5" spans="1:4">
      <c r="A14" s="10" t="s">
        <v>19</v>
      </c>
      <c r="B14" s="17">
        <f>B13*B10/100</f>
        <v>4320000000</v>
      </c>
      <c r="C14" s="18" t="s">
        <v>15</v>
      </c>
      <c r="D14" s="9"/>
    </row>
    <row r="15" ht="14.5" spans="1:4">
      <c r="A15" s="13" t="s">
        <v>20</v>
      </c>
      <c r="B15" s="11">
        <v>3</v>
      </c>
      <c r="C15" s="8" t="s">
        <v>10</v>
      </c>
      <c r="D15" s="9"/>
    </row>
    <row r="16" ht="14.5" spans="1:4">
      <c r="A16" s="10" t="s">
        <v>21</v>
      </c>
      <c r="B16" s="17">
        <f>B15*B10/100</f>
        <v>1620000000</v>
      </c>
      <c r="C16" s="18" t="s">
        <v>15</v>
      </c>
      <c r="D16" s="9"/>
    </row>
    <row r="17" ht="14.5" spans="1:4">
      <c r="A17" s="13" t="s">
        <v>22</v>
      </c>
      <c r="B17" s="11">
        <v>4</v>
      </c>
      <c r="C17" s="8" t="s">
        <v>10</v>
      </c>
      <c r="D17" s="9"/>
    </row>
    <row r="18" ht="14.5" spans="1:4">
      <c r="A18" s="10" t="s">
        <v>23</v>
      </c>
      <c r="B18" s="7">
        <v>3</v>
      </c>
      <c r="C18" s="12" t="s">
        <v>10</v>
      </c>
      <c r="D18" s="9"/>
    </row>
    <row r="19" ht="14.5" spans="1:4">
      <c r="A19" s="13" t="s">
        <v>24</v>
      </c>
      <c r="B19" s="7">
        <f>B17-B18</f>
        <v>1</v>
      </c>
      <c r="C19" s="8" t="s">
        <v>10</v>
      </c>
      <c r="D19" s="9"/>
    </row>
    <row r="20" ht="14.5" spans="1:4">
      <c r="A20" s="10" t="s">
        <v>25</v>
      </c>
      <c r="B20" s="11">
        <f>B17*B10/100</f>
        <v>2160000000</v>
      </c>
      <c r="C20" s="18" t="s">
        <v>15</v>
      </c>
      <c r="D20" s="9"/>
    </row>
    <row r="21" ht="14.5" spans="1:4">
      <c r="A21" s="13" t="s">
        <v>26</v>
      </c>
      <c r="B21" s="11">
        <f>B10*B18/100</f>
        <v>1620000000</v>
      </c>
      <c r="C21" s="19" t="s">
        <v>15</v>
      </c>
      <c r="D21" s="9"/>
    </row>
    <row r="22" ht="14.5" spans="1:4">
      <c r="A22" s="10" t="s">
        <v>27</v>
      </c>
      <c r="B22" s="11">
        <f>B19*B10/100</f>
        <v>540000000</v>
      </c>
      <c r="C22" s="18" t="s">
        <v>15</v>
      </c>
      <c r="D22" s="9"/>
    </row>
    <row r="23" ht="14.5" spans="1:4">
      <c r="A23" s="13" t="s">
        <v>28</v>
      </c>
      <c r="B23" s="11">
        <f>B12-B14-B16-B21</f>
        <v>2160000000</v>
      </c>
      <c r="C23" s="19" t="s">
        <v>15</v>
      </c>
      <c r="D23" s="9"/>
    </row>
    <row r="24" ht="14.5" spans="1:4">
      <c r="A24" s="15" t="s">
        <v>29</v>
      </c>
      <c r="B24" s="20">
        <f>B23/B10*100</f>
        <v>4</v>
      </c>
      <c r="C24" s="18" t="s">
        <v>10</v>
      </c>
      <c r="D24" s="9"/>
    </row>
    <row r="25" ht="14.5" spans="1:4">
      <c r="A25" s="16" t="s">
        <v>30</v>
      </c>
      <c r="B25" s="20">
        <f>RATE(B5,(1+B24/100)/B5,-1)*12*100</f>
        <v>13.5868203671514</v>
      </c>
      <c r="C25" s="19" t="s">
        <v>10</v>
      </c>
      <c r="D25" s="9"/>
    </row>
    <row r="26" ht="14.5" spans="1:4">
      <c r="A26" s="21"/>
      <c r="B26" s="22"/>
      <c r="C26" s="23"/>
    </row>
  </sheetData>
  <mergeCells count="2">
    <mergeCell ref="A1:G1"/>
    <mergeCell ref="A3:G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全链路KPI测算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2026-04-02T09:33:00Z</dcterms:created>
  <dcterms:modified xsi:type="dcterms:W3CDTF">2026-04-15T10:03:49Z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12D1E3BA4C6A42A080D6C34448009F80_12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