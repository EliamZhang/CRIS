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tables/table1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8556ddccef440d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索引" sheetId="1" r:id="R1fa4b21965e849f1"/>
    <x:sheet xmlns:r="http://schemas.openxmlformats.org/officeDocument/2006/relationships" name="snapshot_meta" sheetId="2" r:id="R04716c501cf54df1"/>
    <x:sheet xmlns:r="http://schemas.openxmlformats.org/officeDocument/2006/relationships" name="channel_mapping" sheetId="3" r:id="R7bd413e6dc49400e"/>
    <x:sheet xmlns:r="http://schemas.openxmlformats.org/officeDocument/2006/relationships" name="monthly_channel_metrics" sheetId="4" r:id="R1add27f59a554a76"/>
    <x:sheet xmlns:r="http://schemas.openxmlformats.org/officeDocument/2006/relationships" name="records" sheetId="5" r:id="R490f897c9532409f"/>
    <x:sheet xmlns:r="http://schemas.openxmlformats.org/officeDocument/2006/relationships" name="touches" sheetId="6" r:id="Radcded8d10314fe4"/>
    <x:sheet xmlns:r="http://schemas.openxmlformats.org/officeDocument/2006/relationships" name="costs" sheetId="7" r:id="Rc31bcc100eca4282"/>
    <x:sheet xmlns:r="http://schemas.openxmlformats.org/officeDocument/2006/relationships" name="postback_events" sheetId="8" r:id="R66ebd728b6094c4f"/>
    <x:sheet xmlns:r="http://schemas.openxmlformats.org/officeDocument/2006/relationships" name="jobs" sheetId="9" r:id="R3e6d6b953b1d4cd6"/>
    <x:sheet xmlns:r="http://schemas.openxmlformats.org/officeDocument/2006/relationships" name="experiment_header" sheetId="10" r:id="Rb23f45692fbd42d4"/>
    <x:sheet xmlns:r="http://schemas.openxmlformats.org/officeDocument/2006/relationships" name="experiment_arms" sheetId="11" r:id="Rb2e2065203cf4617"/>
    <x:sheet xmlns:r="http://schemas.openxmlformats.org/officeDocument/2006/relationships" name="media_billing" sheetId="12" r:id="R7fd310cc924f477a"/>
    <x:sheet xmlns:r="http://schemas.openxmlformats.org/officeDocument/2006/relationships" name="google_ads_conversions" sheetId="13" r:id="R73d8e29a323343fb"/>
    <x:sheet xmlns:r="http://schemas.openxmlformats.org/officeDocument/2006/relationships" name="kpi_reference" sheetId="14" r:id="R3a28270654c749f9"/>
    <x:sheet xmlns:r="http://schemas.openxmlformats.org/officeDocument/2006/relationships" name="data_dictionary" sheetId="15" r:id="R10b5d80593c74f5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#,##0.00"/>
    <x:numFmt numFmtId="202" formatCode="0.0%"/>
  </x:numFmts>
  <x:fonts count="7">
    <x:font>
      <x:sz val="11"/>
      <x:name val="Carlito"/>
    </x:font>
    <x:font>
      <x:b/>
      <x:sz val="16"/>
      <x:color rgb="FF1F1F1F"/>
      <x:name val="Arial"/>
    </x:font>
    <x:font>
      <x:i/>
      <x:sz val="10"/>
      <x:color rgb="FF5B6573"/>
      <x:name val="Arial"/>
    </x:font>
    <x:font>
      <x:b/>
      <x:sz val="10"/>
      <x:color rgb="FFFFFFFF"/>
      <x:name val="Arial"/>
    </x:font>
    <x:font>
      <x:sz val="10"/>
      <x:name val="Arial"/>
    </x:font>
    <x:font>
      <x:b/>
      <x:sz val="10"/>
      <x:color rgb="FF1F1F1F"/>
      <x:name val="Arial"/>
    </x:font>
    <x:font>
      <x:sz val="10"/>
      <x:color rgb="FF1F1F1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">
    <x:border/>
  </x:borders>
  <x:cellStyleXfs count="1">
    <x:xf numFmtId="0" fontId="0" fillId="0" borderId="0"/>
  </x:cellStyleXfs>
  <x:cellXfs count="20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top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2" borderId="0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/>
    <x:xf numFmtId="0" fontId="6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6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e04f9814bb8452b" /><Relationship Type="http://schemas.openxmlformats.org/officeDocument/2006/relationships/theme" Target="/xl/theme/theme1.xml" Id="Rd44051428ce74b76" /><Relationship Type="http://schemas.microsoft.com/office/2022/11/relationships/FeaturePropertyBag" Target="/xl/featurePropertyBag/featurePropertyBag.xml" Id="Ra7399a42d2184889" /><Relationship Type="http://schemas.openxmlformats.org/officeDocument/2006/relationships/sharedStrings" Target="/xl/sharedStrings.xml" Id="R1e36c89047bc48b4" /><Relationship Type="http://schemas.openxmlformats.org/officeDocument/2006/relationships/worksheet" Target="/xl/worksheets/sheet1.xml" Id="R1fa4b21965e849f1" /><Relationship Type="http://schemas.openxmlformats.org/officeDocument/2006/relationships/worksheet" Target="/xl/worksheets/sheet2.xml" Id="R04716c501cf54df1" /><Relationship Type="http://schemas.openxmlformats.org/officeDocument/2006/relationships/worksheet" Target="/xl/worksheets/sheet3.xml" Id="R7bd413e6dc49400e" /><Relationship Type="http://schemas.openxmlformats.org/officeDocument/2006/relationships/worksheet" Target="/xl/worksheets/sheet4.xml" Id="R1add27f59a554a76" /><Relationship Type="http://schemas.openxmlformats.org/officeDocument/2006/relationships/worksheet" Target="/xl/worksheets/sheet5.xml" Id="R490f897c9532409f" /><Relationship Type="http://schemas.openxmlformats.org/officeDocument/2006/relationships/worksheet" Target="/xl/worksheets/sheet6.xml" Id="Radcded8d10314fe4" /><Relationship Type="http://schemas.openxmlformats.org/officeDocument/2006/relationships/worksheet" Target="/xl/worksheets/sheet7.xml" Id="Rc31bcc100eca4282" /><Relationship Type="http://schemas.openxmlformats.org/officeDocument/2006/relationships/worksheet" Target="/xl/worksheets/sheet8.xml" Id="R66ebd728b6094c4f" /><Relationship Type="http://schemas.openxmlformats.org/officeDocument/2006/relationships/worksheet" Target="/xl/worksheets/sheet9.xml" Id="R3e6d6b953b1d4cd6" /><Relationship Type="http://schemas.openxmlformats.org/officeDocument/2006/relationships/worksheet" Target="/xl/worksheets/sheet10.xml" Id="Rb23f45692fbd42d4" /><Relationship Type="http://schemas.openxmlformats.org/officeDocument/2006/relationships/worksheet" Target="/xl/worksheets/sheet11.xml" Id="Rb2e2065203cf4617" /><Relationship Type="http://schemas.openxmlformats.org/officeDocument/2006/relationships/worksheet" Target="/xl/worksheets/sheet12.xml" Id="R7fd310cc924f477a" /><Relationship Type="http://schemas.openxmlformats.org/officeDocument/2006/relationships/worksheet" Target="/xl/worksheets/sheet13.xml" Id="R73d8e29a323343fb" /><Relationship Type="http://schemas.openxmlformats.org/officeDocument/2006/relationships/worksheet" Target="/xl/worksheets/sheet14.xml" Id="R3a28270654c749f9" /><Relationship Type="http://schemas.openxmlformats.org/officeDocument/2006/relationships/worksheet" Target="/xl/worksheets/sheet15.xml" Id="R10b5d80593c74f5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CuratedIndex" displayName="CuratedIndex" ref="A4:F17" headerRowCount="1" totalsRowCount="0" totalsRowShown="0">
  <x:tableColumns count="6">
    <x:tableColumn id="1" name="tableName"/>
    <x:tableColumn id="2" name="中文名称"/>
    <x:tableColumn id="3" name="粒度/主键"/>
    <x:tableColumn id="4" name="来源"/>
    <x:tableColumn id="5" name="HTML用途"/>
    <x:tableColumn id="6" name="处理说明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napshotMetaTable" displayName="SnapshotMetaTable" ref="A1:E9" headerRowCount="1" totalsRowCount="0" totalsRowShown="0">
  <x:tableColumns count="5">
    <x:tableColumn id="1" name="key"/>
    <x:tableColumn id="2" name="value"/>
    <x:tableColumn id="3" name="required"/>
    <x:tableColumn id="4" name="source"/>
    <x:tableColumn id="5" name="description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ChannelMappingTable" displayName="ChannelMappingTable" ref="A1:F10" headerRowCount="1" totalsRowCount="0" totalsRowShown="0">
  <x:tableColumns count="6">
    <x:tableColumn id="1" name="monthlyChannel"/>
    <x:tableColumn id="2" name="detailChannel"/>
    <x:tableColumn id="3" name="mappingType"/>
    <x:tableColumn id="4" name="status"/>
    <x:tableColumn id="5" name="rule"/>
    <x:tableColumn id="6" name="note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MonthlyChannelMetricsTable" displayName="MonthlyChannelMetricsTable" ref="A1:O271" headerRowCount="1" totalsRowCount="0" totalsRowShown="0">
  <x:tableColumns count="15">
    <x:tableColumn id="1" name="month"/>
    <x:tableColumn id="2" name="channel"/>
    <x:tableColumn id="3" name="leads"/>
    <x:tableColumn id="4" name="funded"/>
    <x:tableColumn id="5" name="cpfl"/>
    <x:tableColumn id="6" name="green_pct"/>
    <x:tableColumn id="7" name="orange_pct"/>
    <x:tableColumn id="8" name="red_pct"/>
    <x:tableColumn id="9" name="na_pct"/>
    <x:tableColumn id="10" name="green_n"/>
    <x:tableColumn id="11" name="orange_n"/>
    <x:tableColumn id="12" name="red_n"/>
    <x:tableColumn id="13" name="na_n"/>
    <x:tableColumn id="14" name="quality_sample_n"/>
    <x:tableColumn id="15" name="source_statu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RecordsTable" displayName="RecordsTable" ref="A1:AF61" headerRowCount="1" totalsRowCount="0" totalsRowShown="0">
  <x:tableColumns count="32">
    <x:tableColumn id="1" name="id"/>
    <x:tableColumn id="2" name="userId"/>
    <x:tableColumn id="3" name="applicationId"/>
    <x:tableColumn id="4" name="loanId"/>
    <x:tableColumn id="5" name="cohort"/>
    <x:tableColumn id="6" name="channel"/>
    <x:tableColumn id="7" name="campaign"/>
    <x:tableColumn id="8" name="brand"/>
    <x:tableColumn id="9" name="customer"/>
    <x:tableColumn id="10" name="region"/>
    <x:tableColumn id="11" name="device"/>
    <x:tableColumn id="12" name="product"/>
    <x:tableColumn id="13" name="started"/>
    <x:tableColumn id="14" name="submitted"/>
    <x:tableColumn id="15" name="qualified"/>
    <x:tableColumn id="16" name="approved"/>
    <x:tableColumn id="17" name="funded"/>
    <x:tableColumn id="18" name="impressions"/>
    <x:tableColumn id="19" name="clicks"/>
    <x:tableColumn id="20" name="sessions"/>
    <x:tableColumn id="21" name="loanAmount"/>
    <x:tableColumn id="22" name="interest"/>
    <x:tableColumn id="23" name="fees"/>
    <x:tableColumn id="24" name="fundingCost"/>
    <x:tableColumn id="25" name="servicingCost"/>
    <x:tableColumn id="26" name="expectedLoss"/>
    <x:tableColumn id="27" name="ltv"/>
    <x:tableColumn id="28" name="fraud"/>
    <x:tableColumn id="29" name="firstDue"/>
    <x:tableColumn id="30" name="m1bad"/>
    <x:tableColumn id="31" name="thirdDue"/>
    <x:tableColumn id="32" name="m3bad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ouchesTable" displayName="TouchesTable" ref="A1:H79" headerRowCount="1" totalsRowCount="0" totalsRowShown="0">
  <x:tableColumns count="8">
    <x:tableColumn id="1" name="recordId"/>
    <x:tableColumn id="2" name="id"/>
    <x:tableColumn id="3" name="day"/>
    <x:tableColumn id="4" name="channel"/>
    <x:tableColumn id="5" name="campaign"/>
    <x:tableColumn id="6" name="brand"/>
    <x:tableColumn id="7" name="kind"/>
    <x:tableColumn id="8" name="consent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CostsTable" displayName="CostsTable" ref="A1:D77" headerRowCount="1" totalsRowCount="0" totalsRowShown="0">
  <x:tableColumns count="4">
    <x:tableColumn id="1" name="recordId"/>
    <x:tableColumn id="2" name="channel"/>
    <x:tableColumn id="3" name="campaign"/>
    <x:tableColumn id="4" name="amount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PostbackEventsTable" displayName="PostbackEventsTable" ref="A1:T154" headerRowCount="1" totalsRowCount="0" totalsRowShown="0">
  <x:tableColumns count="20">
    <x:tableColumn id="1" name="recordId"/>
    <x:tableColumn id="2" name="businessKey"/>
    <x:tableColumn id="3" name="eventId"/>
    <x:tableColumn id="4" name="event"/>
    <x:tableColumn id="5" name="day"/>
    <x:tableColumn id="6" name="eligible"/>
    <x:tableColumn id="7" name="matchable"/>
    <x:tableColumn id="8" name="queued"/>
    <x:tableColumn id="9" name="sent"/>
    <x:tableColumn id="10" name="accepted"/>
    <x:tableColumn id="11" name="processed"/>
    <x:tableColumn id="12" name="reported"/>
    <x:tableColumn id="13" name="rawCount"/>
    <x:tableColumn id="14" name="mmp"/>
    <x:tableColumn id="15" name="latency"/>
    <x:tableColumn id="16" name="amountOk"/>
    <x:tableColumn id="17" name="statusOk"/>
    <x:tableColumn id="18" name="timeOk"/>
    <x:tableColumn id="19" name="eventTime"/>
    <x:tableColumn id="20" name="firstSentTime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JobsTable" displayName="JobsTable" ref="A1:E8" headerRowCount="1" totalsRowCount="0" totalsRowShown="0">
  <x:tableColumns count="5">
    <x:tableColumn id="1" name="name"/>
    <x:tableColumn id="2" name="owner"/>
    <x:tableColumn id="3" name="freshness"/>
    <x:tableColumn id="4" name="sla"/>
    <x:tableColumn id="5" name="succes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ExperimentHeaderTable" displayName="ExperimentHeaderTable" ref="A1:F4" headerRowCount="1" totalsRowCount="0" totalsRowShown="0">
  <x:tableColumns count="6">
    <x:tableColumn id="1" name="experimentId"/>
    <x:tableColumn id="2" name="experimentName"/>
    <x:tableColumn id="3" name="experimentType"/>
    <x:tableColumn id="4" name="randomizationUnit"/>
    <x:tableColumn id="5" name="periodStart"/>
    <x:tableColumn id="6" name="periodEnd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ExperimentArmsTable" displayName="ExperimentArmsTable" ref="A1:I11" headerRowCount="1" totalsRowCount="0" totalsRowShown="0">
  <x:tableColumns count="9">
    <x:tableColumn id="1" name="experimentId"/>
    <x:tableColumn id="2" name="unitValue"/>
    <x:tableColumn id="3" name="group"/>
    <x:tableColumn id="4" name="assignedUsers"/>
    <x:tableColumn id="5" name="prePeriodFirstLoans"/>
    <x:tableColumn id="6" name="firstLoanUsers"/>
    <x:tableColumn id="7" name="mediaSpendAud"/>
    <x:tableColumn id="8" name="contributionAud"/>
    <x:tableColumn id="9" name="sourceTable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MediaBillingTable" displayName="MediaBillingTable" ref="A1:G37" headerRowCount="1" totalsRowCount="0" totalsRowShown="0">
  <x:tableColumns count="7">
    <x:tableColumn id="1" name="month"/>
    <x:tableColumn id="2" name="channel"/>
    <x:tableColumn id="3" name="campaign"/>
    <x:tableColumn id="4" name="currency"/>
    <x:tableColumn id="5" name="mediaCost"/>
    <x:tableColumn id="6" name="impressions"/>
    <x:tableColumn id="7" name="clicks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GoogleAdsConversionsTable" displayName="GoogleAdsConversionsTable" ref="A1:F33" headerRowCount="1" totalsRowCount="0" totalsRowShown="0">
  <x:tableColumns count="6">
    <x:tableColumn id="1" name="month"/>
    <x:tableColumn id="2" name="channel"/>
    <x:tableColumn id="3" name="campaign"/>
    <x:tableColumn id="4" name="conversionAction"/>
    <x:tableColumn id="5" name="conversions"/>
    <x:tableColumn id="6" name="conversionValue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4" name="KpiReferenceTable" displayName="KpiReferenceTable" ref="A1:C144" headerRowCount="1" totalsRowCount="0" totalsRowShown="0">
  <x:tableColumns count="3">
    <x:tableColumn id="1" name="metric_name"/>
    <x:tableColumn id="2" name="month"/>
    <x:tableColumn id="3" name="metric_value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5" name="CuratedDictionaryTable" displayName="CuratedDictionaryTable" ref="A1:J127" headerRowCount="1" totalsRowCount="0" totalsRowShown="0">
  <x:tableColumns count="10">
    <x:tableColumn id="1" name="表名"/>
    <x:tableColumn id="2" name="字段"/>
    <x:tableColumn id="3" name="中文意思"/>
    <x:tableColumn id="4" name="数据类型"/>
    <x:tableColumn id="5" name="字段类型"/>
    <x:tableColumn id="6" name="是否必填"/>
    <x:tableColumn id="7" name="键角色"/>
    <x:tableColumn id="8" name="来源字段/配置"/>
    <x:tableColumn id="9" name="HTML映射"/>
    <x:tableColumn id="10" name="备注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971f0291c884df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348d30fbedf8484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fe4dffd8b5254e9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d0059ed870c848b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ffac46a0ddda412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bda5f1680bce460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0eb5923b12854b9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78d4529b6e60450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c9f0e23297e64e11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09583539a188473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a5657103a733480c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2.xml" Id="R800da014175242b3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3.xml" Id="Raf75ee82cb894fcc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4.xml" Id="R822f400f9317448f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5.xml" Id="Rf198d150d44f46da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18" hidden="0" customWidth="1"/>
    <x:col min="3" max="3" width="25" hidden="0" customWidth="1"/>
    <x:col min="4" max="4" width="18" hidden="0" customWidth="1"/>
    <x:col min="5" max="5" width="24" hidden="0" customWidth="1"/>
    <x:col min="6" max="6" width="38" hidden="0" customWidth="1"/>
  </x:cols>
  <x:sheetData>
    <x:row r="1">
      <x:c r="A1" s="1" t="str">
        <x:v>监控加工模型</x:v>
      </x:c>
      <x:c r="B1" t="str"/>
      <x:c r="C1" t="str"/>
      <x:c r="D1" t="str"/>
      <x:c r="E1" t="str"/>
      <x:c r="F1" t="str"/>
    </x:row>
    <x:row r="2">
      <x:c r="A2" s="2" t="str">
        <x:v>原始文件保持不变；本工作簿用于统一分析粒度、记录映射和生成HTML导入快照。</x:v>
      </x:c>
      <x:c r="B2" t="str"/>
      <x:c r="C2" t="str"/>
      <x:c r="D2" t="str"/>
      <x:c r="E2" t="str"/>
      <x:c r="F2" t="str"/>
    </x:row>
    <x:row r="4" ht="34" customHeight="1">
      <x:c r="A4" s="9" t="str">
        <x:v>tableName</x:v>
      </x:c>
      <x:c r="B4" s="9" t="str">
        <x:v>中文名称</x:v>
      </x:c>
      <x:c r="C4" s="9" t="str">
        <x:v>粒度/主键</x:v>
      </x:c>
      <x:c r="D4" s="9" t="str">
        <x:v>来源</x:v>
      </x:c>
      <x:c r="E4" s="9" t="str">
        <x:v>HTML用途</x:v>
      </x:c>
      <x:c r="F4" s="9" t="str">
        <x:v>处理说明</x:v>
      </x:c>
    </x:row>
    <x:row r="5" ht="34" customHeight="1">
      <x:c r="A5" s="10" t="str">
        <x:v>snapshot_meta</x:v>
      </x:c>
      <x:c r="B5" s="10" t="str">
        <x:v>快照元数据</x:v>
      </x:c>
      <x:c r="C5" s="10" t="str">
        <x:v>key</x:v>
      </x:c>
      <x:c r="D5" s="10" t="str">
        <x:v>配置+业务确认</x:v>
      </x:c>
      <x:c r="E5" s="10" t="str">
        <x:v>生成schemaVersion=2 meta</x:v>
      </x:c>
      <x:c r="F5" s="10" t="str">
        <x:v>真实刷新时重点维护asOf、valuationVersion、dataClass</x:v>
      </x:c>
    </x:row>
    <x:row r="6" ht="34" customHeight="1">
      <x:c r="A6" s="10" t="str">
        <x:v>channel_mapping</x:v>
      </x:c>
      <x:c r="B6" s="10" t="str">
        <x:v>渠道映射</x:v>
      </x:c>
      <x:c r="C6" s="10" t="str">
        <x:v>monthlyChannel+detailChannel</x:v>
      </x:c>
      <x:c r="D6" s="10" t="str">
        <x:v>口径确认</x:v>
      </x:c>
      <x:c r="E6" s="10" t="str">
        <x:v>跨层比较辅助</x:v>
      </x:c>
      <x:c r="F6" s="10" t="str">
        <x:v>待确认映射不自动合并计算</x:v>
      </x:c>
    </x:row>
    <x:row r="7" ht="34" customHeight="1">
      <x:c r="A7" s="10" t="str">
        <x:v>monthly_channel_metrics</x:v>
      </x:c>
      <x:c r="B7" s="10" t="str">
        <x:v>月度渠道指标</x:v>
      </x:c>
      <x:c r="C7" s="10" t="str">
        <x:v>month+channel</x:v>
      </x:c>
      <x:c r="D7" s="10" t="str">
        <x:v>01/02/03/04/13</x:v>
      </x:c>
      <x:c r="E7" s="10" t="str">
        <x:v>分析层月度指标</x:v>
      </x:c>
      <x:c r="F7" s="10" t="str">
        <x:v>CPFL保留原值；样本量仅24个键</x:v>
      </x:c>
    </x:row>
    <x:row r="8" ht="34" customHeight="1">
      <x:c r="A8" s="10" t="str">
        <x:v>records</x:v>
      </x:c>
      <x:c r="B8" s="10" t="str">
        <x:v>获客明细</x:v>
      </x:c>
      <x:c r="C8" s="10" t="str">
        <x:v>id</x:v>
      </x:c>
      <x:c r="D8" s="10" t="str">
        <x:v>06</x:v>
      </x:c>
      <x:c r="E8" s="10" t="str">
        <x:v>records[]</x:v>
      </x:c>
      <x:c r="F8" s="10" t="str">
        <x:v>不与一对多子表物理平铺</x:v>
      </x:c>
    </x:row>
    <x:row r="9" ht="34" customHeight="1">
      <x:c r="A9" s="10" t="str">
        <x:v>touches</x:v>
      </x:c>
      <x:c r="B9" s="10" t="str">
        <x:v>触点明细</x:v>
      </x:c>
      <x:c r="C9" s="10" t="str">
        <x:v>recordId+id</x:v>
      </x:c>
      <x:c r="D9" s="10" t="str">
        <x:v>07</x:v>
      </x:c>
      <x:c r="E9" s="10" t="str">
        <x:v>records[].touches[]</x:v>
      </x:c>
      <x:c r="F9" s="10" t="str">
        <x:v>touchId已改为HTML所需id</x:v>
      </x:c>
    </x:row>
    <x:row r="10" ht="34" customHeight="1">
      <x:c r="A10" s="10" t="str">
        <x:v>costs</x:v>
      </x:c>
      <x:c r="B10" s="10" t="str">
        <x:v>成本分摊</x:v>
      </x:c>
      <x:c r="C10" s="10" t="str">
        <x:v>recordId+channel+campaign</x:v>
      </x:c>
      <x:c r="D10" s="10" t="str">
        <x:v>08</x:v>
      </x:c>
      <x:c r="E10" s="10" t="str">
        <x:v>records[].costs[]</x:v>
      </x:c>
      <x:c r="F10" s="10" t="str">
        <x:v>Cohort成本，不等同媒体账单</x:v>
      </x:c>
    </x:row>
    <x:row r="11" ht="34" customHeight="1">
      <x:c r="A11" s="10" t="str">
        <x:v>postback_events</x:v>
      </x:c>
      <x:c r="B11" s="10" t="str">
        <x:v>回传事件</x:v>
      </x:c>
      <x:c r="C11" s="10" t="str">
        <x:v>businessKey</x:v>
      </x:c>
      <x:c r="D11" s="10" t="str">
        <x:v>09+14</x:v>
      </x:c>
      <x:c r="E11" s="10" t="str">
        <x:v>postbacks[]</x:v>
      </x:c>
      <x:c r="F11" s="10" t="str">
        <x:v>补充eventTime/firstSentTime并保留latency</x:v>
      </x:c>
    </x:row>
    <x:row r="12" ht="34" customHeight="1">
      <x:c r="A12" s="10" t="str">
        <x:v>jobs</x:v>
      </x:c>
      <x:c r="B12" s="10" t="str">
        <x:v>系统任务</x:v>
      </x:c>
      <x:c r="C12" s="10" t="str">
        <x:v>name</x:v>
      </x:c>
      <x:c r="D12" s="10" t="str">
        <x:v>10</x:v>
      </x:c>
      <x:c r="E12" s="10" t="str">
        <x:v>jobs[]</x:v>
      </x:c>
      <x:c r="F12" s="10" t="str">
        <x:v>全局快照</x:v>
      </x:c>
    </x:row>
    <x:row r="13" ht="34" customHeight="1">
      <x:c r="A13" s="10" t="str">
        <x:v>experiment_header</x:v>
      </x:c>
      <x:c r="B13" s="10" t="str">
        <x:v>实验主表</x:v>
      </x:c>
      <x:c r="C13" s="10" t="str">
        <x:v>experimentId</x:v>
      </x:c>
      <x:c r="D13" s="10" t="str">
        <x:v>11+16</x:v>
      </x:c>
      <x:c r="E13" s="10" t="str">
        <x:v>增量证据</x:v>
      </x:c>
      <x:c r="F13" s="10" t="str">
        <x:v>统一Holdout与Geo Lift实验定义</x:v>
      </x:c>
    </x:row>
    <x:row r="14" ht="34" customHeight="1">
      <x:c r="A14" s="10" t="str">
        <x:v>experiment_arms</x:v>
      </x:c>
      <x:c r="B14" s="10" t="str">
        <x:v>实验组结果</x:v>
      </x:c>
      <x:c r="C14" s="10" t="str">
        <x:v>experimentId+unitValue+group</x:v>
      </x:c>
      <x:c r="D14" s="10" t="str">
        <x:v>11+16</x:v>
      </x:c>
      <x:c r="E14" s="10" t="str">
        <x:v>增量证据</x:v>
      </x:c>
      <x:c r="F14" s="10" t="str">
        <x:v>组规模和实验前基线允许按实验类型为空</x:v>
      </x:c>
    </x:row>
    <x:row r="15" ht="34" customHeight="1">
      <x:c r="A15" s="10" t="str">
        <x:v>media_billing</x:v>
      </x:c>
      <x:c r="B15" s="10" t="str">
        <x:v>媒体月账单</x:v>
      </x:c>
      <x:c r="C15" s="10" t="str">
        <x:v>month+channel+campaign</x:v>
      </x:c>
      <x:c r="D15" s="10" t="str">
        <x:v>12</x:v>
      </x:c>
      <x:c r="E15" s="10" t="str">
        <x:v>CPFL/CPC口径核对</x:v>
      </x:c>
      <x:c r="F15" s="10" t="str">
        <x:v>不与Cohort成本混算</x:v>
      </x:c>
    </x:row>
    <x:row r="16" ht="34" customHeight="1">
      <x:c r="A16" s="10" t="str">
        <x:v>google_ads_conversions</x:v>
      </x:c>
      <x:c r="B16" s="10" t="str">
        <x:v>Google平台转化</x:v>
      </x:c>
      <x:c r="C16" s="10" t="str">
        <x:v>month+campaign+conversionAction</x:v>
      </x:c>
      <x:c r="D16" s="10" t="str">
        <x:v>15</x:v>
      </x:c>
      <x:c r="E16" s="10" t="str">
        <x:v>平台对账证据</x:v>
      </x:c>
      <x:c r="F16" s="10" t="str">
        <x:v>已移除重复cost/clicks/currency</x:v>
      </x:c>
    </x:row>
    <x:row r="17" ht="34" customHeight="1">
      <x:c r="A17" s="10" t="str">
        <x:v>kpi_reference</x:v>
      </x:c>
      <x:c r="B17" s="10" t="str">
        <x:v>年度KPI参照</x:v>
      </x:c>
      <x:c r="C17" s="10" t="str">
        <x:v>metric_name+month</x:v>
      </x:c>
      <x:c r="D17" s="10" t="str">
        <x:v>05</x:v>
      </x:c>
      <x:c r="E17" s="10" t="str">
        <x:v>Y26KPI参照</x:v>
      </x:c>
      <x:c r="F17" s="10" t="str">
        <x:v>与实际月度指标分层保留</x:v>
      </x:c>
    </x:row>
  </x:sheetData>
  <x:pageMargins left="0.7" right="0.7" top="0.75" bottom="0.75" header="0.3" footer="0.3"/>
  <x:tableParts count="1">
    <x:tablePart xmlns:r="http://schemas.openxmlformats.org/officeDocument/2006/relationships" r:id="R4971f0291c884df4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28" hidden="0" customWidth="1"/>
    <x:col min="3" max="3" width="14" hidden="0" customWidth="1"/>
    <x:col min="4" max="4" width="24" hidden="0" customWidth="1"/>
    <x:col min="5" max="5" width="40" hidden="0" customWidth="1"/>
  </x:cols>
  <x:sheetData>
    <x:row r="1">
      <x:c r="A1" s="9" t="str">
        <x:v>key</x:v>
      </x:c>
      <x:c r="B1" s="9" t="str">
        <x:v>value</x:v>
      </x:c>
      <x:c r="C1" s="9" t="str">
        <x:v>required</x:v>
      </x:c>
      <x:c r="D1" s="9" t="str">
        <x:v>source</x:v>
      </x:c>
      <x:c r="E1" s="9" t="str">
        <x:v>description</x:v>
      </x:c>
    </x:row>
    <x:row r="2">
      <x:c r="A2" s="15" t="str">
        <x:v>schemaVersion</x:v>
      </x:c>
      <x:c r="B2" s="15" t="n">
        <x:v>2</x:v>
      </x:c>
      <x:c r="C2" s="16" t="b">
        <x:v>1</x:v>
      </x:c>
      <x:c r="D2" s="15" t="str">
        <x:v>HTML合同固定值</x:v>
      </x:c>
      <x:c r="E2" s="15" t="str">
        <x:v>明细快照版本</x:v>
      </x:c>
    </x:row>
    <x:row r="3">
      <x:c r="A3" s="15" t="str">
        <x:v>asOf</x:v>
      </x:c>
      <x:c r="B3" s="15" t="str">
        <x:v>2026-09-07</x:v>
      </x:c>
      <x:c r="C3" s="16" t="b">
        <x:v>1</x:v>
      </x:c>
      <x:c r="D3" s="15" t="str">
        <x:v>数据快照日期</x:v>
      </x:c>
      <x:c r="E3" s="15" t="str">
        <x:v>YYYY-MM-DD；真实数据刷新时必须更新</x:v>
      </x:c>
    </x:row>
    <x:row r="4">
      <x:c r="A4" s="15" t="str">
        <x:v>currency</x:v>
      </x:c>
      <x:c r="B4" s="15" t="str">
        <x:v>AUD</x:v>
      </x:c>
      <x:c r="C4" s="16" t="b">
        <x:v>1</x:v>
      </x:c>
      <x:c r="D4" s="15" t="str">
        <x:v>12.currency/业务确认</x:v>
      </x:c>
      <x:c r="E4" s="15" t="str">
        <x:v>金额字段币种</x:v>
      </x:c>
    </x:row>
    <x:row r="5">
      <x:c r="A5" s="15" t="str">
        <x:v>timezone</x:v>
      </x:c>
      <x:c r="B5" s="15" t="str">
        <x:v>Australia/Sydney</x:v>
      </x:c>
      <x:c r="C5" s="16" t="b">
        <x:v>1</x:v>
      </x:c>
      <x:c r="D5" s="15" t="str">
        <x:v>HTML合同固定值</x:v>
      </x:c>
      <x:c r="E5" s="15" t="str">
        <x:v>业务日期与时戳时区</x:v>
      </x:c>
    </x:row>
    <x:row r="6">
      <x:c r="A6" s="15" t="str">
        <x:v>valuationVersion</x:v>
      </x:c>
      <x:c r="B6" s="15" t="str">
        <x:v>expected_lifetime_v1</x:v>
      </x:c>
      <x:c r="C6" s="16" t="b">
        <x:v>1</x:v>
      </x:c>
      <x:c r="D6" s="15" t="str">
        <x:v>价值模型负责人</x:v>
      </x:c>
      <x:c r="E6" s="15" t="str">
        <x:v>LTV及贡献预测版本</x:v>
      </x:c>
    </x:row>
    <x:row r="7">
      <x:c r="A7" s="15" t="str">
        <x:v>costBasis</x:v>
      </x:c>
      <x:c r="B7" s="15" t="str">
        <x:v>acquisition_cohort_allocated</x:v>
      </x:c>
      <x:c r="C7" s="16" t="b">
        <x:v>1</x:v>
      </x:c>
      <x:c r="D7" s="15" t="str">
        <x:v>HTML合同固定值</x:v>
      </x:c>
      <x:c r="E7" s="15" t="str">
        <x:v>获客Cohort分摊成本口径</x:v>
      </x:c>
    </x:row>
    <x:row r="8">
      <x:c r="A8" s="15" t="str">
        <x:v>dataClass</x:v>
      </x:c>
      <x:c r="B8" s="15" t="str">
        <x:v>sample</x:v>
      </x:c>
      <x:c r="C8" s="16" t="b">
        <x:v>1</x:v>
      </x:c>
      <x:c r="D8" s="15" t="str">
        <x:v>文件状态</x:v>
      </x:c>
      <x:c r="E8" s="15" t="str">
        <x:v>真实替换后改为real</x:v>
      </x:c>
    </x:row>
    <x:row r="9">
      <x:c r="A9" s="15" t="str">
        <x:v>mode</x:v>
      </x:c>
      <x:c r="B9" s="15" t="str">
        <x:v>加工层样例快照</x:v>
      </x:c>
      <x:c r="C9" s="16" t="b">
        <x:v>0</x:v>
      </x:c>
      <x:c r="D9" s="15" t="str">
        <x:v>显示配置</x:v>
      </x:c>
      <x:c r="E9" s="15" t="str">
        <x:v>HTML顶栏数据来源名称</x:v>
      </x:c>
    </x:row>
  </x:sheetData>
  <x:pageMargins left="0.7" right="0.7" top="0.75" bottom="0.75" header="0.3" footer="0.3"/>
  <x:tableParts count="1">
    <x:tablePart xmlns:r="http://schemas.openxmlformats.org/officeDocument/2006/relationships" r:id="R348d30fbedf84844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14" hidden="0" customWidth="1"/>
    <x:col min="4" max="4" width="14" hidden="0" customWidth="1"/>
    <x:col min="5" max="5" width="32" hidden="0" customWidth="1"/>
    <x:col min="6" max="6" width="32" hidden="0" customWidth="1"/>
  </x:cols>
  <x:sheetData>
    <x:row r="1">
      <x:c r="A1" s="9" t="str">
        <x:v>monthlyChannel</x:v>
      </x:c>
      <x:c r="B1" s="9" t="str">
        <x:v>detailChannel</x:v>
      </x:c>
      <x:c r="C1" s="9" t="str">
        <x:v>mappingType</x:v>
      </x:c>
      <x:c r="D1" s="9" t="str">
        <x:v>status</x:v>
      </x:c>
      <x:c r="E1" s="9" t="str">
        <x:v>rule</x:v>
      </x:c>
      <x:c r="F1" s="9" t="str">
        <x:v>notes</x:v>
      </x:c>
    </x:row>
    <x:row r="2">
      <x:c r="A2" s="15" t="str">
        <x:v>Google</x:v>
      </x:c>
      <x:c r="B2" s="15" t="str">
        <x:v>Google Search | Google PMax</x:v>
      </x:c>
      <x:c r="C2" s="15" t="str">
        <x:v>一对多</x:v>
      </x:c>
      <x:c r="D2" s="15" t="str">
        <x:v>待确认</x:v>
      </x:c>
      <x:c r="E2" s="15" t="str">
        <x:v>按campaign拆分</x:v>
      </x:c>
      <x:c r="F2" s="15" t="str">
        <x:v>真实月报Google为合并口径</x:v>
      </x:c>
    </x:row>
    <x:row r="3">
      <x:c r="A3" s="15" t="str">
        <x:v>Meta</x:v>
      </x:c>
      <x:c r="B3" s="15" t="str">
        <x:v>Meta</x:v>
      </x:c>
      <x:c r="C3" s="15" t="str">
        <x:v>一对一</x:v>
      </x:c>
      <x:c r="D3" s="15" t="str">
        <x:v>已对齐</x:v>
      </x:c>
      <x:c r="E3" s="15" t="str">
        <x:v>直接映射</x:v>
      </x:c>
      <x:c r="F3" s="15" t="str"/>
    </x:row>
    <x:row r="4">
      <x:c r="A4" s="15" t="str">
        <x:v>Tiktok</x:v>
      </x:c>
      <x:c r="B4" s="15" t="str">
        <x:v>TikTok</x:v>
      </x:c>
      <x:c r="C4" s="15" t="str">
        <x:v>一对一</x:v>
      </x:c>
      <x:c r="D4" s="15" t="str">
        <x:v>已对齐</x:v>
      </x:c>
      <x:c r="E4" s="15" t="str">
        <x:v>仅统一大小写</x:v>
      </x:c>
      <x:c r="F4" s="15" t="str"/>
    </x:row>
    <x:row r="5">
      <x:c r="A5" s="15" t="str">
        <x:v>Organic</x:v>
      </x:c>
      <x:c r="B5" s="15" t="str">
        <x:v>Organic</x:v>
      </x:c>
      <x:c r="C5" s="15" t="str">
        <x:v>一对一</x:v>
      </x:c>
      <x:c r="D5" s="15" t="str">
        <x:v>已对齐</x:v>
      </x:c>
      <x:c r="E5" s="15" t="str">
        <x:v>直接映射</x:v>
      </x:c>
      <x:c r="F5" s="15" t="str"/>
    </x:row>
    <x:row r="6">
      <x:c r="A6" s="15" t="str">
        <x:v>Owned Channels</x:v>
      </x:c>
      <x:c r="B6" s="15" t="str">
        <x:v>CRM</x:v>
      </x:c>
      <x:c r="C6" s="15" t="str">
        <x:v>近似映射</x:v>
      </x:c>
      <x:c r="D6" s="15" t="str">
        <x:v>待确认</x:v>
      </x:c>
      <x:c r="E6" s="15" t="str">
        <x:v>确认推送/站内信/邮件归属</x:v>
      </x:c>
      <x:c r="F6" s="15" t="str">
        <x:v>不可直接视为完全一致</x:v>
      </x:c>
    </x:row>
    <x:row r="7">
      <x:c r="A7" s="15" t="str">
        <x:v>Lead Partner</x:v>
      </x:c>
      <x:c r="B7" s="15" t="str">
        <x:v>Affiliate</x:v>
      </x:c>
      <x:c r="C7" s="15" t="str">
        <x:v>近似映射</x:v>
      </x:c>
      <x:c r="D7" s="15" t="str">
        <x:v>待确认</x:v>
      </x:c>
      <x:c r="E7" s="15" t="str">
        <x:v>确认合作方归属</x:v>
      </x:c>
      <x:c r="F7" s="15" t="str">
        <x:v>不可直接视为完全一致</x:v>
      </x:c>
    </x:row>
    <x:row r="8">
      <x:c r="A8" s="15" t="str">
        <x:v>Bing</x:v>
      </x:c>
      <x:c r="B8" s="15" t="str"/>
      <x:c r="C8" s="15" t="str">
        <x:v>未映射</x:v>
      </x:c>
      <x:c r="D8" s="15" t="str">
        <x:v>待处理</x:v>
      </x:c>
      <x:c r="E8" s="15" t="str">
        <x:v>补充明细渠道或保持月报层独立</x:v>
      </x:c>
      <x:c r="F8" s="15" t="str">
        <x:v>明细合同CH目前无Bing</x:v>
      </x:c>
    </x:row>
    <x:row r="9">
      <x:c r="A9" s="15" t="str">
        <x:v>GEO</x:v>
      </x:c>
      <x:c r="B9" s="15" t="str"/>
      <x:c r="C9" s="15" t="str">
        <x:v>未映射</x:v>
      </x:c>
      <x:c r="D9" s="15" t="str">
        <x:v>待处理</x:v>
      </x:c>
      <x:c r="E9" s="15" t="str">
        <x:v>补充应用商店渠道或保持月报层独立</x:v>
      </x:c>
      <x:c r="F9" s="15" t="str">
        <x:v>明细合同CH目前无GEO</x:v>
      </x:c>
    </x:row>
    <x:row r="10">
      <x:c r="A10" s="15" t="str"/>
      <x:c r="B10" s="15" t="str">
        <x:v>Direct</x:v>
      </x:c>
      <x:c r="C10" s="15" t="str">
        <x:v>明细层独有</x:v>
      </x:c>
      <x:c r="D10" s="15" t="str">
        <x:v>待处理</x:v>
      </x:c>
      <x:c r="E10" s="15" t="str">
        <x:v>不回填月报层</x:v>
      </x:c>
      <x:c r="F10" s="15" t="str">
        <x:v>真实月报未单列Direct</x:v>
      </x:c>
    </x:row>
  </x:sheetData>
  <x:pageMargins left="0.7" right="0.7" top="0.75" bottom="0.75" header="0.3" footer="0.3"/>
  <x:tableParts count="1">
    <x:tablePart xmlns:r="http://schemas.openxmlformats.org/officeDocument/2006/relationships" r:id="Rfe4dffd8b5254e93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22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8" hidden="0" customWidth="1"/>
    <x:col min="15" max="15" width="22" hidden="0" customWidth="1"/>
  </x:cols>
  <x:sheetData>
    <x:row r="1">
      <x:c r="A1" s="9" t="str">
        <x:v>month</x:v>
      </x:c>
      <x:c r="B1" s="9" t="str">
        <x:v>channel</x:v>
      </x:c>
      <x:c r="C1" s="9" t="str">
        <x:v>leads</x:v>
      </x:c>
      <x:c r="D1" s="9" t="str">
        <x:v>funded</x:v>
      </x:c>
      <x:c r="E1" s="9" t="str">
        <x:v>cpfl</x:v>
      </x:c>
      <x:c r="F1" s="9" t="str">
        <x:v>green_pct</x:v>
      </x:c>
      <x:c r="G1" s="9" t="str">
        <x:v>orange_pct</x:v>
      </x:c>
      <x:c r="H1" s="9" t="str">
        <x:v>red_pct</x:v>
      </x:c>
      <x:c r="I1" s="9" t="str">
        <x:v>na_pct</x:v>
      </x:c>
      <x:c r="J1" s="9" t="str">
        <x:v>green_n</x:v>
      </x:c>
      <x:c r="K1" s="9" t="str">
        <x:v>orange_n</x:v>
      </x:c>
      <x:c r="L1" s="9" t="str">
        <x:v>red_n</x:v>
      </x:c>
      <x:c r="M1" s="9" t="str">
        <x:v>na_n</x:v>
      </x:c>
      <x:c r="N1" s="9" t="str">
        <x:v>quality_sample_n</x:v>
      </x:c>
      <x:c r="O1" s="9" t="str">
        <x:v>source_status</x:v>
      </x:c>
    </x:row>
    <x:row r="2">
      <x:c r="A2" s="15" t="str">
        <x:v>2023-10</x:v>
      </x:c>
      <x:c r="B2" s="15" t="str">
        <x:v>Tiktok</x:v>
      </x:c>
      <x:c r="C2" s="17" t="n">
        <x:v>136</x:v>
      </x:c>
      <x:c r="D2" s="17" t="n">
        <x:v>10</x:v>
      </x:c>
      <x:c r="E2" s="18"/>
      <x:c r="F2" s="19"/>
      <x:c r="G2" s="19"/>
      <x:c r="H2" s="19"/>
      <x:c r="I2" s="19"/>
      <x:c r="J2" s="17"/>
      <x:c r="K2" s="17"/>
      <x:c r="L2" s="17"/>
      <x:c r="M2" s="17"/>
      <x:c r="N2" s="17" t="str">
        <x:f>IF(COUNTA(J2:M2)=0,"",SUM(J2:M2))</x:f>
      </x:c>
      <x:c r="O2" s="15" t="str">
        <x:v>真实月报</x:v>
      </x:c>
    </x:row>
    <x:row r="3">
      <x:c r="A3" s="15" t="str">
        <x:v>2023-10</x:v>
      </x:c>
      <x:c r="B3" s="15" t="str">
        <x:v>GEO</x:v>
      </x:c>
      <x:c r="C3" s="17"/>
      <x:c r="D3" s="17"/>
      <x:c r="E3" s="18"/>
      <x:c r="F3" s="19"/>
      <x:c r="G3" s="19"/>
      <x:c r="H3" s="19"/>
      <x:c r="I3" s="19"/>
      <x:c r="J3" s="17"/>
      <x:c r="K3" s="17"/>
      <x:c r="L3" s="17"/>
      <x:c r="M3" s="17"/>
      <x:c r="N3" s="17" t="str">
        <x:f>IF(COUNTA(J3:M3)=0,"",SUM(J3:M3))</x:f>
      </x:c>
      <x:c r="O3" s="15" t="str">
        <x:v>真实月报</x:v>
      </x:c>
    </x:row>
    <x:row r="4">
      <x:c r="A4" s="15" t="str">
        <x:v>2023-10</x:v>
      </x:c>
      <x:c r="B4" s="15" t="str">
        <x:v>Organic</x:v>
      </x:c>
      <x:c r="C4" s="17" t="n">
        <x:v>40583</x:v>
      </x:c>
      <x:c r="D4" s="17" t="n">
        <x:v>5300</x:v>
      </x:c>
      <x:c r="E4" s="18"/>
      <x:c r="F4" s="19"/>
      <x:c r="G4" s="19"/>
      <x:c r="H4" s="19"/>
      <x:c r="I4" s="19"/>
      <x:c r="J4" s="17"/>
      <x:c r="K4" s="17"/>
      <x:c r="L4" s="17"/>
      <x:c r="M4" s="17"/>
      <x:c r="N4" s="17" t="str">
        <x:f>IF(COUNTA(J4:M4)=0,"",SUM(J4:M4))</x:f>
      </x:c>
      <x:c r="O4" s="15" t="str">
        <x:v>真实月报</x:v>
      </x:c>
    </x:row>
    <x:row r="5">
      <x:c r="A5" s="15" t="str">
        <x:v>2023-10</x:v>
      </x:c>
      <x:c r="B5" s="15" t="str">
        <x:v>Owned Channels</x:v>
      </x:c>
      <x:c r="C5" s="17"/>
      <x:c r="D5" s="17"/>
      <x:c r="E5" s="18"/>
      <x:c r="F5" s="19"/>
      <x:c r="G5" s="19"/>
      <x:c r="H5" s="19"/>
      <x:c r="I5" s="19"/>
      <x:c r="J5" s="17"/>
      <x:c r="K5" s="17"/>
      <x:c r="L5" s="17"/>
      <x:c r="M5" s="17"/>
      <x:c r="N5" s="17" t="str">
        <x:f>IF(COUNTA(J5:M5)=0,"",SUM(J5:M5))</x:f>
      </x:c>
      <x:c r="O5" s="15" t="str">
        <x:v>真实月报</x:v>
      </x:c>
    </x:row>
    <x:row r="6">
      <x:c r="A6" s="15" t="str">
        <x:v>2023-10</x:v>
      </x:c>
      <x:c r="B6" s="15" t="str">
        <x:v>Google</x:v>
      </x:c>
      <x:c r="C6" s="17" t="n">
        <x:v>9832</x:v>
      </x:c>
      <x:c r="D6" s="17" t="n">
        <x:v>1523</x:v>
      </x:c>
      <x:c r="E6" s="18"/>
      <x:c r="F6" s="19"/>
      <x:c r="G6" s="19"/>
      <x:c r="H6" s="19"/>
      <x:c r="I6" s="19"/>
      <x:c r="J6" s="17"/>
      <x:c r="K6" s="17"/>
      <x:c r="L6" s="17"/>
      <x:c r="M6" s="17"/>
      <x:c r="N6" s="17" t="str">
        <x:f>IF(COUNTA(J6:M6)=0,"",SUM(J6:M6))</x:f>
      </x:c>
      <x:c r="O6" s="15" t="str">
        <x:v>真实月报</x:v>
      </x:c>
    </x:row>
    <x:row r="7">
      <x:c r="A7" s="15" t="str">
        <x:v>2023-10</x:v>
      </x:c>
      <x:c r="B7" s="15" t="str">
        <x:v>Bing</x:v>
      </x:c>
      <x:c r="C7" s="17" t="n">
        <x:v>349</x:v>
      </x:c>
      <x:c r="D7" s="17" t="n">
        <x:v>36</x:v>
      </x:c>
      <x:c r="E7" s="18"/>
      <x:c r="F7" s="19"/>
      <x:c r="G7" s="19"/>
      <x:c r="H7" s="19"/>
      <x:c r="I7" s="19"/>
      <x:c r="J7" s="17"/>
      <x:c r="K7" s="17"/>
      <x:c r="L7" s="17"/>
      <x:c r="M7" s="17"/>
      <x:c r="N7" s="17" t="str">
        <x:f>IF(COUNTA(J7:M7)=0,"",SUM(J7:M7))</x:f>
      </x:c>
      <x:c r="O7" s="15" t="str">
        <x:v>真实月报</x:v>
      </x:c>
    </x:row>
    <x:row r="8">
      <x:c r="A8" s="15" t="str">
        <x:v>2023-10</x:v>
      </x:c>
      <x:c r="B8" s="15" t="str">
        <x:v>Lead Partner</x:v>
      </x:c>
      <x:c r="C8" s="17" t="n">
        <x:v>4854</x:v>
      </x:c>
      <x:c r="D8" s="17" t="n">
        <x:v>311</x:v>
      </x:c>
      <x:c r="E8" s="18"/>
      <x:c r="F8" s="19"/>
      <x:c r="G8" s="19"/>
      <x:c r="H8" s="19"/>
      <x:c r="I8" s="19"/>
      <x:c r="J8" s="17"/>
      <x:c r="K8" s="17"/>
      <x:c r="L8" s="17"/>
      <x:c r="M8" s="17"/>
      <x:c r="N8" s="17" t="str">
        <x:f>IF(COUNTA(J8:M8)=0,"",SUM(J8:M8))</x:f>
      </x:c>
      <x:c r="O8" s="15" t="str">
        <x:v>真实月报</x:v>
      </x:c>
    </x:row>
    <x:row r="9">
      <x:c r="A9" s="15" t="str">
        <x:v>2023-10</x:v>
      </x:c>
      <x:c r="B9" s="15" t="str">
        <x:v>Meta</x:v>
      </x:c>
      <x:c r="C9" s="17" t="n">
        <x:v>228</x:v>
      </x:c>
      <x:c r="D9" s="17" t="n">
        <x:v>17</x:v>
      </x:c>
      <x:c r="E9" s="18"/>
      <x:c r="F9" s="19"/>
      <x:c r="G9" s="19"/>
      <x:c r="H9" s="19"/>
      <x:c r="I9" s="19"/>
      <x:c r="J9" s="17"/>
      <x:c r="K9" s="17"/>
      <x:c r="L9" s="17"/>
      <x:c r="M9" s="17"/>
      <x:c r="N9" s="17" t="str">
        <x:f>IF(COUNTA(J9:M9)=0,"",SUM(J9:M9))</x:f>
      </x:c>
      <x:c r="O9" s="15" t="str">
        <x:v>真实月报</x:v>
      </x:c>
    </x:row>
    <x:row r="10">
      <x:c r="A10" s="15" t="str">
        <x:v>2023-10</x:v>
      </x:c>
      <x:c r="B10" s="15" t="str">
        <x:v>Total</x:v>
      </x:c>
      <x:c r="C10" s="17" t="n">
        <x:v>55982</x:v>
      </x:c>
      <x:c r="D10" s="17" t="n">
        <x:v>7197</x:v>
      </x:c>
      <x:c r="E10" s="18"/>
      <x:c r="F10" s="19"/>
      <x:c r="G10" s="19"/>
      <x:c r="H10" s="19"/>
      <x:c r="I10" s="19"/>
      <x:c r="J10" s="17"/>
      <x:c r="K10" s="17"/>
      <x:c r="L10" s="17"/>
      <x:c r="M10" s="17"/>
      <x:c r="N10" s="17" t="str">
        <x:f>IF(COUNTA(J10:M10)=0,"",SUM(J10:M10))</x:f>
      </x:c>
      <x:c r="O10" s="15" t="str">
        <x:v>真实月报</x:v>
      </x:c>
    </x:row>
    <x:row r="11">
      <x:c r="A11" s="15" t="str">
        <x:v>2023-11</x:v>
      </x:c>
      <x:c r="B11" s="15" t="str">
        <x:v>Tiktok</x:v>
      </x:c>
      <x:c r="C11" s="17" t="n">
        <x:v>191</x:v>
      </x:c>
      <x:c r="D11" s="17" t="n">
        <x:v>17</x:v>
      </x:c>
      <x:c r="E11" s="18"/>
      <x:c r="F11" s="19"/>
      <x:c r="G11" s="19"/>
      <x:c r="H11" s="19"/>
      <x:c r="I11" s="19"/>
      <x:c r="J11" s="17"/>
      <x:c r="K11" s="17"/>
      <x:c r="L11" s="17"/>
      <x:c r="M11" s="17"/>
      <x:c r="N11" s="17" t="str">
        <x:f>IF(COUNTA(J11:M11)=0,"",SUM(J11:M11))</x:f>
      </x:c>
      <x:c r="O11" s="15" t="str">
        <x:v>真实月报</x:v>
      </x:c>
    </x:row>
    <x:row r="12">
      <x:c r="A12" s="15" t="str">
        <x:v>2023-11</x:v>
      </x:c>
      <x:c r="B12" s="15" t="str">
        <x:v>GEO</x:v>
      </x:c>
      <x:c r="C12" s="17"/>
      <x:c r="D12" s="17"/>
      <x:c r="E12" s="18"/>
      <x:c r="F12" s="19"/>
      <x:c r="G12" s="19"/>
      <x:c r="H12" s="19"/>
      <x:c r="I12" s="19"/>
      <x:c r="J12" s="17"/>
      <x:c r="K12" s="17"/>
      <x:c r="L12" s="17"/>
      <x:c r="M12" s="17"/>
      <x:c r="N12" s="17" t="str">
        <x:f>IF(COUNTA(J12:M12)=0,"",SUM(J12:M12))</x:f>
      </x:c>
      <x:c r="O12" s="15" t="str">
        <x:v>真实月报</x:v>
      </x:c>
    </x:row>
    <x:row r="13">
      <x:c r="A13" s="15" t="str">
        <x:v>2023-11</x:v>
      </x:c>
      <x:c r="B13" s="15" t="str">
        <x:v>Organic</x:v>
      </x:c>
      <x:c r="C13" s="17" t="n">
        <x:v>33920</x:v>
      </x:c>
      <x:c r="D13" s="17" t="n">
        <x:v>4833</x:v>
      </x:c>
      <x:c r="E13" s="18"/>
      <x:c r="F13" s="19"/>
      <x:c r="G13" s="19"/>
      <x:c r="H13" s="19"/>
      <x:c r="I13" s="19"/>
      <x:c r="J13" s="17"/>
      <x:c r="K13" s="17"/>
      <x:c r="L13" s="17"/>
      <x:c r="M13" s="17"/>
      <x:c r="N13" s="17" t="str">
        <x:f>IF(COUNTA(J13:M13)=0,"",SUM(J13:M13))</x:f>
      </x:c>
      <x:c r="O13" s="15" t="str">
        <x:v>真实月报</x:v>
      </x:c>
    </x:row>
    <x:row r="14">
      <x:c r="A14" s="15" t="str">
        <x:v>2023-11</x:v>
      </x:c>
      <x:c r="B14" s="15" t="str">
        <x:v>Owned Channels</x:v>
      </x:c>
      <x:c r="C14" s="17" t="n">
        <x:v>246</x:v>
      </x:c>
      <x:c r="D14" s="17" t="n">
        <x:v>29</x:v>
      </x:c>
      <x:c r="E14" s="18"/>
      <x:c r="F14" s="19"/>
      <x:c r="G14" s="19"/>
      <x:c r="H14" s="19"/>
      <x:c r="I14" s="19"/>
      <x:c r="J14" s="17"/>
      <x:c r="K14" s="17"/>
      <x:c r="L14" s="17"/>
      <x:c r="M14" s="17"/>
      <x:c r="N14" s="17" t="str">
        <x:f>IF(COUNTA(J14:M14)=0,"",SUM(J14:M14))</x:f>
      </x:c>
      <x:c r="O14" s="15" t="str">
        <x:v>真实月报</x:v>
      </x:c>
    </x:row>
    <x:row r="15">
      <x:c r="A15" s="15" t="str">
        <x:v>2023-11</x:v>
      </x:c>
      <x:c r="B15" s="15" t="str">
        <x:v>Google</x:v>
      </x:c>
      <x:c r="C15" s="17" t="n">
        <x:v>11128</x:v>
      </x:c>
      <x:c r="D15" s="17" t="n">
        <x:v>2317</x:v>
      </x:c>
      <x:c r="E15" s="18"/>
      <x:c r="F15" s="19"/>
      <x:c r="G15" s="19"/>
      <x:c r="H15" s="19"/>
      <x:c r="I15" s="19"/>
      <x:c r="J15" s="17"/>
      <x:c r="K15" s="17"/>
      <x:c r="L15" s="17"/>
      <x:c r="M15" s="17"/>
      <x:c r="N15" s="17" t="str">
        <x:f>IF(COUNTA(J15:M15)=0,"",SUM(J15:M15))</x:f>
      </x:c>
      <x:c r="O15" s="15" t="str">
        <x:v>真实月报</x:v>
      </x:c>
    </x:row>
    <x:row r="16">
      <x:c r="A16" s="15" t="str">
        <x:v>2023-11</x:v>
      </x:c>
      <x:c r="B16" s="15" t="str">
        <x:v>Bing</x:v>
      </x:c>
      <x:c r="C16" s="17" t="n">
        <x:v>467</x:v>
      </x:c>
      <x:c r="D16" s="17" t="n">
        <x:v>54</x:v>
      </x:c>
      <x:c r="E16" s="18"/>
      <x:c r="F16" s="19"/>
      <x:c r="G16" s="19"/>
      <x:c r="H16" s="19"/>
      <x:c r="I16" s="19"/>
      <x:c r="J16" s="17"/>
      <x:c r="K16" s="17"/>
      <x:c r="L16" s="17"/>
      <x:c r="M16" s="17"/>
      <x:c r="N16" s="17" t="str">
        <x:f>IF(COUNTA(J16:M16)=0,"",SUM(J16:M16))</x:f>
      </x:c>
      <x:c r="O16" s="15" t="str">
        <x:v>真实月报</x:v>
      </x:c>
    </x:row>
    <x:row r="17">
      <x:c r="A17" s="15" t="str">
        <x:v>2023-11</x:v>
      </x:c>
      <x:c r="B17" s="15" t="str">
        <x:v>Lead Partner</x:v>
      </x:c>
      <x:c r="C17" s="17" t="n">
        <x:v>6008</x:v>
      </x:c>
      <x:c r="D17" s="17" t="n">
        <x:v>440</x:v>
      </x:c>
      <x:c r="E17" s="18"/>
      <x:c r="F17" s="19"/>
      <x:c r="G17" s="19"/>
      <x:c r="H17" s="19"/>
      <x:c r="I17" s="19"/>
      <x:c r="J17" s="17"/>
      <x:c r="K17" s="17"/>
      <x:c r="L17" s="17"/>
      <x:c r="M17" s="17"/>
      <x:c r="N17" s="17" t="str">
        <x:f>IF(COUNTA(J17:M17)=0,"",SUM(J17:M17))</x:f>
      </x:c>
      <x:c r="O17" s="15" t="str">
        <x:v>真实月报</x:v>
      </x:c>
    </x:row>
    <x:row r="18">
      <x:c r="A18" s="15" t="str">
        <x:v>2023-11</x:v>
      </x:c>
      <x:c r="B18" s="15" t="str">
        <x:v>Meta</x:v>
      </x:c>
      <x:c r="C18" s="17" t="n">
        <x:v>316</x:v>
      </x:c>
      <x:c r="D18" s="17" t="n">
        <x:v>27</x:v>
      </x:c>
      <x:c r="E18" s="18"/>
      <x:c r="F18" s="19"/>
      <x:c r="G18" s="19"/>
      <x:c r="H18" s="19"/>
      <x:c r="I18" s="19"/>
      <x:c r="J18" s="17"/>
      <x:c r="K18" s="17"/>
      <x:c r="L18" s="17"/>
      <x:c r="M18" s="17"/>
      <x:c r="N18" s="17" t="str">
        <x:f>IF(COUNTA(J18:M18)=0,"",SUM(J18:M18))</x:f>
      </x:c>
      <x:c r="O18" s="15" t="str">
        <x:v>真实月报</x:v>
      </x:c>
    </x:row>
    <x:row r="19">
      <x:c r="A19" s="15" t="str">
        <x:v>2023-11</x:v>
      </x:c>
      <x:c r="B19" s="15" t="str">
        <x:v>Total</x:v>
      </x:c>
      <x:c r="C19" s="17" t="n">
        <x:v>52276</x:v>
      </x:c>
      <x:c r="D19" s="17" t="n">
        <x:v>7717</x:v>
      </x:c>
      <x:c r="E19" s="18"/>
      <x:c r="F19" s="19"/>
      <x:c r="G19" s="19"/>
      <x:c r="H19" s="19"/>
      <x:c r="I19" s="19"/>
      <x:c r="J19" s="17"/>
      <x:c r="K19" s="17"/>
      <x:c r="L19" s="17"/>
      <x:c r="M19" s="17"/>
      <x:c r="N19" s="17" t="str">
        <x:f>IF(COUNTA(J19:M19)=0,"",SUM(J19:M19))</x:f>
      </x:c>
      <x:c r="O19" s="15" t="str">
        <x:v>真实月报</x:v>
      </x:c>
    </x:row>
    <x:row r="20">
      <x:c r="A20" s="15" t="str">
        <x:v>2023-12</x:v>
      </x:c>
      <x:c r="B20" s="15" t="str">
        <x:v>Tiktok</x:v>
      </x:c>
      <x:c r="C20" s="17" t="n">
        <x:v>176</x:v>
      </x:c>
      <x:c r="D20" s="17" t="n">
        <x:v>16</x:v>
      </x:c>
      <x:c r="E20" s="18"/>
      <x:c r="F20" s="19"/>
      <x:c r="G20" s="19"/>
      <x:c r="H20" s="19"/>
      <x:c r="I20" s="19"/>
      <x:c r="J20" s="17"/>
      <x:c r="K20" s="17"/>
      <x:c r="L20" s="17"/>
      <x:c r="M20" s="17"/>
      <x:c r="N20" s="17" t="str">
        <x:f>IF(COUNTA(J20:M20)=0,"",SUM(J20:M20))</x:f>
      </x:c>
      <x:c r="O20" s="15" t="str">
        <x:v>真实月报</x:v>
      </x:c>
    </x:row>
    <x:row r="21">
      <x:c r="A21" s="15" t="str">
        <x:v>2023-12</x:v>
      </x:c>
      <x:c r="B21" s="15" t="str">
        <x:v>GEO</x:v>
      </x:c>
      <x:c r="C21" s="17"/>
      <x:c r="D21" s="17"/>
      <x:c r="E21" s="18"/>
      <x:c r="F21" s="19"/>
      <x:c r="G21" s="19"/>
      <x:c r="H21" s="19"/>
      <x:c r="I21" s="19"/>
      <x:c r="J21" s="17"/>
      <x:c r="K21" s="17"/>
      <x:c r="L21" s="17"/>
      <x:c r="M21" s="17"/>
      <x:c r="N21" s="17" t="str">
        <x:f>IF(COUNTA(J21:M21)=0,"",SUM(J21:M21))</x:f>
      </x:c>
      <x:c r="O21" s="15" t="str">
        <x:v>真实月报</x:v>
      </x:c>
    </x:row>
    <x:row r="22">
      <x:c r="A22" s="15" t="str">
        <x:v>2023-12</x:v>
      </x:c>
      <x:c r="B22" s="15" t="str">
        <x:v>Organic</x:v>
      </x:c>
      <x:c r="C22" s="17" t="n">
        <x:v>38563</x:v>
      </x:c>
      <x:c r="D22" s="17" t="n">
        <x:v>5460</x:v>
      </x:c>
      <x:c r="E22" s="18"/>
      <x:c r="F22" s="19"/>
      <x:c r="G22" s="19"/>
      <x:c r="H22" s="19"/>
      <x:c r="I22" s="19"/>
      <x:c r="J22" s="17"/>
      <x:c r="K22" s="17"/>
      <x:c r="L22" s="17"/>
      <x:c r="M22" s="17"/>
      <x:c r="N22" s="17" t="str">
        <x:f>IF(COUNTA(J22:M22)=0,"",SUM(J22:M22))</x:f>
      </x:c>
      <x:c r="O22" s="15" t="str">
        <x:v>真实月报</x:v>
      </x:c>
    </x:row>
    <x:row r="23">
      <x:c r="A23" s="15" t="str">
        <x:v>2023-12</x:v>
      </x:c>
      <x:c r="B23" s="15" t="str">
        <x:v>Owned Channels</x:v>
      </x:c>
      <x:c r="C23" s="17" t="n">
        <x:v>1</x:v>
      </x:c>
      <x:c r="D23" s="17"/>
      <x:c r="E23" s="18"/>
      <x:c r="F23" s="19"/>
      <x:c r="G23" s="19"/>
      <x:c r="H23" s="19"/>
      <x:c r="I23" s="19"/>
      <x:c r="J23" s="17"/>
      <x:c r="K23" s="17"/>
      <x:c r="L23" s="17"/>
      <x:c r="M23" s="17"/>
      <x:c r="N23" s="17" t="str">
        <x:f>IF(COUNTA(J23:M23)=0,"",SUM(J23:M23))</x:f>
      </x:c>
      <x:c r="O23" s="15" t="str">
        <x:v>真实月报</x:v>
      </x:c>
    </x:row>
    <x:row r="24">
      <x:c r="A24" s="15" t="str">
        <x:v>2023-12</x:v>
      </x:c>
      <x:c r="B24" s="15" t="str">
        <x:v>Google</x:v>
      </x:c>
      <x:c r="C24" s="17" t="n">
        <x:v>12103</x:v>
      </x:c>
      <x:c r="D24" s="17" t="n">
        <x:v>2442</x:v>
      </x:c>
      <x:c r="E24" s="18"/>
      <x:c r="F24" s="19"/>
      <x:c r="G24" s="19"/>
      <x:c r="H24" s="19"/>
      <x:c r="I24" s="19"/>
      <x:c r="J24" s="17"/>
      <x:c r="K24" s="17"/>
      <x:c r="L24" s="17"/>
      <x:c r="M24" s="17"/>
      <x:c r="N24" s="17" t="str">
        <x:f>IF(COUNTA(J24:M24)=0,"",SUM(J24:M24))</x:f>
      </x:c>
      <x:c r="O24" s="15" t="str">
        <x:v>真实月报</x:v>
      </x:c>
    </x:row>
    <x:row r="25">
      <x:c r="A25" s="15" t="str">
        <x:v>2023-12</x:v>
      </x:c>
      <x:c r="B25" s="15" t="str">
        <x:v>Bing</x:v>
      </x:c>
      <x:c r="C25" s="17" t="n">
        <x:v>438</x:v>
      </x:c>
      <x:c r="D25" s="17" t="n">
        <x:v>59</x:v>
      </x:c>
      <x:c r="E25" s="18"/>
      <x:c r="F25" s="19"/>
      <x:c r="G25" s="19"/>
      <x:c r="H25" s="19"/>
      <x:c r="I25" s="19"/>
      <x:c r="J25" s="17"/>
      <x:c r="K25" s="17"/>
      <x:c r="L25" s="17"/>
      <x:c r="M25" s="17"/>
      <x:c r="N25" s="17" t="str">
        <x:f>IF(COUNTA(J25:M25)=0,"",SUM(J25:M25))</x:f>
      </x:c>
      <x:c r="O25" s="15" t="str">
        <x:v>真实月报</x:v>
      </x:c>
    </x:row>
    <x:row r="26">
      <x:c r="A26" s="15" t="str">
        <x:v>2023-12</x:v>
      </x:c>
      <x:c r="B26" s="15" t="str">
        <x:v>Lead Partner</x:v>
      </x:c>
      <x:c r="C26" s="17" t="n">
        <x:v>9194</x:v>
      </x:c>
      <x:c r="D26" s="17" t="n">
        <x:v>681</x:v>
      </x:c>
      <x:c r="E26" s="18"/>
      <x:c r="F26" s="19"/>
      <x:c r="G26" s="19"/>
      <x:c r="H26" s="19"/>
      <x:c r="I26" s="19"/>
      <x:c r="J26" s="17"/>
      <x:c r="K26" s="17"/>
      <x:c r="L26" s="17"/>
      <x:c r="M26" s="17"/>
      <x:c r="N26" s="17" t="str">
        <x:f>IF(COUNTA(J26:M26)=0,"",SUM(J26:M26))</x:f>
      </x:c>
      <x:c r="O26" s="15" t="str">
        <x:v>真实月报</x:v>
      </x:c>
    </x:row>
    <x:row r="27">
      <x:c r="A27" s="15" t="str">
        <x:v>2023-12</x:v>
      </x:c>
      <x:c r="B27" s="15" t="str">
        <x:v>Meta</x:v>
      </x:c>
      <x:c r="C27" s="17" t="n">
        <x:v>285</x:v>
      </x:c>
      <x:c r="D27" s="17" t="n">
        <x:v>22</x:v>
      </x:c>
      <x:c r="E27" s="18"/>
      <x:c r="F27" s="19"/>
      <x:c r="G27" s="19"/>
      <x:c r="H27" s="19"/>
      <x:c r="I27" s="19"/>
      <x:c r="J27" s="17"/>
      <x:c r="K27" s="17"/>
      <x:c r="L27" s="17"/>
      <x:c r="M27" s="17"/>
      <x:c r="N27" s="17" t="str">
        <x:f>IF(COUNTA(J27:M27)=0,"",SUM(J27:M27))</x:f>
      </x:c>
      <x:c r="O27" s="15" t="str">
        <x:v>真实月报</x:v>
      </x:c>
    </x:row>
    <x:row r="28">
      <x:c r="A28" s="15" t="str">
        <x:v>2023-12</x:v>
      </x:c>
      <x:c r="B28" s="15" t="str">
        <x:v>Total</x:v>
      </x:c>
      <x:c r="C28" s="17" t="n">
        <x:v>60760</x:v>
      </x:c>
      <x:c r="D28" s="17" t="n">
        <x:v>8680</x:v>
      </x:c>
      <x:c r="E28" s="18"/>
      <x:c r="F28" s="19"/>
      <x:c r="G28" s="19"/>
      <x:c r="H28" s="19"/>
      <x:c r="I28" s="19"/>
      <x:c r="J28" s="17"/>
      <x:c r="K28" s="17"/>
      <x:c r="L28" s="17"/>
      <x:c r="M28" s="17"/>
      <x:c r="N28" s="17" t="str">
        <x:f>IF(COUNTA(J28:M28)=0,"",SUM(J28:M28))</x:f>
      </x:c>
      <x:c r="O28" s="15" t="str">
        <x:v>真实月报</x:v>
      </x:c>
    </x:row>
    <x:row r="29">
      <x:c r="A29" s="15" t="str">
        <x:v>2024-01</x:v>
      </x:c>
      <x:c r="B29" s="15" t="str">
        <x:v>Tiktok</x:v>
      </x:c>
      <x:c r="C29" s="17" t="n">
        <x:v>167</x:v>
      </x:c>
      <x:c r="D29" s="17" t="n">
        <x:v>11</x:v>
      </x:c>
      <x:c r="E29" s="18"/>
      <x:c r="F29" s="19"/>
      <x:c r="G29" s="19"/>
      <x:c r="H29" s="19"/>
      <x:c r="I29" s="19"/>
      <x:c r="J29" s="17"/>
      <x:c r="K29" s="17"/>
      <x:c r="L29" s="17"/>
      <x:c r="M29" s="17"/>
      <x:c r="N29" s="17" t="str">
        <x:f>IF(COUNTA(J29:M29)=0,"",SUM(J29:M29))</x:f>
      </x:c>
      <x:c r="O29" s="15" t="str">
        <x:v>真实月报</x:v>
      </x:c>
    </x:row>
    <x:row r="30">
      <x:c r="A30" s="15" t="str">
        <x:v>2024-01</x:v>
      </x:c>
      <x:c r="B30" s="15" t="str">
        <x:v>GEO</x:v>
      </x:c>
      <x:c r="C30" s="17"/>
      <x:c r="D30" s="17"/>
      <x:c r="E30" s="18"/>
      <x:c r="F30" s="19"/>
      <x:c r="G30" s="19"/>
      <x:c r="H30" s="19"/>
      <x:c r="I30" s="19"/>
      <x:c r="J30" s="17"/>
      <x:c r="K30" s="17"/>
      <x:c r="L30" s="17"/>
      <x:c r="M30" s="17"/>
      <x:c r="N30" s="17" t="str">
        <x:f>IF(COUNTA(J30:M30)=0,"",SUM(J30:M30))</x:f>
      </x:c>
      <x:c r="O30" s="15" t="str">
        <x:v>真实月报</x:v>
      </x:c>
    </x:row>
    <x:row r="31">
      <x:c r="A31" s="15" t="str">
        <x:v>2024-01</x:v>
      </x:c>
      <x:c r="B31" s="15" t="str">
        <x:v>Organic</x:v>
      </x:c>
      <x:c r="C31" s="17" t="n">
        <x:v>34839</x:v>
      </x:c>
      <x:c r="D31" s="17" t="n">
        <x:v>4060</x:v>
      </x:c>
      <x:c r="E31" s="18"/>
      <x:c r="F31" s="19"/>
      <x:c r="G31" s="19"/>
      <x:c r="H31" s="19"/>
      <x:c r="I31" s="19"/>
      <x:c r="J31" s="17"/>
      <x:c r="K31" s="17"/>
      <x:c r="L31" s="17"/>
      <x:c r="M31" s="17"/>
      <x:c r="N31" s="17" t="str">
        <x:f>IF(COUNTA(J31:M31)=0,"",SUM(J31:M31))</x:f>
      </x:c>
      <x:c r="O31" s="15" t="str">
        <x:v>真实月报</x:v>
      </x:c>
    </x:row>
    <x:row r="32">
      <x:c r="A32" s="15" t="str">
        <x:v>2024-01</x:v>
      </x:c>
      <x:c r="B32" s="15" t="str">
        <x:v>Owned Channels</x:v>
      </x:c>
      <x:c r="C32" s="17"/>
      <x:c r="D32" s="17"/>
      <x:c r="E32" s="18"/>
      <x:c r="F32" s="19"/>
      <x:c r="G32" s="19"/>
      <x:c r="H32" s="19"/>
      <x:c r="I32" s="19"/>
      <x:c r="J32" s="17"/>
      <x:c r="K32" s="17"/>
      <x:c r="L32" s="17"/>
      <x:c r="M32" s="17"/>
      <x:c r="N32" s="17" t="str">
        <x:f>IF(COUNTA(J32:M32)=0,"",SUM(J32:M32))</x:f>
      </x:c>
      <x:c r="O32" s="15" t="str">
        <x:v>真实月报</x:v>
      </x:c>
    </x:row>
    <x:row r="33">
      <x:c r="A33" s="15" t="str">
        <x:v>2024-01</x:v>
      </x:c>
      <x:c r="B33" s="15" t="str">
        <x:v>Google</x:v>
      </x:c>
      <x:c r="C33" s="17" t="n">
        <x:v>8608</x:v>
      </x:c>
      <x:c r="D33" s="17" t="n">
        <x:v>1663</x:v>
      </x:c>
      <x:c r="E33" s="18"/>
      <x:c r="F33" s="19"/>
      <x:c r="G33" s="19"/>
      <x:c r="H33" s="19"/>
      <x:c r="I33" s="19"/>
      <x:c r="J33" s="17"/>
      <x:c r="K33" s="17"/>
      <x:c r="L33" s="17"/>
      <x:c r="M33" s="17"/>
      <x:c r="N33" s="17" t="str">
        <x:f>IF(COUNTA(J33:M33)=0,"",SUM(J33:M33))</x:f>
      </x:c>
      <x:c r="O33" s="15" t="str">
        <x:v>真实月报</x:v>
      </x:c>
    </x:row>
    <x:row r="34">
      <x:c r="A34" s="15" t="str">
        <x:v>2024-01</x:v>
      </x:c>
      <x:c r="B34" s="15" t="str">
        <x:v>Bing</x:v>
      </x:c>
      <x:c r="C34" s="17" t="n">
        <x:v>413</x:v>
      </x:c>
      <x:c r="D34" s="17" t="n">
        <x:v>41</x:v>
      </x:c>
      <x:c r="E34" s="18"/>
      <x:c r="F34" s="19"/>
      <x:c r="G34" s="19"/>
      <x:c r="H34" s="19"/>
      <x:c r="I34" s="19"/>
      <x:c r="J34" s="17"/>
      <x:c r="K34" s="17"/>
      <x:c r="L34" s="17"/>
      <x:c r="M34" s="17"/>
      <x:c r="N34" s="17" t="str">
        <x:f>IF(COUNTA(J34:M34)=0,"",SUM(J34:M34))</x:f>
      </x:c>
      <x:c r="O34" s="15" t="str">
        <x:v>真实月报</x:v>
      </x:c>
    </x:row>
    <x:row r="35">
      <x:c r="A35" s="15" t="str">
        <x:v>2024-01</x:v>
      </x:c>
      <x:c r="B35" s="15" t="str">
        <x:v>Lead Partner</x:v>
      </x:c>
      <x:c r="C35" s="17" t="n">
        <x:v>11400</x:v>
      </x:c>
      <x:c r="D35" s="17" t="n">
        <x:v>714</x:v>
      </x:c>
      <x:c r="E35" s="18"/>
      <x:c r="F35" s="19"/>
      <x:c r="G35" s="19"/>
      <x:c r="H35" s="19"/>
      <x:c r="I35" s="19"/>
      <x:c r="J35" s="17"/>
      <x:c r="K35" s="17"/>
      <x:c r="L35" s="17"/>
      <x:c r="M35" s="17"/>
      <x:c r="N35" s="17" t="str">
        <x:f>IF(COUNTA(J35:M35)=0,"",SUM(J35:M35))</x:f>
      </x:c>
      <x:c r="O35" s="15" t="str">
        <x:v>真实月报</x:v>
      </x:c>
    </x:row>
    <x:row r="36">
      <x:c r="A36" s="15" t="str">
        <x:v>2024-01</x:v>
      </x:c>
      <x:c r="B36" s="15" t="str">
        <x:v>Meta</x:v>
      </x:c>
      <x:c r="C36" s="17" t="n">
        <x:v>261</x:v>
      </x:c>
      <x:c r="D36" s="17" t="n">
        <x:v>23</x:v>
      </x:c>
      <x:c r="E36" s="18"/>
      <x:c r="F36" s="19"/>
      <x:c r="G36" s="19"/>
      <x:c r="H36" s="19"/>
      <x:c r="I36" s="19"/>
      <x:c r="J36" s="17"/>
      <x:c r="K36" s="17"/>
      <x:c r="L36" s="17"/>
      <x:c r="M36" s="17"/>
      <x:c r="N36" s="17" t="str">
        <x:f>IF(COUNTA(J36:M36)=0,"",SUM(J36:M36))</x:f>
      </x:c>
      <x:c r="O36" s="15" t="str">
        <x:v>真实月报</x:v>
      </x:c>
    </x:row>
    <x:row r="37">
      <x:c r="A37" s="15" t="str">
        <x:v>2024-01</x:v>
      </x:c>
      <x:c r="B37" s="15" t="str">
        <x:v>Total</x:v>
      </x:c>
      <x:c r="C37" s="17" t="n">
        <x:v>55688</x:v>
      </x:c>
      <x:c r="D37" s="17" t="n">
        <x:v>6512</x:v>
      </x:c>
      <x:c r="E37" s="18"/>
      <x:c r="F37" s="19"/>
      <x:c r="G37" s="19"/>
      <x:c r="H37" s="19"/>
      <x:c r="I37" s="19"/>
      <x:c r="J37" s="17"/>
      <x:c r="K37" s="17"/>
      <x:c r="L37" s="17"/>
      <x:c r="M37" s="17"/>
      <x:c r="N37" s="17" t="str">
        <x:f>IF(COUNTA(J37:M37)=0,"",SUM(J37:M37))</x:f>
      </x:c>
      <x:c r="O37" s="15" t="str">
        <x:v>真实月报</x:v>
      </x:c>
    </x:row>
    <x:row r="38">
      <x:c r="A38" s="15" t="str">
        <x:v>2024-02</x:v>
      </x:c>
      <x:c r="B38" s="15" t="str">
        <x:v>Tiktok</x:v>
      </x:c>
      <x:c r="C38" s="17" t="n">
        <x:v>77</x:v>
      </x:c>
      <x:c r="D38" s="17" t="n">
        <x:v>5</x:v>
      </x:c>
      <x:c r="E38" s="18"/>
      <x:c r="F38" s="19"/>
      <x:c r="G38" s="19"/>
      <x:c r="H38" s="19"/>
      <x:c r="I38" s="19"/>
      <x:c r="J38" s="17"/>
      <x:c r="K38" s="17"/>
      <x:c r="L38" s="17"/>
      <x:c r="M38" s="17"/>
      <x:c r="N38" s="17" t="str">
        <x:f>IF(COUNTA(J38:M38)=0,"",SUM(J38:M38))</x:f>
      </x:c>
      <x:c r="O38" s="15" t="str">
        <x:v>真实月报</x:v>
      </x:c>
    </x:row>
    <x:row r="39">
      <x:c r="A39" s="15" t="str">
        <x:v>2024-02</x:v>
      </x:c>
      <x:c r="B39" s="15" t="str">
        <x:v>GEO</x:v>
      </x:c>
      <x:c r="C39" s="17"/>
      <x:c r="D39" s="17"/>
      <x:c r="E39" s="18"/>
      <x:c r="F39" s="19"/>
      <x:c r="G39" s="19"/>
      <x:c r="H39" s="19"/>
      <x:c r="I39" s="19"/>
      <x:c r="J39" s="17"/>
      <x:c r="K39" s="17"/>
      <x:c r="L39" s="17"/>
      <x:c r="M39" s="17"/>
      <x:c r="N39" s="17" t="str">
        <x:f>IF(COUNTA(J39:M39)=0,"",SUM(J39:M39))</x:f>
      </x:c>
      <x:c r="O39" s="15" t="str">
        <x:v>真实月报</x:v>
      </x:c>
    </x:row>
    <x:row r="40">
      <x:c r="A40" s="15" t="str">
        <x:v>2024-02</x:v>
      </x:c>
      <x:c r="B40" s="15" t="str">
        <x:v>Organic</x:v>
      </x:c>
      <x:c r="C40" s="17" t="n">
        <x:v>33062</x:v>
      </x:c>
      <x:c r="D40" s="17" t="n">
        <x:v>3813</x:v>
      </x:c>
      <x:c r="E40" s="18"/>
      <x:c r="F40" s="19"/>
      <x:c r="G40" s="19"/>
      <x:c r="H40" s="19"/>
      <x:c r="I40" s="19"/>
      <x:c r="J40" s="17"/>
      <x:c r="K40" s="17"/>
      <x:c r="L40" s="17"/>
      <x:c r="M40" s="17"/>
      <x:c r="N40" s="17" t="str">
        <x:f>IF(COUNTA(J40:M40)=0,"",SUM(J40:M40))</x:f>
      </x:c>
      <x:c r="O40" s="15" t="str">
        <x:v>真实月报</x:v>
      </x:c>
    </x:row>
    <x:row r="41">
      <x:c r="A41" s="15" t="str">
        <x:v>2024-02</x:v>
      </x:c>
      <x:c r="B41" s="15" t="str">
        <x:v>Owned Channels</x:v>
      </x:c>
      <x:c r="C41" s="17"/>
      <x:c r="D41" s="17"/>
      <x:c r="E41" s="18"/>
      <x:c r="F41" s="19"/>
      <x:c r="G41" s="19"/>
      <x:c r="H41" s="19"/>
      <x:c r="I41" s="19"/>
      <x:c r="J41" s="17"/>
      <x:c r="K41" s="17"/>
      <x:c r="L41" s="17"/>
      <x:c r="M41" s="17"/>
      <x:c r="N41" s="17" t="str">
        <x:f>IF(COUNTA(J41:M41)=0,"",SUM(J41:M41))</x:f>
      </x:c>
      <x:c r="O41" s="15" t="str">
        <x:v>真实月报</x:v>
      </x:c>
    </x:row>
    <x:row r="42">
      <x:c r="A42" s="15" t="str">
        <x:v>2024-02</x:v>
      </x:c>
      <x:c r="B42" s="15" t="str">
        <x:v>Google</x:v>
      </x:c>
      <x:c r="C42" s="17" t="n">
        <x:v>10821</x:v>
      </x:c>
      <x:c r="D42" s="17" t="n">
        <x:v>1835</x:v>
      </x:c>
      <x:c r="E42" s="18"/>
      <x:c r="F42" s="19"/>
      <x:c r="G42" s="19"/>
      <x:c r="H42" s="19"/>
      <x:c r="I42" s="19"/>
      <x:c r="J42" s="17"/>
      <x:c r="K42" s="17"/>
      <x:c r="L42" s="17"/>
      <x:c r="M42" s="17"/>
      <x:c r="N42" s="17" t="str">
        <x:f>IF(COUNTA(J42:M42)=0,"",SUM(J42:M42))</x:f>
      </x:c>
      <x:c r="O42" s="15" t="str">
        <x:v>真实月报</x:v>
      </x:c>
    </x:row>
    <x:row r="43">
      <x:c r="A43" s="15" t="str">
        <x:v>2024-02</x:v>
      </x:c>
      <x:c r="B43" s="15" t="str">
        <x:v>Bing</x:v>
      </x:c>
      <x:c r="C43" s="17" t="n">
        <x:v>563</x:v>
      </x:c>
      <x:c r="D43" s="17" t="n">
        <x:v>45</x:v>
      </x:c>
      <x:c r="E43" s="18"/>
      <x:c r="F43" s="19"/>
      <x:c r="G43" s="19"/>
      <x:c r="H43" s="19"/>
      <x:c r="I43" s="19"/>
      <x:c r="J43" s="17"/>
      <x:c r="K43" s="17"/>
      <x:c r="L43" s="17"/>
      <x:c r="M43" s="17"/>
      <x:c r="N43" s="17" t="str">
        <x:f>IF(COUNTA(J43:M43)=0,"",SUM(J43:M43))</x:f>
      </x:c>
      <x:c r="O43" s="15" t="str">
        <x:v>真实月报</x:v>
      </x:c>
    </x:row>
    <x:row r="44">
      <x:c r="A44" s="15" t="str">
        <x:v>2024-02</x:v>
      </x:c>
      <x:c r="B44" s="15" t="str">
        <x:v>Lead Partner</x:v>
      </x:c>
      <x:c r="C44" s="17" t="n">
        <x:v>9875</x:v>
      </x:c>
      <x:c r="D44" s="17" t="n">
        <x:v>515</x:v>
      </x:c>
      <x:c r="E44" s="18"/>
      <x:c r="F44" s="19"/>
      <x:c r="G44" s="19"/>
      <x:c r="H44" s="19"/>
      <x:c r="I44" s="19"/>
      <x:c r="J44" s="17"/>
      <x:c r="K44" s="17"/>
      <x:c r="L44" s="17"/>
      <x:c r="M44" s="17"/>
      <x:c r="N44" s="17" t="str">
        <x:f>IF(COUNTA(J44:M44)=0,"",SUM(J44:M44))</x:f>
      </x:c>
      <x:c r="O44" s="15" t="str">
        <x:v>真实月报</x:v>
      </x:c>
    </x:row>
    <x:row r="45">
      <x:c r="A45" s="15" t="str">
        <x:v>2024-02</x:v>
      </x:c>
      <x:c r="B45" s="15" t="str">
        <x:v>Meta</x:v>
      </x:c>
      <x:c r="C45" s="17" t="n">
        <x:v>200</x:v>
      </x:c>
      <x:c r="D45" s="17" t="n">
        <x:v>12</x:v>
      </x:c>
      <x:c r="E45" s="18"/>
      <x:c r="F45" s="19"/>
      <x:c r="G45" s="19"/>
      <x:c r="H45" s="19"/>
      <x:c r="I45" s="19"/>
      <x:c r="J45" s="17"/>
      <x:c r="K45" s="17"/>
      <x:c r="L45" s="17"/>
      <x:c r="M45" s="17"/>
      <x:c r="N45" s="17" t="str">
        <x:f>IF(COUNTA(J45:M45)=0,"",SUM(J45:M45))</x:f>
      </x:c>
      <x:c r="O45" s="15" t="str">
        <x:v>真实月报</x:v>
      </x:c>
    </x:row>
    <x:row r="46">
      <x:c r="A46" s="15" t="str">
        <x:v>2024-02</x:v>
      </x:c>
      <x:c r="B46" s="15" t="str">
        <x:v>Total</x:v>
      </x:c>
      <x:c r="C46" s="17" t="n">
        <x:v>54598</x:v>
      </x:c>
      <x:c r="D46" s="17" t="n">
        <x:v>6225</x:v>
      </x:c>
      <x:c r="E46" s="18"/>
      <x:c r="F46" s="19"/>
      <x:c r="G46" s="19"/>
      <x:c r="H46" s="19"/>
      <x:c r="I46" s="19"/>
      <x:c r="J46" s="17"/>
      <x:c r="K46" s="17"/>
      <x:c r="L46" s="17"/>
      <x:c r="M46" s="17"/>
      <x:c r="N46" s="17" t="str">
        <x:f>IF(COUNTA(J46:M46)=0,"",SUM(J46:M46))</x:f>
      </x:c>
      <x:c r="O46" s="15" t="str">
        <x:v>真实月报</x:v>
      </x:c>
    </x:row>
    <x:row r="47">
      <x:c r="A47" s="15" t="str">
        <x:v>2024-03</x:v>
      </x:c>
      <x:c r="B47" s="15" t="str">
        <x:v>Tiktok</x:v>
      </x:c>
      <x:c r="C47" s="17" t="n">
        <x:v>31</x:v>
      </x:c>
      <x:c r="D47" s="17" t="n">
        <x:v>1</x:v>
      </x:c>
      <x:c r="E47" s="18"/>
      <x:c r="F47" s="19"/>
      <x:c r="G47" s="19"/>
      <x:c r="H47" s="19"/>
      <x:c r="I47" s="19"/>
      <x:c r="J47" s="17"/>
      <x:c r="K47" s="17"/>
      <x:c r="L47" s="17"/>
      <x:c r="M47" s="17"/>
      <x:c r="N47" s="17" t="str">
        <x:f>IF(COUNTA(J47:M47)=0,"",SUM(J47:M47))</x:f>
      </x:c>
      <x:c r="O47" s="15" t="str">
        <x:v>真实月报</x:v>
      </x:c>
    </x:row>
    <x:row r="48">
      <x:c r="A48" s="15" t="str">
        <x:v>2024-03</x:v>
      </x:c>
      <x:c r="B48" s="15" t="str">
        <x:v>GEO</x:v>
      </x:c>
      <x:c r="C48" s="17"/>
      <x:c r="D48" s="17"/>
      <x:c r="E48" s="18"/>
      <x:c r="F48" s="19"/>
      <x:c r="G48" s="19"/>
      <x:c r="H48" s="19"/>
      <x:c r="I48" s="19"/>
      <x:c r="J48" s="17"/>
      <x:c r="K48" s="17"/>
      <x:c r="L48" s="17"/>
      <x:c r="M48" s="17"/>
      <x:c r="N48" s="17" t="str">
        <x:f>IF(COUNTA(J48:M48)=0,"",SUM(J48:M48))</x:f>
      </x:c>
      <x:c r="O48" s="15" t="str">
        <x:v>真实月报</x:v>
      </x:c>
    </x:row>
    <x:row r="49">
      <x:c r="A49" s="15" t="str">
        <x:v>2024-03</x:v>
      </x:c>
      <x:c r="B49" s="15" t="str">
        <x:v>Organic</x:v>
      </x:c>
      <x:c r="C49" s="17" t="n">
        <x:v>30904</x:v>
      </x:c>
      <x:c r="D49" s="17" t="n">
        <x:v>3706</x:v>
      </x:c>
      <x:c r="E49" s="18"/>
      <x:c r="F49" s="19"/>
      <x:c r="G49" s="19"/>
      <x:c r="H49" s="19"/>
      <x:c r="I49" s="19"/>
      <x:c r="J49" s="17"/>
      <x:c r="K49" s="17"/>
      <x:c r="L49" s="17"/>
      <x:c r="M49" s="17"/>
      <x:c r="N49" s="17" t="str">
        <x:f>IF(COUNTA(J49:M49)=0,"",SUM(J49:M49))</x:f>
      </x:c>
      <x:c r="O49" s="15" t="str">
        <x:v>真实月报</x:v>
      </x:c>
    </x:row>
    <x:row r="50">
      <x:c r="A50" s="15" t="str">
        <x:v>2024-03</x:v>
      </x:c>
      <x:c r="B50" s="15" t="str">
        <x:v>Owned Channels</x:v>
      </x:c>
      <x:c r="C50" s="17"/>
      <x:c r="D50" s="17"/>
      <x:c r="E50" s="18"/>
      <x:c r="F50" s="19"/>
      <x:c r="G50" s="19"/>
      <x:c r="H50" s="19"/>
      <x:c r="I50" s="19"/>
      <x:c r="J50" s="17"/>
      <x:c r="K50" s="17"/>
      <x:c r="L50" s="17"/>
      <x:c r="M50" s="17"/>
      <x:c r="N50" s="17" t="str">
        <x:f>IF(COUNTA(J50:M50)=0,"",SUM(J50:M50))</x:f>
      </x:c>
      <x:c r="O50" s="15" t="str">
        <x:v>真实月报</x:v>
      </x:c>
    </x:row>
    <x:row r="51">
      <x:c r="A51" s="15" t="str">
        <x:v>2024-03</x:v>
      </x:c>
      <x:c r="B51" s="15" t="str">
        <x:v>Google</x:v>
      </x:c>
      <x:c r="C51" s="17" t="n">
        <x:v>19807</x:v>
      </x:c>
      <x:c r="D51" s="17" t="n">
        <x:v>2453</x:v>
      </x:c>
      <x:c r="E51" s="18"/>
      <x:c r="F51" s="19"/>
      <x:c r="G51" s="19"/>
      <x:c r="H51" s="19"/>
      <x:c r="I51" s="19"/>
      <x:c r="J51" s="17"/>
      <x:c r="K51" s="17"/>
      <x:c r="L51" s="17"/>
      <x:c r="M51" s="17"/>
      <x:c r="N51" s="17" t="str">
        <x:f>IF(COUNTA(J51:M51)=0,"",SUM(J51:M51))</x:f>
      </x:c>
      <x:c r="O51" s="15" t="str">
        <x:v>真实月报</x:v>
      </x:c>
    </x:row>
    <x:row r="52">
      <x:c r="A52" s="15" t="str">
        <x:v>2024-03</x:v>
      </x:c>
      <x:c r="B52" s="15" t="str">
        <x:v>Bing</x:v>
      </x:c>
      <x:c r="C52" s="17" t="n">
        <x:v>487</x:v>
      </x:c>
      <x:c r="D52" s="17" t="n">
        <x:v>44</x:v>
      </x:c>
      <x:c r="E52" s="18"/>
      <x:c r="F52" s="19"/>
      <x:c r="G52" s="19"/>
      <x:c r="H52" s="19"/>
      <x:c r="I52" s="19"/>
      <x:c r="J52" s="17"/>
      <x:c r="K52" s="17"/>
      <x:c r="L52" s="17"/>
      <x:c r="M52" s="17"/>
      <x:c r="N52" s="17" t="str">
        <x:f>IF(COUNTA(J52:M52)=0,"",SUM(J52:M52))</x:f>
      </x:c>
      <x:c r="O52" s="15" t="str">
        <x:v>真实月报</x:v>
      </x:c>
    </x:row>
    <x:row r="53">
      <x:c r="A53" s="15" t="str">
        <x:v>2024-03</x:v>
      </x:c>
      <x:c r="B53" s="15" t="str">
        <x:v>Lead Partner</x:v>
      </x:c>
      <x:c r="C53" s="17" t="n">
        <x:v>13181</x:v>
      </x:c>
      <x:c r="D53" s="17" t="n">
        <x:v>763</x:v>
      </x:c>
      <x:c r="E53" s="18"/>
      <x:c r="F53" s="19"/>
      <x:c r="G53" s="19"/>
      <x:c r="H53" s="19"/>
      <x:c r="I53" s="19"/>
      <x:c r="J53" s="17"/>
      <x:c r="K53" s="17"/>
      <x:c r="L53" s="17"/>
      <x:c r="M53" s="17"/>
      <x:c r="N53" s="17" t="str">
        <x:f>IF(COUNTA(J53:M53)=0,"",SUM(J53:M53))</x:f>
      </x:c>
      <x:c r="O53" s="15" t="str">
        <x:v>真实月报</x:v>
      </x:c>
    </x:row>
    <x:row r="54">
      <x:c r="A54" s="15" t="str">
        <x:v>2024-03</x:v>
      </x:c>
      <x:c r="B54" s="15" t="str">
        <x:v>Meta</x:v>
      </x:c>
      <x:c r="C54" s="17" t="n">
        <x:v>181</x:v>
      </x:c>
      <x:c r="D54" s="17" t="n">
        <x:v>13</x:v>
      </x:c>
      <x:c r="E54" s="18"/>
      <x:c r="F54" s="19"/>
      <x:c r="G54" s="19"/>
      <x:c r="H54" s="19"/>
      <x:c r="I54" s="19"/>
      <x:c r="J54" s="17"/>
      <x:c r="K54" s="17"/>
      <x:c r="L54" s="17"/>
      <x:c r="M54" s="17"/>
      <x:c r="N54" s="17" t="str">
        <x:f>IF(COUNTA(J54:M54)=0,"",SUM(J54:M54))</x:f>
      </x:c>
      <x:c r="O54" s="15" t="str">
        <x:v>真实月报</x:v>
      </x:c>
    </x:row>
    <x:row r="55">
      <x:c r="A55" s="15" t="str">
        <x:v>2024-03</x:v>
      </x:c>
      <x:c r="B55" s="15" t="str">
        <x:v>Total</x:v>
      </x:c>
      <x:c r="C55" s="17" t="n">
        <x:v>64591</x:v>
      </x:c>
      <x:c r="D55" s="17" t="n">
        <x:v>6980</x:v>
      </x:c>
      <x:c r="E55" s="18"/>
      <x:c r="F55" s="19"/>
      <x:c r="G55" s="19"/>
      <x:c r="H55" s="19"/>
      <x:c r="I55" s="19"/>
      <x:c r="J55" s="17"/>
      <x:c r="K55" s="17"/>
      <x:c r="L55" s="17"/>
      <x:c r="M55" s="17"/>
      <x:c r="N55" s="17" t="str">
        <x:f>IF(COUNTA(J55:M55)=0,"",SUM(J55:M55))</x:f>
      </x:c>
      <x:c r="O55" s="15" t="str">
        <x:v>真实月报</x:v>
      </x:c>
    </x:row>
    <x:row r="56">
      <x:c r="A56" s="15" t="str">
        <x:v>2024-04</x:v>
      </x:c>
      <x:c r="B56" s="15" t="str">
        <x:v>Tiktok</x:v>
      </x:c>
      <x:c r="C56" s="17" t="n">
        <x:v>30</x:v>
      </x:c>
      <x:c r="D56" s="17"/>
      <x:c r="E56" s="18"/>
      <x:c r="F56" s="19"/>
      <x:c r="G56" s="19"/>
      <x:c r="H56" s="19"/>
      <x:c r="I56" s="19"/>
      <x:c r="J56" s="17"/>
      <x:c r="K56" s="17"/>
      <x:c r="L56" s="17"/>
      <x:c r="M56" s="17"/>
      <x:c r="N56" s="17" t="str">
        <x:f>IF(COUNTA(J56:M56)=0,"",SUM(J56:M56))</x:f>
      </x:c>
      <x:c r="O56" s="15" t="str">
        <x:v>真实月报</x:v>
      </x:c>
    </x:row>
    <x:row r="57">
      <x:c r="A57" s="15" t="str">
        <x:v>2024-04</x:v>
      </x:c>
      <x:c r="B57" s="15" t="str">
        <x:v>GEO</x:v>
      </x:c>
      <x:c r="C57" s="17"/>
      <x:c r="D57" s="17"/>
      <x:c r="E57" s="18"/>
      <x:c r="F57" s="19"/>
      <x:c r="G57" s="19"/>
      <x:c r="H57" s="19"/>
      <x:c r="I57" s="19"/>
      <x:c r="J57" s="17"/>
      <x:c r="K57" s="17"/>
      <x:c r="L57" s="17"/>
      <x:c r="M57" s="17"/>
      <x:c r="N57" s="17" t="str">
        <x:f>IF(COUNTA(J57:M57)=0,"",SUM(J57:M57))</x:f>
      </x:c>
      <x:c r="O57" s="15" t="str">
        <x:v>真实月报</x:v>
      </x:c>
    </x:row>
    <x:row r="58">
      <x:c r="A58" s="15" t="str">
        <x:v>2024-04</x:v>
      </x:c>
      <x:c r="B58" s="15" t="str">
        <x:v>Organic</x:v>
      </x:c>
      <x:c r="C58" s="17" t="n">
        <x:v>24641</x:v>
      </x:c>
      <x:c r="D58" s="17" t="n">
        <x:v>2970</x:v>
      </x:c>
      <x:c r="E58" s="18"/>
      <x:c r="F58" s="19"/>
      <x:c r="G58" s="19"/>
      <x:c r="H58" s="19"/>
      <x:c r="I58" s="19"/>
      <x:c r="J58" s="17"/>
      <x:c r="K58" s="17"/>
      <x:c r="L58" s="17"/>
      <x:c r="M58" s="17"/>
      <x:c r="N58" s="17" t="str">
        <x:f>IF(COUNTA(J58:M58)=0,"",SUM(J58:M58))</x:f>
      </x:c>
      <x:c r="O58" s="15" t="str">
        <x:v>真实月报</x:v>
      </x:c>
    </x:row>
    <x:row r="59">
      <x:c r="A59" s="15" t="str">
        <x:v>2024-04</x:v>
      </x:c>
      <x:c r="B59" s="15" t="str">
        <x:v>Owned Channels</x:v>
      </x:c>
      <x:c r="C59" s="17" t="n">
        <x:v>1533</x:v>
      </x:c>
      <x:c r="D59" s="17" t="n">
        <x:v>127</x:v>
      </x:c>
      <x:c r="E59" s="18"/>
      <x:c r="F59" s="19"/>
      <x:c r="G59" s="19"/>
      <x:c r="H59" s="19"/>
      <x:c r="I59" s="19"/>
      <x:c r="J59" s="17"/>
      <x:c r="K59" s="17"/>
      <x:c r="L59" s="17"/>
      <x:c r="M59" s="17"/>
      <x:c r="N59" s="17" t="str">
        <x:f>IF(COUNTA(J59:M59)=0,"",SUM(J59:M59))</x:f>
      </x:c>
      <x:c r="O59" s="15" t="str">
        <x:v>真实月报</x:v>
      </x:c>
    </x:row>
    <x:row r="60">
      <x:c r="A60" s="15" t="str">
        <x:v>2024-04</x:v>
      </x:c>
      <x:c r="B60" s="15" t="str">
        <x:v>Google</x:v>
      </x:c>
      <x:c r="C60" s="17" t="n">
        <x:v>24099</x:v>
      </x:c>
      <x:c r="D60" s="17" t="n">
        <x:v>2896</x:v>
      </x:c>
      <x:c r="E60" s="18"/>
      <x:c r="F60" s="19"/>
      <x:c r="G60" s="19"/>
      <x:c r="H60" s="19"/>
      <x:c r="I60" s="19"/>
      <x:c r="J60" s="17"/>
      <x:c r="K60" s="17"/>
      <x:c r="L60" s="17"/>
      <x:c r="M60" s="17"/>
      <x:c r="N60" s="17" t="str">
        <x:f>IF(COUNTA(J60:M60)=0,"",SUM(J60:M60))</x:f>
      </x:c>
      <x:c r="O60" s="15" t="str">
        <x:v>真实月报</x:v>
      </x:c>
    </x:row>
    <x:row r="61">
      <x:c r="A61" s="15" t="str">
        <x:v>2024-04</x:v>
      </x:c>
      <x:c r="B61" s="15" t="str">
        <x:v>Bing</x:v>
      </x:c>
      <x:c r="C61" s="17" t="n">
        <x:v>405</x:v>
      </x:c>
      <x:c r="D61" s="17" t="n">
        <x:v>29</x:v>
      </x:c>
      <x:c r="E61" s="18"/>
      <x:c r="F61" s="19"/>
      <x:c r="G61" s="19"/>
      <x:c r="H61" s="19"/>
      <x:c r="I61" s="19"/>
      <x:c r="J61" s="17"/>
      <x:c r="K61" s="17"/>
      <x:c r="L61" s="17"/>
      <x:c r="M61" s="17"/>
      <x:c r="N61" s="17" t="str">
        <x:f>IF(COUNTA(J61:M61)=0,"",SUM(J61:M61))</x:f>
      </x:c>
      <x:c r="O61" s="15" t="str">
        <x:v>真实月报</x:v>
      </x:c>
    </x:row>
    <x:row r="62">
      <x:c r="A62" s="15" t="str">
        <x:v>2024-04</x:v>
      </x:c>
      <x:c r="B62" s="15" t="str">
        <x:v>Lead Partner</x:v>
      </x:c>
      <x:c r="C62" s="17" t="n">
        <x:v>12244</x:v>
      </x:c>
      <x:c r="D62" s="17" t="n">
        <x:v>682</x:v>
      </x:c>
      <x:c r="E62" s="18"/>
      <x:c r="F62" s="19"/>
      <x:c r="G62" s="19"/>
      <x:c r="H62" s="19"/>
      <x:c r="I62" s="19"/>
      <x:c r="J62" s="17"/>
      <x:c r="K62" s="17"/>
      <x:c r="L62" s="17"/>
      <x:c r="M62" s="17"/>
      <x:c r="N62" s="17" t="str">
        <x:f>IF(COUNTA(J62:M62)=0,"",SUM(J62:M62))</x:f>
      </x:c>
      <x:c r="O62" s="15" t="str">
        <x:v>真实月报</x:v>
      </x:c>
    </x:row>
    <x:row r="63">
      <x:c r="A63" s="15" t="str">
        <x:v>2024-04</x:v>
      </x:c>
      <x:c r="B63" s="15" t="str">
        <x:v>Meta</x:v>
      </x:c>
      <x:c r="C63" s="17" t="n">
        <x:v>192</x:v>
      </x:c>
      <x:c r="D63" s="17" t="n">
        <x:v>13</x:v>
      </x:c>
      <x:c r="E63" s="18"/>
      <x:c r="F63" s="19"/>
      <x:c r="G63" s="19"/>
      <x:c r="H63" s="19"/>
      <x:c r="I63" s="19"/>
      <x:c r="J63" s="17"/>
      <x:c r="K63" s="17"/>
      <x:c r="L63" s="17"/>
      <x:c r="M63" s="17"/>
      <x:c r="N63" s="17" t="str">
        <x:f>IF(COUNTA(J63:M63)=0,"",SUM(J63:M63))</x:f>
      </x:c>
      <x:c r="O63" s="15" t="str">
        <x:v>真实月报</x:v>
      </x:c>
    </x:row>
    <x:row r="64">
      <x:c r="A64" s="15" t="str">
        <x:v>2024-04</x:v>
      </x:c>
      <x:c r="B64" s="15" t="str">
        <x:v>Total</x:v>
      </x:c>
      <x:c r="C64" s="17" t="n">
        <x:v>63144</x:v>
      </x:c>
      <x:c r="D64" s="17" t="n">
        <x:v>6717</x:v>
      </x:c>
      <x:c r="E64" s="18"/>
      <x:c r="F64" s="19"/>
      <x:c r="G64" s="19"/>
      <x:c r="H64" s="19"/>
      <x:c r="I64" s="19"/>
      <x:c r="J64" s="17"/>
      <x:c r="K64" s="17"/>
      <x:c r="L64" s="17"/>
      <x:c r="M64" s="17"/>
      <x:c r="N64" s="17" t="str">
        <x:f>IF(COUNTA(J64:M64)=0,"",SUM(J64:M64))</x:f>
      </x:c>
      <x:c r="O64" s="15" t="str">
        <x:v>真实月报</x:v>
      </x:c>
    </x:row>
    <x:row r="65">
      <x:c r="A65" s="15" t="str">
        <x:v>2024-05</x:v>
      </x:c>
      <x:c r="B65" s="15" t="str">
        <x:v>Tiktok</x:v>
      </x:c>
      <x:c r="C65" s="17" t="n">
        <x:v>31</x:v>
      </x:c>
      <x:c r="D65" s="17" t="n">
        <x:v>3</x:v>
      </x:c>
      <x:c r="E65" s="18"/>
      <x:c r="F65" s="19"/>
      <x:c r="G65" s="19"/>
      <x:c r="H65" s="19"/>
      <x:c r="I65" s="19"/>
      <x:c r="J65" s="17"/>
      <x:c r="K65" s="17"/>
      <x:c r="L65" s="17"/>
      <x:c r="M65" s="17"/>
      <x:c r="N65" s="17" t="str">
        <x:f>IF(COUNTA(J65:M65)=0,"",SUM(J65:M65))</x:f>
      </x:c>
      <x:c r="O65" s="15" t="str">
        <x:v>真实月报</x:v>
      </x:c>
    </x:row>
    <x:row r="66">
      <x:c r="A66" s="15" t="str">
        <x:v>2024-05</x:v>
      </x:c>
      <x:c r="B66" s="15" t="str">
        <x:v>GEO</x:v>
      </x:c>
      <x:c r="C66" s="17"/>
      <x:c r="D66" s="17"/>
      <x:c r="E66" s="18"/>
      <x:c r="F66" s="19"/>
      <x:c r="G66" s="19"/>
      <x:c r="H66" s="19"/>
      <x:c r="I66" s="19"/>
      <x:c r="J66" s="17"/>
      <x:c r="K66" s="17"/>
      <x:c r="L66" s="17"/>
      <x:c r="M66" s="17"/>
      <x:c r="N66" s="17" t="str">
        <x:f>IF(COUNTA(J66:M66)=0,"",SUM(J66:M66))</x:f>
      </x:c>
      <x:c r="O66" s="15" t="str">
        <x:v>真实月报</x:v>
      </x:c>
    </x:row>
    <x:row r="67">
      <x:c r="A67" s="15" t="str">
        <x:v>2024-05</x:v>
      </x:c>
      <x:c r="B67" s="15" t="str">
        <x:v>Organic</x:v>
      </x:c>
      <x:c r="C67" s="17" t="n">
        <x:v>19101</x:v>
      </x:c>
      <x:c r="D67" s="17" t="n">
        <x:v>3805</x:v>
      </x:c>
      <x:c r="E67" s="18"/>
      <x:c r="F67" s="19"/>
      <x:c r="G67" s="19"/>
      <x:c r="H67" s="19"/>
      <x:c r="I67" s="19"/>
      <x:c r="J67" s="17"/>
      <x:c r="K67" s="17"/>
      <x:c r="L67" s="17"/>
      <x:c r="M67" s="17"/>
      <x:c r="N67" s="17" t="str">
        <x:f>IF(COUNTA(J67:M67)=0,"",SUM(J67:M67))</x:f>
      </x:c>
      <x:c r="O67" s="15" t="str">
        <x:v>真实月报</x:v>
      </x:c>
    </x:row>
    <x:row r="68">
      <x:c r="A68" s="15" t="str">
        <x:v>2024-05</x:v>
      </x:c>
      <x:c r="B68" s="15" t="str">
        <x:v>Owned Channels</x:v>
      </x:c>
      <x:c r="C68" s="17" t="n">
        <x:v>2516</x:v>
      </x:c>
      <x:c r="D68" s="17" t="n">
        <x:v>294</x:v>
      </x:c>
      <x:c r="E68" s="18"/>
      <x:c r="F68" s="19"/>
      <x:c r="G68" s="19"/>
      <x:c r="H68" s="19"/>
      <x:c r="I68" s="19"/>
      <x:c r="J68" s="17"/>
      <x:c r="K68" s="17"/>
      <x:c r="L68" s="17"/>
      <x:c r="M68" s="17"/>
      <x:c r="N68" s="17" t="str">
        <x:f>IF(COUNTA(J68:M68)=0,"",SUM(J68:M68))</x:f>
      </x:c>
      <x:c r="O68" s="15" t="str">
        <x:v>真实月报</x:v>
      </x:c>
    </x:row>
    <x:row r="69">
      <x:c r="A69" s="15" t="str">
        <x:v>2024-05</x:v>
      </x:c>
      <x:c r="B69" s="15" t="str">
        <x:v>Google</x:v>
      </x:c>
      <x:c r="C69" s="17" t="n">
        <x:v>17233</x:v>
      </x:c>
      <x:c r="D69" s="17" t="n">
        <x:v>3371</x:v>
      </x:c>
      <x:c r="E69" s="18"/>
      <x:c r="F69" s="19"/>
      <x:c r="G69" s="19"/>
      <x:c r="H69" s="19"/>
      <x:c r="I69" s="19"/>
      <x:c r="J69" s="17"/>
      <x:c r="K69" s="17"/>
      <x:c r="L69" s="17"/>
      <x:c r="M69" s="17"/>
      <x:c r="N69" s="17" t="str">
        <x:f>IF(COUNTA(J69:M69)=0,"",SUM(J69:M69))</x:f>
      </x:c>
      <x:c r="O69" s="15" t="str">
        <x:v>真实月报</x:v>
      </x:c>
    </x:row>
    <x:row r="70">
      <x:c r="A70" s="15" t="str">
        <x:v>2024-05</x:v>
      </x:c>
      <x:c r="B70" s="15" t="str">
        <x:v>Bing</x:v>
      </x:c>
      <x:c r="C70" s="17" t="n">
        <x:v>436</x:v>
      </x:c>
      <x:c r="D70" s="17" t="n">
        <x:v>57</x:v>
      </x:c>
      <x:c r="E70" s="18"/>
      <x:c r="F70" s="19"/>
      <x:c r="G70" s="19"/>
      <x:c r="H70" s="19"/>
      <x:c r="I70" s="19"/>
      <x:c r="J70" s="17"/>
      <x:c r="K70" s="17"/>
      <x:c r="L70" s="17"/>
      <x:c r="M70" s="17"/>
      <x:c r="N70" s="17" t="str">
        <x:f>IF(COUNTA(J70:M70)=0,"",SUM(J70:M70))</x:f>
      </x:c>
      <x:c r="O70" s="15" t="str">
        <x:v>真实月报</x:v>
      </x:c>
    </x:row>
    <x:row r="71">
      <x:c r="A71" s="15" t="str">
        <x:v>2024-05</x:v>
      </x:c>
      <x:c r="B71" s="15" t="str">
        <x:v>Lead Partner</x:v>
      </x:c>
      <x:c r="C71" s="17" t="n">
        <x:v>6970</x:v>
      </x:c>
      <x:c r="D71" s="17" t="n">
        <x:v>595</x:v>
      </x:c>
      <x:c r="E71" s="18"/>
      <x:c r="F71" s="19"/>
      <x:c r="G71" s="19"/>
      <x:c r="H71" s="19"/>
      <x:c r="I71" s="19"/>
      <x:c r="J71" s="17"/>
      <x:c r="K71" s="17"/>
      <x:c r="L71" s="17"/>
      <x:c r="M71" s="17"/>
      <x:c r="N71" s="17" t="str">
        <x:f>IF(COUNTA(J71:M71)=0,"",SUM(J71:M71))</x:f>
      </x:c>
      <x:c r="O71" s="15" t="str">
        <x:v>真实月报</x:v>
      </x:c>
    </x:row>
    <x:row r="72">
      <x:c r="A72" s="15" t="str">
        <x:v>2024-05</x:v>
      </x:c>
      <x:c r="B72" s="15" t="str">
        <x:v>Meta</x:v>
      </x:c>
      <x:c r="C72" s="17" t="n">
        <x:v>129</x:v>
      </x:c>
      <x:c r="D72" s="17" t="n">
        <x:v>21</x:v>
      </x:c>
      <x:c r="E72" s="18"/>
      <x:c r="F72" s="19"/>
      <x:c r="G72" s="19"/>
      <x:c r="H72" s="19"/>
      <x:c r="I72" s="19"/>
      <x:c r="J72" s="17"/>
      <x:c r="K72" s="17"/>
      <x:c r="L72" s="17"/>
      <x:c r="M72" s="17"/>
      <x:c r="N72" s="17" t="str">
        <x:f>IF(COUNTA(J72:M72)=0,"",SUM(J72:M72))</x:f>
      </x:c>
      <x:c r="O72" s="15" t="str">
        <x:v>真实月报</x:v>
      </x:c>
    </x:row>
    <x:row r="73">
      <x:c r="A73" s="15" t="str">
        <x:v>2024-05</x:v>
      </x:c>
      <x:c r="B73" s="15" t="str">
        <x:v>Total</x:v>
      </x:c>
      <x:c r="C73" s="17" t="n">
        <x:v>46416</x:v>
      </x:c>
      <x:c r="D73" s="17" t="n">
        <x:v>8146</x:v>
      </x:c>
      <x:c r="E73" s="18"/>
      <x:c r="F73" s="19"/>
      <x:c r="G73" s="19"/>
      <x:c r="H73" s="19"/>
      <x:c r="I73" s="19"/>
      <x:c r="J73" s="17"/>
      <x:c r="K73" s="17"/>
      <x:c r="L73" s="17"/>
      <x:c r="M73" s="17"/>
      <x:c r="N73" s="17" t="str">
        <x:f>IF(COUNTA(J73:M73)=0,"",SUM(J73:M73))</x:f>
      </x:c>
      <x:c r="O73" s="15" t="str">
        <x:v>真实月报</x:v>
      </x:c>
    </x:row>
    <x:row r="74">
      <x:c r="A74" s="15" t="str">
        <x:v>2024-06</x:v>
      </x:c>
      <x:c r="B74" s="15" t="str">
        <x:v>Tiktok</x:v>
      </x:c>
      <x:c r="C74" s="17" t="n">
        <x:v>8</x:v>
      </x:c>
      <x:c r="D74" s="17" t="n">
        <x:v>1</x:v>
      </x:c>
      <x:c r="E74" s="18"/>
      <x:c r="F74" s="19"/>
      <x:c r="G74" s="19"/>
      <x:c r="H74" s="19"/>
      <x:c r="I74" s="19"/>
      <x:c r="J74" s="17"/>
      <x:c r="K74" s="17"/>
      <x:c r="L74" s="17"/>
      <x:c r="M74" s="17"/>
      <x:c r="N74" s="17" t="str">
        <x:f>IF(COUNTA(J74:M74)=0,"",SUM(J74:M74))</x:f>
      </x:c>
      <x:c r="O74" s="15" t="str">
        <x:v>真实月报</x:v>
      </x:c>
    </x:row>
    <x:row r="75">
      <x:c r="A75" s="15" t="str">
        <x:v>2024-06</x:v>
      </x:c>
      <x:c r="B75" s="15" t="str">
        <x:v>GEO</x:v>
      </x:c>
      <x:c r="C75" s="17"/>
      <x:c r="D75" s="17"/>
      <x:c r="E75" s="18"/>
      <x:c r="F75" s="19"/>
      <x:c r="G75" s="19"/>
      <x:c r="H75" s="19"/>
      <x:c r="I75" s="19"/>
      <x:c r="J75" s="17"/>
      <x:c r="K75" s="17"/>
      <x:c r="L75" s="17"/>
      <x:c r="M75" s="17"/>
      <x:c r="N75" s="17" t="str">
        <x:f>IF(COUNTA(J75:M75)=0,"",SUM(J75:M75))</x:f>
      </x:c>
      <x:c r="O75" s="15" t="str">
        <x:v>真实月报</x:v>
      </x:c>
    </x:row>
    <x:row r="76">
      <x:c r="A76" s="15" t="str">
        <x:v>2024-06</x:v>
      </x:c>
      <x:c r="B76" s="15" t="str">
        <x:v>Organic</x:v>
      </x:c>
      <x:c r="C76" s="17" t="n">
        <x:v>22409</x:v>
      </x:c>
      <x:c r="D76" s="17" t="n">
        <x:v>5604</x:v>
      </x:c>
      <x:c r="E76" s="18"/>
      <x:c r="F76" s="19"/>
      <x:c r="G76" s="19"/>
      <x:c r="H76" s="19"/>
      <x:c r="I76" s="19"/>
      <x:c r="J76" s="17"/>
      <x:c r="K76" s="17"/>
      <x:c r="L76" s="17"/>
      <x:c r="M76" s="17"/>
      <x:c r="N76" s="17" t="str">
        <x:f>IF(COUNTA(J76:M76)=0,"",SUM(J76:M76))</x:f>
      </x:c>
      <x:c r="O76" s="15" t="str">
        <x:v>真实月报</x:v>
      </x:c>
    </x:row>
    <x:row r="77">
      <x:c r="A77" s="15" t="str">
        <x:v>2024-06</x:v>
      </x:c>
      <x:c r="B77" s="15" t="str">
        <x:v>Owned Channels</x:v>
      </x:c>
      <x:c r="C77" s="17" t="n">
        <x:v>1974</x:v>
      </x:c>
      <x:c r="D77" s="17" t="n">
        <x:v>273</x:v>
      </x:c>
      <x:c r="E77" s="18"/>
      <x:c r="F77" s="19"/>
      <x:c r="G77" s="19"/>
      <x:c r="H77" s="19"/>
      <x:c r="I77" s="19"/>
      <x:c r="J77" s="17"/>
      <x:c r="K77" s="17"/>
      <x:c r="L77" s="17"/>
      <x:c r="M77" s="17"/>
      <x:c r="N77" s="17" t="str">
        <x:f>IF(COUNTA(J77:M77)=0,"",SUM(J77:M77))</x:f>
      </x:c>
      <x:c r="O77" s="15" t="str">
        <x:v>真实月报</x:v>
      </x:c>
    </x:row>
    <x:row r="78">
      <x:c r="A78" s="15" t="str">
        <x:v>2024-06</x:v>
      </x:c>
      <x:c r="B78" s="15" t="str">
        <x:v>Google</x:v>
      </x:c>
      <x:c r="C78" s="17" t="n">
        <x:v>2327</x:v>
      </x:c>
      <x:c r="D78" s="17" t="n">
        <x:v>539</x:v>
      </x:c>
      <x:c r="E78" s="18"/>
      <x:c r="F78" s="19"/>
      <x:c r="G78" s="19"/>
      <x:c r="H78" s="19"/>
      <x:c r="I78" s="19"/>
      <x:c r="J78" s="17"/>
      <x:c r="K78" s="17"/>
      <x:c r="L78" s="17"/>
      <x:c r="M78" s="17"/>
      <x:c r="N78" s="17" t="str">
        <x:f>IF(COUNTA(J78:M78)=0,"",SUM(J78:M78))</x:f>
      </x:c>
      <x:c r="O78" s="15" t="str">
        <x:v>真实月报</x:v>
      </x:c>
    </x:row>
    <x:row r="79">
      <x:c r="A79" s="15" t="str">
        <x:v>2024-06</x:v>
      </x:c>
      <x:c r="B79" s="15" t="str">
        <x:v>Bing</x:v>
      </x:c>
      <x:c r="C79" s="17" t="n">
        <x:v>481</x:v>
      </x:c>
      <x:c r="D79" s="17" t="n">
        <x:v>63</x:v>
      </x:c>
      <x:c r="E79" s="18"/>
      <x:c r="F79" s="19"/>
      <x:c r="G79" s="19"/>
      <x:c r="H79" s="19"/>
      <x:c r="I79" s="19"/>
      <x:c r="J79" s="17"/>
      <x:c r="K79" s="17"/>
      <x:c r="L79" s="17"/>
      <x:c r="M79" s="17"/>
      <x:c r="N79" s="17" t="str">
        <x:f>IF(COUNTA(J79:M79)=0,"",SUM(J79:M79))</x:f>
      </x:c>
      <x:c r="O79" s="15" t="str">
        <x:v>真实月报</x:v>
      </x:c>
    </x:row>
    <x:row r="80">
      <x:c r="A80" s="15" t="str">
        <x:v>2024-06</x:v>
      </x:c>
      <x:c r="B80" s="15" t="str">
        <x:v>Lead Partner</x:v>
      </x:c>
      <x:c r="C80" s="17" t="n">
        <x:v>9053</x:v>
      </x:c>
      <x:c r="D80" s="17" t="n">
        <x:v>522</x:v>
      </x:c>
      <x:c r="E80" s="18"/>
      <x:c r="F80" s="19"/>
      <x:c r="G80" s="19"/>
      <x:c r="H80" s="19"/>
      <x:c r="I80" s="19"/>
      <x:c r="J80" s="17"/>
      <x:c r="K80" s="17"/>
      <x:c r="L80" s="17"/>
      <x:c r="M80" s="17"/>
      <x:c r="N80" s="17" t="str">
        <x:f>IF(COUNTA(J80:M80)=0,"",SUM(J80:M80))</x:f>
      </x:c>
      <x:c r="O80" s="15" t="str">
        <x:v>真实月报</x:v>
      </x:c>
    </x:row>
    <x:row r="81">
      <x:c r="A81" s="15" t="str">
        <x:v>2024-06</x:v>
      </x:c>
      <x:c r="B81" s="15" t="str">
        <x:v>Meta</x:v>
      </x:c>
      <x:c r="C81" s="17" t="n">
        <x:v>58</x:v>
      </x:c>
      <x:c r="D81" s="17" t="n">
        <x:v>11</x:v>
      </x:c>
      <x:c r="E81" s="18"/>
      <x:c r="F81" s="19"/>
      <x:c r="G81" s="19"/>
      <x:c r="H81" s="19"/>
      <x:c r="I81" s="19"/>
      <x:c r="J81" s="17"/>
      <x:c r="K81" s="17"/>
      <x:c r="L81" s="17"/>
      <x:c r="M81" s="17"/>
      <x:c r="N81" s="17" t="str">
        <x:f>IF(COUNTA(J81:M81)=0,"",SUM(J81:M81))</x:f>
      </x:c>
      <x:c r="O81" s="15" t="str">
        <x:v>真实月报</x:v>
      </x:c>
    </x:row>
    <x:row r="82">
      <x:c r="A82" s="15" t="str">
        <x:v>2024-06</x:v>
      </x:c>
      <x:c r="B82" s="15" t="str">
        <x:v>Total</x:v>
      </x:c>
      <x:c r="C82" s="17" t="n">
        <x:v>36310</x:v>
      </x:c>
      <x:c r="D82" s="17" t="n">
        <x:v>7013</x:v>
      </x:c>
      <x:c r="E82" s="18"/>
      <x:c r="F82" s="19"/>
      <x:c r="G82" s="19"/>
      <x:c r="H82" s="19"/>
      <x:c r="I82" s="19"/>
      <x:c r="J82" s="17"/>
      <x:c r="K82" s="17"/>
      <x:c r="L82" s="17"/>
      <x:c r="M82" s="17"/>
      <x:c r="N82" s="17" t="str">
        <x:f>IF(COUNTA(J82:M82)=0,"",SUM(J82:M82))</x:f>
      </x:c>
      <x:c r="O82" s="15" t="str">
        <x:v>真实月报</x:v>
      </x:c>
    </x:row>
    <x:row r="83">
      <x:c r="A83" s="15" t="str">
        <x:v>2024-07</x:v>
      </x:c>
      <x:c r="B83" s="15" t="str">
        <x:v>Tiktok</x:v>
      </x:c>
      <x:c r="C83" s="17" t="n">
        <x:v>94</x:v>
      </x:c>
      <x:c r="D83" s="17" t="n">
        <x:v>4</x:v>
      </x:c>
      <x:c r="E83" s="18"/>
      <x:c r="F83" s="19" t="n">
        <x:v>0.10526315789473684</x:v>
      </x:c>
      <x:c r="G83" s="19" t="n">
        <x:v>0</x:v>
      </x:c>
      <x:c r="H83" s="19" t="n">
        <x:v>0.7894736842105263</x:v>
      </x:c>
      <x:c r="I83" s="19" t="n">
        <x:v>0.10526315789473684</x:v>
      </x:c>
      <x:c r="J83" s="17"/>
      <x:c r="K83" s="17"/>
      <x:c r="L83" s="17"/>
      <x:c r="M83" s="17"/>
      <x:c r="N83" s="17" t="str">
        <x:f>IF(COUNTA(J83:M83)=0,"",SUM(J83:M83))</x:f>
      </x:c>
      <x:c r="O83" s="15" t="str">
        <x:v>真实月报</x:v>
      </x:c>
    </x:row>
    <x:row r="84">
      <x:c r="A84" s="15" t="str">
        <x:v>2024-07</x:v>
      </x:c>
      <x:c r="B84" s="15" t="str">
        <x:v>GEO</x:v>
      </x:c>
      <x:c r="C84" s="17"/>
      <x:c r="D84" s="17"/>
      <x:c r="E84" s="18"/>
      <x:c r="F84" s="19"/>
      <x:c r="G84" s="19"/>
      <x:c r="H84" s="19"/>
      <x:c r="I84" s="19"/>
      <x:c r="J84" s="17"/>
      <x:c r="K84" s="17"/>
      <x:c r="L84" s="17"/>
      <x:c r="M84" s="17"/>
      <x:c r="N84" s="17" t="str">
        <x:f>IF(COUNTA(J84:M84)=0,"",SUM(J84:M84))</x:f>
      </x:c>
      <x:c r="O84" s="15" t="str">
        <x:v>真实月报</x:v>
      </x:c>
    </x:row>
    <x:row r="85">
      <x:c r="A85" s="15" t="str">
        <x:v>2024-07</x:v>
      </x:c>
      <x:c r="B85" s="15" t="str">
        <x:v>Organic</x:v>
      </x:c>
      <x:c r="C85" s="17" t="n">
        <x:v>20482</x:v>
      </x:c>
      <x:c r="D85" s="17" t="n">
        <x:v>5184</x:v>
      </x:c>
      <x:c r="E85" s="18"/>
      <x:c r="F85" s="19" t="n">
        <x:v>0.21567652075042637</x:v>
      </x:c>
      <x:c r="G85" s="19" t="n">
        <x:v>0.07767197271176805</x:v>
      </x:c>
      <x:c r="H85" s="19" t="n">
        <x:v>0.6611000568504832</x:v>
      </x:c>
      <x:c r="I85" s="19" t="n">
        <x:v>0.045551449687322346</x:v>
      </x:c>
      <x:c r="J85" s="17"/>
      <x:c r="K85" s="17"/>
      <x:c r="L85" s="17"/>
      <x:c r="M85" s="17"/>
      <x:c r="N85" s="17" t="str">
        <x:f>IF(COUNTA(J85:M85)=0,"",SUM(J85:M85))</x:f>
      </x:c>
      <x:c r="O85" s="15" t="str">
        <x:v>真实月报</x:v>
      </x:c>
    </x:row>
    <x:row r="86">
      <x:c r="A86" s="15" t="str">
        <x:v>2024-07</x:v>
      </x:c>
      <x:c r="B86" s="15" t="str">
        <x:v>Owned Channels</x:v>
      </x:c>
      <x:c r="C86" s="17" t="n">
        <x:v>2416</x:v>
      </x:c>
      <x:c r="D86" s="17" t="n">
        <x:v>323</x:v>
      </x:c>
      <x:c r="E86" s="18"/>
      <x:c r="F86" s="19" t="n">
        <x:v>0.10607225211375865</x:v>
      </x:c>
      <x:c r="G86" s="19" t="n">
        <x:v>0.0568793235972329</x:v>
      </x:c>
      <x:c r="H86" s="19" t="n">
        <x:v>0.8216756341275941</x:v>
      </x:c>
      <x:c r="I86" s="19" t="n">
        <x:v>0.015372790161414296</x:v>
      </x:c>
      <x:c r="J86" s="17"/>
      <x:c r="K86" s="17"/>
      <x:c r="L86" s="17"/>
      <x:c r="M86" s="17"/>
      <x:c r="N86" s="17" t="str">
        <x:f>IF(COUNTA(J86:M86)=0,"",SUM(J86:M86))</x:f>
      </x:c>
      <x:c r="O86" s="15" t="str">
        <x:v>真实月报</x:v>
      </x:c>
    </x:row>
    <x:row r="87">
      <x:c r="A87" s="15" t="str">
        <x:v>2024-07</x:v>
      </x:c>
      <x:c r="B87" s="15" t="str">
        <x:v>Google</x:v>
      </x:c>
      <x:c r="C87" s="17" t="n">
        <x:v>6714</x:v>
      </x:c>
      <x:c r="D87" s="17" t="n">
        <x:v>1077</x:v>
      </x:c>
      <x:c r="E87" s="18" t="n">
        <x:v>83.40297121634168</x:v>
      </x:c>
      <x:c r="F87" s="19" t="n">
        <x:v>0.11316964285714286</x:v>
      </x:c>
      <x:c r="G87" s="19" t="n">
        <x:v>0.06272321428571428</x:v>
      </x:c>
      <x:c r="H87" s="19" t="n">
        <x:v>0.7765625</x:v>
      </x:c>
      <x:c r="I87" s="19" t="n">
        <x:v>0.047544642857142855</x:v>
      </x:c>
      <x:c r="J87" s="17"/>
      <x:c r="K87" s="17"/>
      <x:c r="L87" s="17"/>
      <x:c r="M87" s="17"/>
      <x:c r="N87" s="17" t="str">
        <x:f>IF(COUNTA(J87:M87)=0,"",SUM(J87:M87))</x:f>
      </x:c>
      <x:c r="O87" s="15" t="str">
        <x:v>真实月报</x:v>
      </x:c>
    </x:row>
    <x:row r="88">
      <x:c r="A88" s="15" t="str">
        <x:v>2024-07</x:v>
      </x:c>
      <x:c r="B88" s="15" t="str">
        <x:v>Bing</x:v>
      </x:c>
      <x:c r="C88" s="17" t="n">
        <x:v>85</x:v>
      </x:c>
      <x:c r="D88" s="17" t="n">
        <x:v>16</x:v>
      </x:c>
      <x:c r="E88" s="18" t="n">
        <x:v>393.0625</x:v>
      </x:c>
      <x:c r="F88" s="19" t="n">
        <x:v>0.0784313725490196</x:v>
      </x:c>
      <x:c r="G88" s="19" t="n">
        <x:v>0.11764705882352941</x:v>
      </x:c>
      <x:c r="H88" s="19" t="n">
        <x:v>0.7647058823529411</x:v>
      </x:c>
      <x:c r="I88" s="19" t="n">
        <x:v>0.0392156862745098</x:v>
      </x:c>
      <x:c r="J88" s="17"/>
      <x:c r="K88" s="17"/>
      <x:c r="L88" s="17"/>
      <x:c r="M88" s="17"/>
      <x:c r="N88" s="17" t="str">
        <x:f>IF(COUNTA(J88:M88)=0,"",SUM(J88:M88))</x:f>
      </x:c>
      <x:c r="O88" s="15" t="str">
        <x:v>真实月报</x:v>
      </x:c>
    </x:row>
    <x:row r="89">
      <x:c r="A89" s="15" t="str">
        <x:v>2024-07</x:v>
      </x:c>
      <x:c r="B89" s="15" t="str">
        <x:v>Lead Partner</x:v>
      </x:c>
      <x:c r="C89" s="17" t="n">
        <x:v>6828</x:v>
      </x:c>
      <x:c r="D89" s="17" t="n">
        <x:v>582</x:v>
      </x:c>
      <x:c r="E89" s="18" t="n">
        <x:v>60.0977312390925</x:v>
      </x:c>
      <x:c r="F89" s="19" t="n">
        <x:v>0.026507782101167315</x:v>
      </x:c>
      <x:c r="G89" s="19" t="n">
        <x:v>0.04231517509727627</x:v>
      </x:c>
      <x:c r="H89" s="19" t="n">
        <x:v>0.8961575875486382</x:v>
      </x:c>
      <x:c r="I89" s="19" t="n">
        <x:v>0.03501945525291829</x:v>
      </x:c>
      <x:c r="J89" s="17"/>
      <x:c r="K89" s="17"/>
      <x:c r="L89" s="17"/>
      <x:c r="M89" s="17"/>
      <x:c r="N89" s="17" t="str">
        <x:f>IF(COUNTA(J89:M89)=0,"",SUM(J89:M89))</x:f>
      </x:c>
      <x:c r="O89" s="15" t="str">
        <x:v>真实月报</x:v>
      </x:c>
    </x:row>
    <x:row r="90">
      <x:c r="A90" s="15" t="str">
        <x:v>2024-07</x:v>
      </x:c>
      <x:c r="B90" s="15" t="str">
        <x:v>Meta</x:v>
      </x:c>
      <x:c r="C90" s="17"/>
      <x:c r="D90" s="17"/>
      <x:c r="E90" s="18"/>
      <x:c r="F90" s="19"/>
      <x:c r="G90" s="19"/>
      <x:c r="H90" s="19"/>
      <x:c r="I90" s="19"/>
      <x:c r="J90" s="17"/>
      <x:c r="K90" s="17"/>
      <x:c r="L90" s="17"/>
      <x:c r="M90" s="17"/>
      <x:c r="N90" s="17" t="str">
        <x:f>IF(COUNTA(J90:M90)=0,"",SUM(J90:M90))</x:f>
      </x:c>
      <x:c r="O90" s="15" t="str">
        <x:v>真实月报</x:v>
      </x:c>
    </x:row>
    <x:row r="91">
      <x:c r="A91" s="15" t="str">
        <x:v>2024-07</x:v>
      </x:c>
      <x:c r="B91" s="15" t="str">
        <x:v>Total</x:v>
      </x:c>
      <x:c r="C91" s="17" t="n">
        <x:v>36619</x:v>
      </x:c>
      <x:c r="D91" s="17" t="n">
        <x:v>7186</x:v>
      </x:c>
      <x:c r="E91" s="18" t="n">
        <x:v>20.75368772613415</x:v>
      </x:c>
      <x:c r="F91" s="19"/>
      <x:c r="G91" s="19"/>
      <x:c r="H91" s="19"/>
      <x:c r="I91" s="19"/>
      <x:c r="J91" s="17"/>
      <x:c r="K91" s="17"/>
      <x:c r="L91" s="17"/>
      <x:c r="M91" s="17"/>
      <x:c r="N91" s="17" t="str">
        <x:f>IF(COUNTA(J91:M91)=0,"",SUM(J91:M91))</x:f>
      </x:c>
      <x:c r="O91" s="15" t="str">
        <x:v>真实月报</x:v>
      </x:c>
    </x:row>
    <x:row r="92">
      <x:c r="A92" s="15" t="str">
        <x:v>2024-08</x:v>
      </x:c>
      <x:c r="B92" s="15" t="str">
        <x:v>Tiktok</x:v>
      </x:c>
      <x:c r="C92" s="17" t="n">
        <x:v>301</x:v>
      </x:c>
      <x:c r="D92" s="17" t="n">
        <x:v>24</x:v>
      </x:c>
      <x:c r="E92" s="18"/>
      <x:c r="F92" s="19" t="n">
        <x:v>0</x:v>
      </x:c>
      <x:c r="G92" s="19" t="n">
        <x:v>0.05521472392638037</x:v>
      </x:c>
      <x:c r="H92" s="19" t="n">
        <x:v>0.8404907975460123</x:v>
      </x:c>
      <x:c r="I92" s="19" t="n">
        <x:v>0.10429447852760736</x:v>
      </x:c>
      <x:c r="J92" s="17"/>
      <x:c r="K92" s="17"/>
      <x:c r="L92" s="17"/>
      <x:c r="M92" s="17"/>
      <x:c r="N92" s="17" t="str">
        <x:f>IF(COUNTA(J92:M92)=0,"",SUM(J92:M92))</x:f>
      </x:c>
      <x:c r="O92" s="15" t="str">
        <x:v>真实月报</x:v>
      </x:c>
    </x:row>
    <x:row r="93">
      <x:c r="A93" s="15" t="str">
        <x:v>2024-08</x:v>
      </x:c>
      <x:c r="B93" s="15" t="str">
        <x:v>GEO</x:v>
      </x:c>
      <x:c r="C93" s="17"/>
      <x:c r="D93" s="17"/>
      <x:c r="E93" s="18"/>
      <x:c r="F93" s="19"/>
      <x:c r="G93" s="19"/>
      <x:c r="H93" s="19"/>
      <x:c r="I93" s="19"/>
      <x:c r="J93" s="17"/>
      <x:c r="K93" s="17"/>
      <x:c r="L93" s="17"/>
      <x:c r="M93" s="17"/>
      <x:c r="N93" s="17" t="str">
        <x:f>IF(COUNTA(J93:M93)=0,"",SUM(J93:M93))</x:f>
      </x:c>
      <x:c r="O93" s="15" t="str">
        <x:v>真实月报</x:v>
      </x:c>
    </x:row>
    <x:row r="94">
      <x:c r="A94" s="15" t="str">
        <x:v>2024-08</x:v>
      </x:c>
      <x:c r="B94" s="15" t="str">
        <x:v>Organic</x:v>
      </x:c>
      <x:c r="C94" s="17" t="n">
        <x:v>19970</x:v>
      </x:c>
      <x:c r="D94" s="17" t="n">
        <x:v>4665</x:v>
      </x:c>
      <x:c r="E94" s="18"/>
      <x:c r="F94" s="19" t="n">
        <x:v>0.18941444650235076</x:v>
      </x:c>
      <x:c r="G94" s="19" t="n">
        <x:v>0.06254452201168258</x:v>
      </x:c>
      <x:c r="H94" s="19" t="n">
        <x:v>0.6825758655079072</x:v>
      </x:c>
      <x:c r="I94" s="19" t="n">
        <x:v>0.06546516597805956</x:v>
      </x:c>
      <x:c r="J94" s="17"/>
      <x:c r="K94" s="17"/>
      <x:c r="L94" s="17"/>
      <x:c r="M94" s="17"/>
      <x:c r="N94" s="17" t="str">
        <x:f>IF(COUNTA(J94:M94)=0,"",SUM(J94:M94))</x:f>
      </x:c>
      <x:c r="O94" s="15" t="str">
        <x:v>真实月报</x:v>
      </x:c>
    </x:row>
    <x:row r="95">
      <x:c r="A95" s="15" t="str">
        <x:v>2024-08</x:v>
      </x:c>
      <x:c r="B95" s="15" t="str">
        <x:v>Owned Channels</x:v>
      </x:c>
      <x:c r="C95" s="17" t="n">
        <x:v>3144</x:v>
      </x:c>
      <x:c r="D95" s="17" t="n">
        <x:v>428</x:v>
      </x:c>
      <x:c r="E95" s="18"/>
      <x:c r="F95" s="19" t="n">
        <x:v>0.12349726775956284</x:v>
      </x:c>
      <x:c r="G95" s="19" t="n">
        <x:v>0.06721311475409836</x:v>
      </x:c>
      <x:c r="H95" s="19" t="n">
        <x:v>0.7841530054644809</x:v>
      </x:c>
      <x:c r="I95" s="19" t="n">
        <x:v>0.025136612021857924</x:v>
      </x:c>
      <x:c r="J95" s="17"/>
      <x:c r="K95" s="17"/>
      <x:c r="L95" s="17"/>
      <x:c r="M95" s="17"/>
      <x:c r="N95" s="17" t="str">
        <x:f>IF(COUNTA(J95:M95)=0,"",SUM(J95:M95))</x:f>
      </x:c>
      <x:c r="O95" s="15" t="str">
        <x:v>真实月报</x:v>
      </x:c>
    </x:row>
    <x:row r="96">
      <x:c r="A96" s="15" t="str">
        <x:v>2024-08</x:v>
      </x:c>
      <x:c r="B96" s="15" t="str">
        <x:v>Google</x:v>
      </x:c>
      <x:c r="C96" s="17" t="n">
        <x:v>8669</x:v>
      </x:c>
      <x:c r="D96" s="17" t="n">
        <x:v>2192</x:v>
      </x:c>
      <x:c r="E96" s="18" t="n">
        <x:v>27.580291970802918</x:v>
      </x:c>
      <x:c r="F96" s="19" t="n">
        <x:v>0.19526813880126184</x:v>
      </x:c>
      <x:c r="G96" s="19" t="n">
        <x:v>0.07949526813880126</x:v>
      </x:c>
      <x:c r="H96" s="19" t="n">
        <x:v>0.6675078864353312</x:v>
      </x:c>
      <x:c r="I96" s="19" t="n">
        <x:v>0.05772870662460568</x:v>
      </x:c>
      <x:c r="J96" s="17"/>
      <x:c r="K96" s="17"/>
      <x:c r="L96" s="17"/>
      <x:c r="M96" s="17"/>
      <x:c r="N96" s="17" t="str">
        <x:f>IF(COUNTA(J96:M96)=0,"",SUM(J96:M96))</x:f>
      </x:c>
      <x:c r="O96" s="15" t="str">
        <x:v>真实月报</x:v>
      </x:c>
    </x:row>
    <x:row r="97">
      <x:c r="A97" s="15" t="str">
        <x:v>2024-08</x:v>
      </x:c>
      <x:c r="B97" s="15" t="str">
        <x:v>Bing</x:v>
      </x:c>
      <x:c r="C97" s="17" t="n">
        <x:v>216</x:v>
      </x:c>
      <x:c r="D97" s="17" t="n">
        <x:v>36</x:v>
      </x:c>
      <x:c r="E97" s="18" t="n">
        <x:v>112.11111111111111</x:v>
      </x:c>
      <x:c r="F97" s="19" t="n">
        <x:v>0.15555555555555556</x:v>
      </x:c>
      <x:c r="G97" s="19" t="n">
        <x:v>0.05925925925925926</x:v>
      </x:c>
      <x:c r="H97" s="19" t="n">
        <x:v>0.7185185185185186</x:v>
      </x:c>
      <x:c r="I97" s="19" t="n">
        <x:v>0.06666666666666667</x:v>
      </x:c>
      <x:c r="J97" s="17"/>
      <x:c r="K97" s="17"/>
      <x:c r="L97" s="17"/>
      <x:c r="M97" s="17"/>
      <x:c r="N97" s="17" t="str">
        <x:f>IF(COUNTA(J97:M97)=0,"",SUM(J97:M97))</x:f>
      </x:c>
      <x:c r="O97" s="15" t="str">
        <x:v>真实月报</x:v>
      </x:c>
    </x:row>
    <x:row r="98">
      <x:c r="A98" s="15" t="str">
        <x:v>2024-08</x:v>
      </x:c>
      <x:c r="B98" s="15" t="str">
        <x:v>Lead Partner</x:v>
      </x:c>
      <x:c r="C98" s="17" t="n">
        <x:v>4952</x:v>
      </x:c>
      <x:c r="D98" s="17" t="n">
        <x:v>374</x:v>
      </x:c>
      <x:c r="E98" s="18" t="n">
        <x:v>75.13279132791328</x:v>
      </x:c>
      <x:c r="F98" s="19" t="n">
        <x:v>0.02571912013536379</x:v>
      </x:c>
      <x:c r="G98" s="19" t="n">
        <x:v>0.03519458544839255</x:v>
      </x:c>
      <x:c r="H98" s="19" t="n">
        <x:v>0.8846023688663283</x:v>
      </x:c>
      <x:c r="I98" s="19" t="n">
        <x:v>0.0544839255499154</x:v>
      </x:c>
      <x:c r="J98" s="17"/>
      <x:c r="K98" s="17"/>
      <x:c r="L98" s="17"/>
      <x:c r="M98" s="17"/>
      <x:c r="N98" s="17" t="str">
        <x:f>IF(COUNTA(J98:M98)=0,"",SUM(J98:M98))</x:f>
      </x:c>
      <x:c r="O98" s="15" t="str">
        <x:v>真实月报</x:v>
      </x:c>
    </x:row>
    <x:row r="99">
      <x:c r="A99" s="15" t="str">
        <x:v>2024-08</x:v>
      </x:c>
      <x:c r="B99" s="15" t="str">
        <x:v>Meta</x:v>
      </x:c>
      <x:c r="C99" s="17" t="n">
        <x:v>18</x:v>
      </x:c>
      <x:c r="D99" s="17" t="n">
        <x:v>2</x:v>
      </x:c>
      <x:c r="E99" s="18"/>
      <x:c r="F99" s="19" t="n">
        <x:v>0</x:v>
      </x:c>
      <x:c r="G99" s="19" t="n">
        <x:v>0.06666666666666667</x:v>
      </x:c>
      <x:c r="H99" s="19" t="n">
        <x:v>0.8666666666666667</x:v>
      </x:c>
      <x:c r="I99" s="19" t="n">
        <x:v>0.06666666666666667</x:v>
      </x:c>
      <x:c r="J99" s="17"/>
      <x:c r="K99" s="17"/>
      <x:c r="L99" s="17"/>
      <x:c r="M99" s="17"/>
      <x:c r="N99" s="17" t="str">
        <x:f>IF(COUNTA(J99:M99)=0,"",SUM(J99:M99))</x:f>
      </x:c>
      <x:c r="O99" s="15" t="str">
        <x:v>真实月报</x:v>
      </x:c>
    </x:row>
    <x:row r="100">
      <x:c r="A100" s="15" t="str">
        <x:v>2024-08</x:v>
      </x:c>
      <x:c r="B100" s="15" t="str">
        <x:v>Total</x:v>
      </x:c>
      <x:c r="C100" s="17" t="n">
        <x:v>37270</x:v>
      </x:c>
      <x:c r="D100" s="17" t="n">
        <x:v>7721</x:v>
      </x:c>
      <x:c r="E100" s="18" t="n">
        <x:v>13.601476492682295</x:v>
      </x:c>
      <x:c r="F100" s="19"/>
      <x:c r="G100" s="19"/>
      <x:c r="H100" s="19"/>
      <x:c r="I100" s="19"/>
      <x:c r="J100" s="17"/>
      <x:c r="K100" s="17"/>
      <x:c r="L100" s="17"/>
      <x:c r="M100" s="17"/>
      <x:c r="N100" s="17" t="str">
        <x:f>IF(COUNTA(J100:M100)=0,"",SUM(J100:M100))</x:f>
      </x:c>
      <x:c r="O100" s="15" t="str">
        <x:v>真实月报</x:v>
      </x:c>
    </x:row>
    <x:row r="101">
      <x:c r="A101" s="15" t="str">
        <x:v>2024-09</x:v>
      </x:c>
      <x:c r="B101" s="15" t="str">
        <x:v>Tiktok</x:v>
      </x:c>
      <x:c r="C101" s="17" t="n">
        <x:v>221</x:v>
      </x:c>
      <x:c r="D101" s="17" t="n">
        <x:v>15</x:v>
      </x:c>
      <x:c r="E101" s="18"/>
      <x:c r="F101" s="19" t="n">
        <x:v>0.007936507936507936</x:v>
      </x:c>
      <x:c r="G101" s="19" t="n">
        <x:v>0.047619047619047616</x:v>
      </x:c>
      <x:c r="H101" s="19" t="n">
        <x:v>0.8650793650793651</x:v>
      </x:c>
      <x:c r="I101" s="19" t="n">
        <x:v>0.07936507936507936</x:v>
      </x:c>
      <x:c r="J101" s="17"/>
      <x:c r="K101" s="17"/>
      <x:c r="L101" s="17"/>
      <x:c r="M101" s="17"/>
      <x:c r="N101" s="17" t="str">
        <x:f>IF(COUNTA(J101:M101)=0,"",SUM(J101:M101))</x:f>
      </x:c>
      <x:c r="O101" s="15" t="str">
        <x:v>真实月报</x:v>
      </x:c>
    </x:row>
    <x:row r="102">
      <x:c r="A102" s="15" t="str">
        <x:v>2024-09</x:v>
      </x:c>
      <x:c r="B102" s="15" t="str">
        <x:v>GEO</x:v>
      </x:c>
      <x:c r="C102" s="17"/>
      <x:c r="D102" s="17"/>
      <x:c r="E102" s="18"/>
      <x:c r="F102" s="19"/>
      <x:c r="G102" s="19"/>
      <x:c r="H102" s="19"/>
      <x:c r="I102" s="19"/>
      <x:c r="J102" s="17"/>
      <x:c r="K102" s="17"/>
      <x:c r="L102" s="17"/>
      <x:c r="M102" s="17"/>
      <x:c r="N102" s="17" t="str">
        <x:f>IF(COUNTA(J102:M102)=0,"",SUM(J102:M102))</x:f>
      </x:c>
      <x:c r="O102" s="15" t="str">
        <x:v>真实月报</x:v>
      </x:c>
    </x:row>
    <x:row r="103">
      <x:c r="A103" s="15" t="str">
        <x:v>2024-09</x:v>
      </x:c>
      <x:c r="B103" s="15" t="str">
        <x:v>Organic</x:v>
      </x:c>
      <x:c r="C103" s="17" t="n">
        <x:v>22014</x:v>
      </x:c>
      <x:c r="D103" s="17" t="n">
        <x:v>4471</x:v>
      </x:c>
      <x:c r="E103" s="18"/>
      <x:c r="F103" s="19" t="n">
        <x:v>0.16431652823385487</x:v>
      </x:c>
      <x:c r="G103" s="19" t="n">
        <x:v>0.06715601055952611</x:v>
      </x:c>
      <x:c r="H103" s="19" t="n">
        <x:v>0.7043976563003026</x:v>
      </x:c>
      <x:c r="I103" s="19" t="n">
        <x:v>0.0641298049063164</x:v>
      </x:c>
      <x:c r="J103" s="17"/>
      <x:c r="K103" s="17"/>
      <x:c r="L103" s="17"/>
      <x:c r="M103" s="17"/>
      <x:c r="N103" s="17" t="str">
        <x:f>IF(COUNTA(J103:M103)=0,"",SUM(J103:M103))</x:f>
      </x:c>
      <x:c r="O103" s="15" t="str">
        <x:v>真实月报</x:v>
      </x:c>
    </x:row>
    <x:row r="104">
      <x:c r="A104" s="15" t="str">
        <x:v>2024-09</x:v>
      </x:c>
      <x:c r="B104" s="15" t="str">
        <x:v>Owned Channels</x:v>
      </x:c>
      <x:c r="C104" s="17" t="n">
        <x:v>7781</x:v>
      </x:c>
      <x:c r="D104" s="17" t="n">
        <x:v>1343</x:v>
      </x:c>
      <x:c r="E104" s="18"/>
      <x:c r="F104" s="19" t="n">
        <x:v>0.10677358092424562</x:v>
      </x:c>
      <x:c r="G104" s="19" t="n">
        <x:v>0.0715340789196033</x:v>
      </x:c>
      <x:c r="H104" s="19" t="n">
        <x:v>0.8100865161426462</x:v>
      </x:c>
      <x:c r="I104" s="19" t="n">
        <x:v>0.011605824013504958</x:v>
      </x:c>
      <x:c r="J104" s="17"/>
      <x:c r="K104" s="17"/>
      <x:c r="L104" s="17"/>
      <x:c r="M104" s="17"/>
      <x:c r="N104" s="17" t="str">
        <x:f>IF(COUNTA(J104:M104)=0,"",SUM(J104:M104))</x:f>
      </x:c>
      <x:c r="O104" s="15" t="str">
        <x:v>真实月报</x:v>
      </x:c>
    </x:row>
    <x:row r="105">
      <x:c r="A105" s="15" t="str">
        <x:v>2024-09</x:v>
      </x:c>
      <x:c r="B105" s="15" t="str">
        <x:v>Google</x:v>
      </x:c>
      <x:c r="C105" s="17" t="n">
        <x:v>5146</x:v>
      </x:c>
      <x:c r="D105" s="17" t="n">
        <x:v>1588</x:v>
      </x:c>
      <x:c r="E105" s="18" t="n">
        <x:v>12.615239294710328</x:v>
      </x:c>
      <x:c r="F105" s="19" t="n">
        <x:v>0.2599630509369227</x:v>
      </x:c>
      <x:c r="G105" s="19" t="n">
        <x:v>0.08419107944048562</x:v>
      </x:c>
      <x:c r="H105" s="19" t="n">
        <x:v>0.599366587490103</x:v>
      </x:c>
      <x:c r="I105" s="19" t="n">
        <x:v>0.05647928213248878</x:v>
      </x:c>
      <x:c r="J105" s="17"/>
      <x:c r="K105" s="17"/>
      <x:c r="L105" s="17"/>
      <x:c r="M105" s="17"/>
      <x:c r="N105" s="17" t="str">
        <x:f>IF(COUNTA(J105:M105)=0,"",SUM(J105:M105))</x:f>
      </x:c>
      <x:c r="O105" s="15" t="str">
        <x:v>真实月报</x:v>
      </x:c>
    </x:row>
    <x:row r="106">
      <x:c r="A106" s="15" t="str">
        <x:v>2024-09</x:v>
      </x:c>
      <x:c r="B106" s="15" t="str">
        <x:v>Bing</x:v>
      </x:c>
      <x:c r="C106" s="17" t="n">
        <x:v>153</x:v>
      </x:c>
      <x:c r="D106" s="17" t="n">
        <x:v>28</x:v>
      </x:c>
      <x:c r="E106" s="18" t="n">
        <x:v>117.75</x:v>
      </x:c>
      <x:c r="F106" s="19" t="n">
        <x:v>0.10679611650485436</x:v>
      </x:c>
      <x:c r="G106" s="19" t="n">
        <x:v>0.05825242718446602</x:v>
      </x:c>
      <x:c r="H106" s="19" t="n">
        <x:v>0.7961165048543689</x:v>
      </x:c>
      <x:c r="I106" s="19" t="n">
        <x:v>0.038834951456310676</x:v>
      </x:c>
      <x:c r="J106" s="17"/>
      <x:c r="K106" s="17"/>
      <x:c r="L106" s="17"/>
      <x:c r="M106" s="17"/>
      <x:c r="N106" s="17" t="str">
        <x:f>IF(COUNTA(J106:M106)=0,"",SUM(J106:M106))</x:f>
      </x:c>
      <x:c r="O106" s="15" t="str">
        <x:v>真实月报</x:v>
      </x:c>
    </x:row>
    <x:row r="107">
      <x:c r="A107" s="15" t="str">
        <x:v>2024-09</x:v>
      </x:c>
      <x:c r="B107" s="15" t="str">
        <x:v>Lead Partner</x:v>
      </x:c>
      <x:c r="C107" s="17" t="n">
        <x:v>4002</x:v>
      </x:c>
      <x:c r="D107" s="17" t="n">
        <x:v>482</x:v>
      </x:c>
      <x:c r="E107" s="18" t="n">
        <x:v>82.0295358649789</x:v>
      </x:c>
      <x:c r="F107" s="19" t="n">
        <x:v>0.047705753823743625</x:v>
      </x:c>
      <x:c r="G107" s="19" t="n">
        <x:v>0.06846321922796796</x:v>
      </x:c>
      <x:c r="H107" s="19" t="n">
        <x:v>0.8455935906773488</x:v>
      </x:c>
      <x:c r="I107" s="19" t="n">
        <x:v>0.03823743627093955</x:v>
      </x:c>
      <x:c r="J107" s="17"/>
      <x:c r="K107" s="17"/>
      <x:c r="L107" s="17"/>
      <x:c r="M107" s="17"/>
      <x:c r="N107" s="17" t="str">
        <x:f>IF(COUNTA(J107:M107)=0,"",SUM(J107:M107))</x:f>
      </x:c>
      <x:c r="O107" s="15" t="str">
        <x:v>真实月报</x:v>
      </x:c>
    </x:row>
    <x:row r="108">
      <x:c r="A108" s="15" t="str">
        <x:v>2024-09</x:v>
      </x:c>
      <x:c r="B108" s="15" t="str">
        <x:v>Meta</x:v>
      </x:c>
      <x:c r="C108" s="17" t="n">
        <x:v>137</x:v>
      </x:c>
      <x:c r="D108" s="17" t="n">
        <x:v>20</x:v>
      </x:c>
      <x:c r="E108" s="18"/>
      <x:c r="F108" s="19" t="n">
        <x:v>0.0963855421686747</x:v>
      </x:c>
      <x:c r="G108" s="19" t="n">
        <x:v>0.024096385542168676</x:v>
      </x:c>
      <x:c r="H108" s="19" t="n">
        <x:v>0.8433734939759037</x:v>
      </x:c>
      <x:c r="I108" s="19" t="n">
        <x:v>0.03614457831325301</x:v>
      </x:c>
      <x:c r="J108" s="17"/>
      <x:c r="K108" s="17"/>
      <x:c r="L108" s="17"/>
      <x:c r="M108" s="17"/>
      <x:c r="N108" s="17" t="str">
        <x:f>IF(COUNTA(J108:M108)=0,"",SUM(J108:M108))</x:f>
      </x:c>
      <x:c r="O108" s="15" t="str">
        <x:v>真实月报</x:v>
      </x:c>
    </x:row>
    <x:row r="109">
      <x:c r="A109" s="15" t="str">
        <x:v>2024-09</x:v>
      </x:c>
      <x:c r="B109" s="15" t="str">
        <x:v>Total</x:v>
      </x:c>
      <x:c r="C109" s="17" t="n">
        <x:v>39454</x:v>
      </x:c>
      <x:c r="D109" s="17" t="n">
        <x:v>7947</x:v>
      </x:c>
      <x:c r="E109" s="18" t="n">
        <x:v>9.158676230023909</x:v>
      </x:c>
      <x:c r="F109" s="19"/>
      <x:c r="G109" s="19"/>
      <x:c r="H109" s="19"/>
      <x:c r="I109" s="19"/>
      <x:c r="J109" s="17"/>
      <x:c r="K109" s="17"/>
      <x:c r="L109" s="17"/>
      <x:c r="M109" s="17"/>
      <x:c r="N109" s="17" t="str">
        <x:f>IF(COUNTA(J109:M109)=0,"",SUM(J109:M109))</x:f>
      </x:c>
      <x:c r="O109" s="15" t="str">
        <x:v>真实月报</x:v>
      </x:c>
    </x:row>
    <x:row r="110">
      <x:c r="A110" s="15" t="str">
        <x:v>2024-10</x:v>
      </x:c>
      <x:c r="B110" s="15" t="str">
        <x:v>Tiktok</x:v>
      </x:c>
      <x:c r="C110" s="17" t="n">
        <x:v>64</x:v>
      </x:c>
      <x:c r="D110" s="17" t="n">
        <x:v>3</x:v>
      </x:c>
      <x:c r="E110" s="18"/>
      <x:c r="F110" s="19" t="n">
        <x:v>0.0625</x:v>
      </x:c>
      <x:c r="G110" s="19" t="n">
        <x:v>0</x:v>
      </x:c>
      <x:c r="H110" s="19" t="n">
        <x:v>0.90625</x:v>
      </x:c>
      <x:c r="I110" s="19" t="n">
        <x:v>0.03125</x:v>
      </x:c>
      <x:c r="J110" s="17"/>
      <x:c r="K110" s="17"/>
      <x:c r="L110" s="17"/>
      <x:c r="M110" s="17"/>
      <x:c r="N110" s="17" t="str">
        <x:f>IF(COUNTA(J110:M110)=0,"",SUM(J110:M110))</x:f>
      </x:c>
      <x:c r="O110" s="15" t="str">
        <x:v>真实月报</x:v>
      </x:c>
    </x:row>
    <x:row r="111">
      <x:c r="A111" s="15" t="str">
        <x:v>2024-10</x:v>
      </x:c>
      <x:c r="B111" s="15" t="str">
        <x:v>GEO</x:v>
      </x:c>
      <x:c r="C111" s="17"/>
      <x:c r="D111" s="17"/>
      <x:c r="E111" s="18"/>
      <x:c r="F111" s="19"/>
      <x:c r="G111" s="19"/>
      <x:c r="H111" s="19"/>
      <x:c r="I111" s="19"/>
      <x:c r="J111" s="17"/>
      <x:c r="K111" s="17"/>
      <x:c r="L111" s="17"/>
      <x:c r="M111" s="17"/>
      <x:c r="N111" s="17" t="str">
        <x:f>IF(COUNTA(J111:M111)=0,"",SUM(J111:M111))</x:f>
      </x:c>
      <x:c r="O111" s="15" t="str">
        <x:v>真实月报</x:v>
      </x:c>
    </x:row>
    <x:row r="112">
      <x:c r="A112" s="15" t="str">
        <x:v>2024-10</x:v>
      </x:c>
      <x:c r="B112" s="15" t="str">
        <x:v>Organic</x:v>
      </x:c>
      <x:c r="C112" s="17" t="n">
        <x:v>25055</x:v>
      </x:c>
      <x:c r="D112" s="17" t="n">
        <x:v>4366</x:v>
      </x:c>
      <x:c r="E112" s="18"/>
      <x:c r="F112" s="19" t="n">
        <x:v>0.23998165453190393</x:v>
      </x:c>
      <x:c r="G112" s="19" t="n">
        <x:v>0.06357851287049246</x:v>
      </x:c>
      <x:c r="H112" s="19" t="n">
        <x:v>0.6244338703204724</x:v>
      </x:c>
      <x:c r="I112" s="19" t="n">
        <x:v>0.07200596227713123</x:v>
      </x:c>
      <x:c r="J112" s="17"/>
      <x:c r="K112" s="17"/>
      <x:c r="L112" s="17"/>
      <x:c r="M112" s="17"/>
      <x:c r="N112" s="17" t="str">
        <x:f>IF(COUNTA(J112:M112)=0,"",SUM(J112:M112))</x:f>
      </x:c>
      <x:c r="O112" s="15" t="str">
        <x:v>真实月报</x:v>
      </x:c>
    </x:row>
    <x:row r="113">
      <x:c r="A113" s="15" t="str">
        <x:v>2024-10</x:v>
      </x:c>
      <x:c r="B113" s="15" t="str">
        <x:v>Owned Channels</x:v>
      </x:c>
      <x:c r="C113" s="17" t="n">
        <x:v>5096</x:v>
      </x:c>
      <x:c r="D113" s="17" t="n">
        <x:v>593</x:v>
      </x:c>
      <x:c r="E113" s="18"/>
      <x:c r="F113" s="19" t="n">
        <x:v>0.11002213088839709</x:v>
      </x:c>
      <x:c r="G113" s="19" t="n">
        <x:v>0.06038570976920645</x:v>
      </x:c>
      <x:c r="H113" s="19" t="n">
        <x:v>0.8182105595953209</x:v>
      </x:c>
      <x:c r="I113" s="19" t="n">
        <x:v>0.01138159974707556</x:v>
      </x:c>
      <x:c r="J113" s="17"/>
      <x:c r="K113" s="17"/>
      <x:c r="L113" s="17"/>
      <x:c r="M113" s="17"/>
      <x:c r="N113" s="17" t="str">
        <x:f>IF(COUNTA(J113:M113)=0,"",SUM(J113:M113))</x:f>
      </x:c>
      <x:c r="O113" s="15" t="str">
        <x:v>真实月报</x:v>
      </x:c>
    </x:row>
    <x:row r="114">
      <x:c r="A114" s="15" t="str">
        <x:v>2024-10</x:v>
      </x:c>
      <x:c r="B114" s="15" t="str">
        <x:v>Google</x:v>
      </x:c>
      <x:c r="C114" s="17" t="n">
        <x:v>7471</x:v>
      </x:c>
      <x:c r="D114" s="17" t="n">
        <x:v>1360</x:v>
      </x:c>
      <x:c r="E114" s="18" t="n">
        <x:v>66.73088235294118</x:v>
      </x:c>
      <x:c r="F114" s="19" t="n">
        <x:v>0.25196699289963537</x:v>
      </x:c>
      <x:c r="G114" s="19" t="n">
        <x:v>0.060640951832661674</x:v>
      </x:c>
      <x:c r="H114" s="19" t="n">
        <x:v>0.6338514680483592</x:v>
      </x:c>
      <x:c r="I114" s="19" t="n">
        <x:v>0.0535405872193437</x:v>
      </x:c>
      <x:c r="J114" s="17"/>
      <x:c r="K114" s="17"/>
      <x:c r="L114" s="17"/>
      <x:c r="M114" s="17"/>
      <x:c r="N114" s="17" t="str">
        <x:f>IF(COUNTA(J114:M114)=0,"",SUM(J114:M114))</x:f>
      </x:c>
      <x:c r="O114" s="15" t="str">
        <x:v>真实月报</x:v>
      </x:c>
    </x:row>
    <x:row r="115">
      <x:c r="A115" s="15" t="str">
        <x:v>2024-10</x:v>
      </x:c>
      <x:c r="B115" s="15" t="str">
        <x:v>Bing</x:v>
      </x:c>
      <x:c r="C115" s="17" t="n">
        <x:v>331</x:v>
      </x:c>
      <x:c r="D115" s="17" t="n">
        <x:v>50</x:v>
      </x:c>
      <x:c r="E115" s="18" t="n">
        <x:v>114.48</x:v>
      </x:c>
      <x:c r="F115" s="19" t="n">
        <x:v>0.24401913875598086</x:v>
      </x:c>
      <x:c r="G115" s="19" t="n">
        <x:v>0.06220095693779904</x:v>
      </x:c>
      <x:c r="H115" s="19" t="n">
        <x:v>0.631578947368421</x:v>
      </x:c>
      <x:c r="I115" s="19" t="n">
        <x:v>0.06220095693779904</x:v>
      </x:c>
      <x:c r="J115" s="17"/>
      <x:c r="K115" s="17"/>
      <x:c r="L115" s="17"/>
      <x:c r="M115" s="17"/>
      <x:c r="N115" s="17" t="str">
        <x:f>IF(COUNTA(J115:M115)=0,"",SUM(J115:M115))</x:f>
      </x:c>
      <x:c r="O115" s="15" t="str">
        <x:v>真实月报</x:v>
      </x:c>
    </x:row>
    <x:row r="116">
      <x:c r="A116" s="15" t="str">
        <x:v>2024-10</x:v>
      </x:c>
      <x:c r="B116" s="15" t="str">
        <x:v>Lead Partner</x:v>
      </x:c>
      <x:c r="C116" s="17" t="n">
        <x:v>4998</x:v>
      </x:c>
      <x:c r="D116" s="17" t="n">
        <x:v>520</x:v>
      </x:c>
      <x:c r="E116" s="18" t="n">
        <x:v>203.62355212355212</x:v>
      </x:c>
      <x:c r="F116" s="19" t="n">
        <x:v>0.11709874745120885</x:v>
      </x:c>
      <x:c r="G116" s="19" t="n">
        <x:v>0.06612292455578211</x:v>
      </x:c>
      <x:c r="H116" s="19" t="n">
        <x:v>0.7643460530148558</x:v>
      </x:c>
      <x:c r="I116" s="19" t="n">
        <x:v>0.05243227497815322</x:v>
      </x:c>
      <x:c r="J116" s="17"/>
      <x:c r="K116" s="17"/>
      <x:c r="L116" s="17"/>
      <x:c r="M116" s="17"/>
      <x:c r="N116" s="17" t="str">
        <x:f>IF(COUNTA(J116:M116)=0,"",SUM(J116:M116))</x:f>
      </x:c>
      <x:c r="O116" s="15" t="str">
        <x:v>真实月报</x:v>
      </x:c>
    </x:row>
    <x:row r="117">
      <x:c r="A117" s="15" t="str">
        <x:v>2024-10</x:v>
      </x:c>
      <x:c r="B117" s="15" t="str">
        <x:v>Meta</x:v>
      </x:c>
      <x:c r="C117" s="17" t="n">
        <x:v>199</x:v>
      </x:c>
      <x:c r="D117" s="17" t="n">
        <x:v>20</x:v>
      </x:c>
      <x:c r="E117" s="18"/>
      <x:c r="F117" s="19" t="n">
        <x:v>0.13076923076923078</x:v>
      </x:c>
      <x:c r="G117" s="19" t="n">
        <x:v>0.046153846153846156</x:v>
      </x:c>
      <x:c r="H117" s="19" t="n">
        <x:v>0.7461538461538462</x:v>
      </x:c>
      <x:c r="I117" s="19" t="n">
        <x:v>0.07692307692307693</x:v>
      </x:c>
      <x:c r="J117" s="17"/>
      <x:c r="K117" s="17"/>
      <x:c r="L117" s="17"/>
      <x:c r="M117" s="17"/>
      <x:c r="N117" s="17" t="str">
        <x:f>IF(COUNTA(J117:M117)=0,"",SUM(J117:M117))</x:f>
      </x:c>
      <x:c r="O117" s="15" t="str">
        <x:v>真实月报</x:v>
      </x:c>
    </x:row>
    <x:row r="118">
      <x:c r="A118" s="15" t="str">
        <x:v>2024-10</x:v>
      </x:c>
      <x:c r="B118" s="15" t="str">
        <x:v>Total</x:v>
      </x:c>
      <x:c r="C118" s="17" t="n">
        <x:v>43214</x:v>
      </x:c>
      <x:c r="D118" s="17" t="n">
        <x:v>6912</x:v>
      </x:c>
      <x:c r="E118" s="18" t="n">
        <x:v>29.197916666666668</x:v>
      </x:c>
      <x:c r="F118" s="19"/>
      <x:c r="G118" s="19"/>
      <x:c r="H118" s="19"/>
      <x:c r="I118" s="19"/>
      <x:c r="J118" s="17"/>
      <x:c r="K118" s="17"/>
      <x:c r="L118" s="17"/>
      <x:c r="M118" s="17"/>
      <x:c r="N118" s="17" t="str">
        <x:f>IF(COUNTA(J118:M118)=0,"",SUM(J118:M118))</x:f>
      </x:c>
      <x:c r="O118" s="15" t="str">
        <x:v>真实月报</x:v>
      </x:c>
    </x:row>
    <x:row r="119">
      <x:c r="A119" s="15" t="str">
        <x:v>2024-11</x:v>
      </x:c>
      <x:c r="B119" s="15" t="str">
        <x:v>Tiktok</x:v>
      </x:c>
      <x:c r="C119" s="17" t="n">
        <x:v>55</x:v>
      </x:c>
      <x:c r="D119" s="17" t="n">
        <x:v>2</x:v>
      </x:c>
      <x:c r="E119" s="18"/>
      <x:c r="F119" s="19" t="n">
        <x:v>0.1724137931034483</x:v>
      </x:c>
      <x:c r="G119" s="19" t="n">
        <x:v>0.06896551724137931</x:v>
      </x:c>
      <x:c r="H119" s="19" t="n">
        <x:v>0.6896551724137931</x:v>
      </x:c>
      <x:c r="I119" s="19" t="n">
        <x:v>0.06896551724137931</x:v>
      </x:c>
      <x:c r="J119" s="17"/>
      <x:c r="K119" s="17"/>
      <x:c r="L119" s="17"/>
      <x:c r="M119" s="17"/>
      <x:c r="N119" s="17" t="str">
        <x:f>IF(COUNTA(J119:M119)=0,"",SUM(J119:M119))</x:f>
      </x:c>
      <x:c r="O119" s="15" t="str">
        <x:v>真实月报</x:v>
      </x:c>
    </x:row>
    <x:row r="120">
      <x:c r="A120" s="15" t="str">
        <x:v>2024-11</x:v>
      </x:c>
      <x:c r="B120" s="15" t="str">
        <x:v>GEO</x:v>
      </x:c>
      <x:c r="C120" s="17" t="n">
        <x:v>1</x:v>
      </x:c>
      <x:c r="D120" s="17"/>
      <x:c r="E120" s="18"/>
      <x:c r="F120" s="19"/>
      <x:c r="G120" s="19"/>
      <x:c r="H120" s="19"/>
      <x:c r="I120" s="19"/>
      <x:c r="J120" s="17"/>
      <x:c r="K120" s="17"/>
      <x:c r="L120" s="17"/>
      <x:c r="M120" s="17"/>
      <x:c r="N120" s="17" t="str">
        <x:f>IF(COUNTA(J120:M120)=0,"",SUM(J120:M120))</x:f>
      </x:c>
      <x:c r="O120" s="15" t="str">
        <x:v>真实月报</x:v>
      </x:c>
    </x:row>
    <x:row r="121">
      <x:c r="A121" s="15" t="str">
        <x:v>2024-11</x:v>
      </x:c>
      <x:c r="B121" s="15" t="str">
        <x:v>Organic</x:v>
      </x:c>
      <x:c r="C121" s="17" t="n">
        <x:v>25369</x:v>
      </x:c>
      <x:c r="D121" s="17" t="n">
        <x:v>4497</x:v>
      </x:c>
      <x:c r="E121" s="18"/>
      <x:c r="F121" s="19" t="n">
        <x:v>0.3587136573941852</x:v>
      </x:c>
      <x:c r="G121" s="19" t="n">
        <x:v>0.056605929056948646</x:v>
      </x:c>
      <x:c r="H121" s="19" t="n">
        <x:v>0.5132232821157251</x:v>
      </x:c>
      <x:c r="I121" s="19" t="n">
        <x:v>0.07145713143314103</x:v>
      </x:c>
      <x:c r="J121" s="17"/>
      <x:c r="K121" s="17"/>
      <x:c r="L121" s="17"/>
      <x:c r="M121" s="17"/>
      <x:c r="N121" s="17" t="str">
        <x:f>IF(COUNTA(J121:M121)=0,"",SUM(J121:M121))</x:f>
      </x:c>
      <x:c r="O121" s="15" t="str">
        <x:v>真实月报</x:v>
      </x:c>
    </x:row>
    <x:row r="122">
      <x:c r="A122" s="15" t="str">
        <x:v>2024-11</x:v>
      </x:c>
      <x:c r="B122" s="15" t="str">
        <x:v>Owned Channels</x:v>
      </x:c>
      <x:c r="C122" s="17" t="n">
        <x:v>8364</x:v>
      </x:c>
      <x:c r="D122" s="17" t="n">
        <x:v>1210</x:v>
      </x:c>
      <x:c r="E122" s="18"/>
      <x:c r="F122" s="19" t="n">
        <x:v>0.3733359436178543</x:v>
      </x:c>
      <x:c r="G122" s="19" t="n">
        <x:v>0.06127642913077525</x:v>
      </x:c>
      <x:c r="H122" s="19" t="n">
        <x:v>0.5473766640563822</x:v>
      </x:c>
      <x:c r="I122" s="19" t="n">
        <x:v>0.018010963194988253</x:v>
      </x:c>
      <x:c r="J122" s="17"/>
      <x:c r="K122" s="17"/>
      <x:c r="L122" s="17"/>
      <x:c r="M122" s="17"/>
      <x:c r="N122" s="17" t="str">
        <x:f>IF(COUNTA(J122:M122)=0,"",SUM(J122:M122))</x:f>
      </x:c>
      <x:c r="O122" s="15" t="str">
        <x:v>真实月报</x:v>
      </x:c>
    </x:row>
    <x:row r="123">
      <x:c r="A123" s="15" t="str">
        <x:v>2024-11</x:v>
      </x:c>
      <x:c r="B123" s="15" t="str">
        <x:v>Google</x:v>
      </x:c>
      <x:c r="C123" s="17" t="n">
        <x:v>7532</x:v>
      </x:c>
      <x:c r="D123" s="17" t="n">
        <x:v>1790</x:v>
      </x:c>
      <x:c r="E123" s="18" t="n">
        <x:v>50.01564245810056</x:v>
      </x:c>
      <x:c r="F123" s="19" t="n">
        <x:v>0.45487693710118504</x:v>
      </x:c>
      <x:c r="G123" s="19" t="n">
        <x:v>0.07055606198723792</x:v>
      </x:c>
      <x:c r="H123" s="19" t="n">
        <x:v>0.40820419325433</x:v>
      </x:c>
      <x:c r="I123" s="19" t="n">
        <x:v>0.06636280765724703</x:v>
      </x:c>
      <x:c r="J123" s="17"/>
      <x:c r="K123" s="17"/>
      <x:c r="L123" s="17"/>
      <x:c r="M123" s="17"/>
      <x:c r="N123" s="17" t="str">
        <x:f>IF(COUNTA(J123:M123)=0,"",SUM(J123:M123))</x:f>
      </x:c>
      <x:c r="O123" s="15" t="str">
        <x:v>真实月报</x:v>
      </x:c>
    </x:row>
    <x:row r="124">
      <x:c r="A124" s="15" t="str">
        <x:v>2024-11</x:v>
      </x:c>
      <x:c r="B124" s="15" t="str">
        <x:v>Bing</x:v>
      </x:c>
      <x:c r="C124" s="17" t="n">
        <x:v>395</x:v>
      </x:c>
      <x:c r="D124" s="17" t="n">
        <x:v>49</x:v>
      </x:c>
      <x:c r="E124" s="18" t="n">
        <x:v>157.20408163265307</x:v>
      </x:c>
      <x:c r="F124" s="19" t="n">
        <x:v>0.31223628691983124</x:v>
      </x:c>
      <x:c r="G124" s="19" t="n">
        <x:v>0.0379746835443038</x:v>
      </x:c>
      <x:c r="H124" s="19" t="n">
        <x:v>0.5738396624472574</x:v>
      </x:c>
      <x:c r="I124" s="19" t="n">
        <x:v>0.0759493670886076</x:v>
      </x:c>
      <x:c r="J124" s="17"/>
      <x:c r="K124" s="17"/>
      <x:c r="L124" s="17"/>
      <x:c r="M124" s="17"/>
      <x:c r="N124" s="17" t="str">
        <x:f>IF(COUNTA(J124:M124)=0,"",SUM(J124:M124))</x:f>
      </x:c>
      <x:c r="O124" s="15" t="str">
        <x:v>真实月报</x:v>
      </x:c>
    </x:row>
    <x:row r="125">
      <x:c r="A125" s="15" t="str">
        <x:v>2024-11</x:v>
      </x:c>
      <x:c r="B125" s="15" t="str">
        <x:v>Lead Partner</x:v>
      </x:c>
      <x:c r="C125" s="17" t="n">
        <x:v>4467</x:v>
      </x:c>
      <x:c r="D125" s="17" t="n">
        <x:v>535</x:v>
      </x:c>
      <x:c r="E125" s="18" t="n">
        <x:v>140.6484962406015</x:v>
      </x:c>
      <x:c r="F125" s="19" t="n">
        <x:v>0.2778675282714055</x:v>
      </x:c>
      <x:c r="G125" s="19" t="n">
        <x:v>0.07689822294022618</x:v>
      </x:c>
      <x:c r="H125" s="19" t="n">
        <x:v>0.5935379644588046</x:v>
      </x:c>
      <x:c r="I125" s="19" t="n">
        <x:v>0.051696284329563816</x:v>
      </x:c>
      <x:c r="J125" s="17"/>
      <x:c r="K125" s="17"/>
      <x:c r="L125" s="17"/>
      <x:c r="M125" s="17"/>
      <x:c r="N125" s="17" t="str">
        <x:f>IF(COUNTA(J125:M125)=0,"",SUM(J125:M125))</x:f>
      </x:c>
      <x:c r="O125" s="15" t="str">
        <x:v>真实月报</x:v>
      </x:c>
    </x:row>
    <x:row r="126">
      <x:c r="A126" s="15" t="str">
        <x:v>2024-11</x:v>
      </x:c>
      <x:c r="B126" s="15" t="str">
        <x:v>Meta</x:v>
      </x:c>
      <x:c r="C126" s="17" t="n">
        <x:v>300</x:v>
      </x:c>
      <x:c r="D126" s="17" t="n">
        <x:v>37</x:v>
      </x:c>
      <x:c r="E126" s="18"/>
      <x:c r="F126" s="19" t="n">
        <x:v>0.3149171270718232</x:v>
      </x:c>
      <x:c r="G126" s="19" t="n">
        <x:v>0.04419889502762431</x:v>
      </x:c>
      <x:c r="H126" s="19" t="n">
        <x:v>0.5580110497237569</x:v>
      </x:c>
      <x:c r="I126" s="19" t="n">
        <x:v>0.08287292817679558</x:v>
      </x:c>
      <x:c r="J126" s="17"/>
      <x:c r="K126" s="17"/>
      <x:c r="L126" s="17"/>
      <x:c r="M126" s="17"/>
      <x:c r="N126" s="17" t="str">
        <x:f>IF(COUNTA(J126:M126)=0,"",SUM(J126:M126))</x:f>
      </x:c>
      <x:c r="O126" s="15" t="str">
        <x:v>真实月报</x:v>
      </x:c>
    </x:row>
    <x:row r="127">
      <x:c r="A127" s="15" t="str">
        <x:v>2024-11</x:v>
      </x:c>
      <x:c r="B127" s="15" t="str">
        <x:v>Total</x:v>
      </x:c>
      <x:c r="C127" s="17" t="n">
        <x:v>46483</x:v>
      </x:c>
      <x:c r="D127" s="17" t="n">
        <x:v>8120</x:v>
      </x:c>
      <x:c r="E127" s="18" t="n">
        <x:v>23.86182266009852</x:v>
      </x:c>
      <x:c r="F127" s="19"/>
      <x:c r="G127" s="19"/>
      <x:c r="H127" s="19"/>
      <x:c r="I127" s="19"/>
      <x:c r="J127" s="17"/>
      <x:c r="K127" s="17"/>
      <x:c r="L127" s="17"/>
      <x:c r="M127" s="17"/>
      <x:c r="N127" s="17" t="str">
        <x:f>IF(COUNTA(J127:M127)=0,"",SUM(J127:M127))</x:f>
      </x:c>
      <x:c r="O127" s="15" t="str">
        <x:v>真实月报</x:v>
      </x:c>
    </x:row>
    <x:row r="128">
      <x:c r="A128" s="15" t="str">
        <x:v>2024-12</x:v>
      </x:c>
      <x:c r="B128" s="15" t="str">
        <x:v>Tiktok</x:v>
      </x:c>
      <x:c r="C128" s="17" t="n">
        <x:v>20</x:v>
      </x:c>
      <x:c r="D128" s="17" t="n">
        <x:v>3</x:v>
      </x:c>
      <x:c r="E128" s="18"/>
      <x:c r="F128" s="19" t="n">
        <x:v>0.23076923076923078</x:v>
      </x:c>
      <x:c r="G128" s="19" t="n">
        <x:v>0</x:v>
      </x:c>
      <x:c r="H128" s="19" t="n">
        <x:v>0.7692307692307693</x:v>
      </x:c>
      <x:c r="I128" s="19" t="n">
        <x:v>0</x:v>
      </x:c>
      <x:c r="J128" s="17"/>
      <x:c r="K128" s="17"/>
      <x:c r="L128" s="17"/>
      <x:c r="M128" s="17"/>
      <x:c r="N128" s="17" t="str">
        <x:f>IF(COUNTA(J128:M128)=0,"",SUM(J128:M128))</x:f>
      </x:c>
      <x:c r="O128" s="15" t="str">
        <x:v>真实月报</x:v>
      </x:c>
    </x:row>
    <x:row r="129">
      <x:c r="A129" s="15" t="str">
        <x:v>2024-12</x:v>
      </x:c>
      <x:c r="B129" s="15" t="str">
        <x:v>GEO</x:v>
      </x:c>
      <x:c r="C129" s="17" t="n">
        <x:v>4</x:v>
      </x:c>
      <x:c r="D129" s="17"/>
      <x:c r="E129" s="18"/>
      <x:c r="F129" s="19" t="n">
        <x:v>0</x:v>
      </x:c>
      <x:c r="G129" s="19" t="n">
        <x:v>0</x:v>
      </x:c>
      <x:c r="H129" s="19" t="n">
        <x:v>1</x:v>
      </x:c>
      <x:c r="I129" s="19" t="n">
        <x:v>0</x:v>
      </x:c>
      <x:c r="J129" s="17"/>
      <x:c r="K129" s="17"/>
      <x:c r="L129" s="17"/>
      <x:c r="M129" s="17"/>
      <x:c r="N129" s="17" t="str">
        <x:f>IF(COUNTA(J129:M129)=0,"",SUM(J129:M129))</x:f>
      </x:c>
      <x:c r="O129" s="15" t="str">
        <x:v>真实月报</x:v>
      </x:c>
    </x:row>
    <x:row r="130">
      <x:c r="A130" s="15" t="str">
        <x:v>2024-12</x:v>
      </x:c>
      <x:c r="B130" s="15" t="str">
        <x:v>Organic</x:v>
      </x:c>
      <x:c r="C130" s="17" t="n">
        <x:v>24420</x:v>
      </x:c>
      <x:c r="D130" s="17" t="n">
        <x:v>3888</x:v>
      </x:c>
      <x:c r="E130" s="18"/>
      <x:c r="F130" s="19" t="n">
        <x:v>0.32809291957529185</x:v>
      </x:c>
      <x:c r="G130" s="19" t="n">
        <x:v>0.06124244735144014</x:v>
      </x:c>
      <x:c r="H130" s="19" t="n">
        <x:v>0.5363993664574412</x:v>
      </x:c>
      <x:c r="I130" s="19" t="n">
        <x:v>0.07426526661582683</x:v>
      </x:c>
      <x:c r="J130" s="17"/>
      <x:c r="K130" s="17"/>
      <x:c r="L130" s="17"/>
      <x:c r="M130" s="17"/>
      <x:c r="N130" s="17" t="str">
        <x:f>IF(COUNTA(J130:M130)=0,"",SUM(J130:M130))</x:f>
      </x:c>
      <x:c r="O130" s="15" t="str">
        <x:v>真实月报</x:v>
      </x:c>
    </x:row>
    <x:row r="131">
      <x:c r="A131" s="15" t="str">
        <x:v>2024-12</x:v>
      </x:c>
      <x:c r="B131" s="15" t="str">
        <x:v>Owned Channels</x:v>
      </x:c>
      <x:c r="C131" s="17" t="n">
        <x:v>5340</x:v>
      </x:c>
      <x:c r="D131" s="17" t="n">
        <x:v>1036</x:v>
      </x:c>
      <x:c r="E131" s="18"/>
      <x:c r="F131" s="19" t="n">
        <x:v>0.4917265064002498</x:v>
      </x:c>
      <x:c r="G131" s="19" t="n">
        <x:v>0.05245082734935998</x:v>
      </x:c>
      <x:c r="H131" s="19" t="n">
        <x:v>0.43615360599438024</x:v>
      </x:c>
      <x:c r="I131" s="19" t="n">
        <x:v>0.01966906025600999</x:v>
      </x:c>
      <x:c r="J131" s="17"/>
      <x:c r="K131" s="17"/>
      <x:c r="L131" s="17"/>
      <x:c r="M131" s="17"/>
      <x:c r="N131" s="17" t="str">
        <x:f>IF(COUNTA(J131:M131)=0,"",SUM(J131:M131))</x:f>
      </x:c>
      <x:c r="O131" s="15" t="str">
        <x:v>真实月报</x:v>
      </x:c>
    </x:row>
    <x:row r="132">
      <x:c r="A132" s="15" t="str">
        <x:v>2024-12</x:v>
      </x:c>
      <x:c r="B132" s="15" t="str">
        <x:v>Google</x:v>
      </x:c>
      <x:c r="C132" s="17" t="n">
        <x:v>9749</x:v>
      </x:c>
      <x:c r="D132" s="17" t="n">
        <x:v>2324</x:v>
      </x:c>
      <x:c r="E132" s="18" t="n">
        <x:v>24.838640275387263</x:v>
      </x:c>
      <x:c r="F132" s="19" t="n">
        <x:v>0.4555430500844119</x:v>
      </x:c>
      <x:c r="G132" s="19" t="n">
        <x:v>0.06499718626899269</x:v>
      </x:c>
      <x:c r="H132" s="19" t="n">
        <x:v>0.41488463702870004</x:v>
      </x:c>
      <x:c r="I132" s="19" t="n">
        <x:v>0.06457512661789533</x:v>
      </x:c>
      <x:c r="J132" s="17"/>
      <x:c r="K132" s="17"/>
      <x:c r="L132" s="17"/>
      <x:c r="M132" s="17"/>
      <x:c r="N132" s="17" t="str">
        <x:f>IF(COUNTA(J132:M132)=0,"",SUM(J132:M132))</x:f>
      </x:c>
      <x:c r="O132" s="15" t="str">
        <x:v>真实月报</x:v>
      </x:c>
    </x:row>
    <x:row r="133">
      <x:c r="A133" s="15" t="str">
        <x:v>2024-12</x:v>
      </x:c>
      <x:c r="B133" s="15" t="str">
        <x:v>Bing</x:v>
      </x:c>
      <x:c r="C133" s="17" t="n">
        <x:v>242</x:v>
      </x:c>
      <x:c r="D133" s="17" t="n">
        <x:v>43</x:v>
      </x:c>
      <x:c r="E133" s="18" t="n">
        <x:v>86.11627906976744</x:v>
      </x:c>
      <x:c r="F133" s="19" t="n">
        <x:v>0.3885350318471338</x:v>
      </x:c>
      <x:c r="G133" s="19" t="n">
        <x:v>0.050955414012738856</x:v>
      </x:c>
      <x:c r="H133" s="19" t="n">
        <x:v>0.4968152866242038</x:v>
      </x:c>
      <x:c r="I133" s="19" t="n">
        <x:v>0.06369426751592357</x:v>
      </x:c>
      <x:c r="J133" s="17"/>
      <x:c r="K133" s="17"/>
      <x:c r="L133" s="17"/>
      <x:c r="M133" s="17"/>
      <x:c r="N133" s="17" t="str">
        <x:f>IF(COUNTA(J133:M133)=0,"",SUM(J133:M133))</x:f>
      </x:c>
      <x:c r="O133" s="15" t="str">
        <x:v>真实月报</x:v>
      </x:c>
    </x:row>
    <x:row r="134">
      <x:c r="A134" s="15" t="str">
        <x:v>2024-12</x:v>
      </x:c>
      <x:c r="B134" s="15" t="str">
        <x:v>Lead Partner</x:v>
      </x:c>
      <x:c r="C134" s="17" t="n">
        <x:v>3692</x:v>
      </x:c>
      <x:c r="D134" s="17" t="n">
        <x:v>382</x:v>
      </x:c>
      <x:c r="E134" s="18" t="n">
        <x:v>92.60106382978724</x:v>
      </x:c>
      <x:c r="F134" s="19" t="n">
        <x:v>0.23956301209520095</x:v>
      </x:c>
      <x:c r="G134" s="19" t="n">
        <x:v>0.09364026531408505</x:v>
      </x:c>
      <x:c r="H134" s="19" t="n">
        <x:v>0.611002731174405</x:v>
      </x:c>
      <x:c r="I134" s="19" t="n">
        <x:v>0.055793991416309016</x:v>
      </x:c>
      <x:c r="J134" s="17"/>
      <x:c r="K134" s="17"/>
      <x:c r="L134" s="17"/>
      <x:c r="M134" s="17"/>
      <x:c r="N134" s="17" t="str">
        <x:f>IF(COUNTA(J134:M134)=0,"",SUM(J134:M134))</x:f>
      </x:c>
      <x:c r="O134" s="15" t="str">
        <x:v>真实月报</x:v>
      </x:c>
    </x:row>
    <x:row r="135">
      <x:c r="A135" s="15" t="str">
        <x:v>2024-12</x:v>
      </x:c>
      <x:c r="B135" s="15" t="str">
        <x:v>Meta</x:v>
      </x:c>
      <x:c r="C135" s="17" t="n">
        <x:v>164</x:v>
      </x:c>
      <x:c r="D135" s="17" t="n">
        <x:v>18</x:v>
      </x:c>
      <x:c r="E135" s="18"/>
      <x:c r="F135" s="19" t="n">
        <x:v>0.2807017543859649</x:v>
      </x:c>
      <x:c r="G135" s="19" t="n">
        <x:v>0.06140350877192982</x:v>
      </x:c>
      <x:c r="H135" s="19" t="n">
        <x:v>0.6403508771929824</x:v>
      </x:c>
      <x:c r="I135" s="19" t="n">
        <x:v>0.017543859649122806</x:v>
      </x:c>
      <x:c r="J135" s="17"/>
      <x:c r="K135" s="17"/>
      <x:c r="L135" s="17"/>
      <x:c r="M135" s="17"/>
      <x:c r="N135" s="17" t="str">
        <x:f>IF(COUNTA(J135:M135)=0,"",SUM(J135:M135))</x:f>
      </x:c>
      <x:c r="O135" s="15" t="str">
        <x:v>真实月报</x:v>
      </x:c>
    </x:row>
    <x:row r="136">
      <x:c r="A136" s="15" t="str">
        <x:v>2024-12</x:v>
      </x:c>
      <x:c r="B136" s="15" t="str">
        <x:v>Total</x:v>
      </x:c>
      <x:c r="C136" s="17" t="n">
        <x:v>43631</x:v>
      </x:c>
      <x:c r="D136" s="17" t="n">
        <x:v>7694</x:v>
      </x:c>
      <x:c r="E136" s="18" t="n">
        <x:v>11.147127631920977</x:v>
      </x:c>
      <x:c r="F136" s="19"/>
      <x:c r="G136" s="19"/>
      <x:c r="H136" s="19"/>
      <x:c r="I136" s="19"/>
      <x:c r="J136" s="17"/>
      <x:c r="K136" s="17"/>
      <x:c r="L136" s="17"/>
      <x:c r="M136" s="17"/>
      <x:c r="N136" s="17" t="str">
        <x:f>IF(COUNTA(J136:M136)=0,"",SUM(J136:M136))</x:f>
      </x:c>
      <x:c r="O136" s="15" t="str">
        <x:v>真实月报</x:v>
      </x:c>
    </x:row>
    <x:row r="137">
      <x:c r="A137" s="15" t="str">
        <x:v>2025-01</x:v>
      </x:c>
      <x:c r="B137" s="15" t="str">
        <x:v>Tiktok</x:v>
      </x:c>
      <x:c r="C137" s="17" t="n">
        <x:v>54</x:v>
      </x:c>
      <x:c r="D137" s="17" t="n">
        <x:v>1</x:v>
      </x:c>
      <x:c r="E137" s="18"/>
      <x:c r="F137" s="19" t="n">
        <x:v>0.18518518518518517</x:v>
      </x:c>
      <x:c r="G137" s="19" t="n">
        <x:v>0</x:v>
      </x:c>
      <x:c r="H137" s="19" t="n">
        <x:v>0.6666666666666666</x:v>
      </x:c>
      <x:c r="I137" s="19" t="n">
        <x:v>0.14814814814814814</x:v>
      </x:c>
      <x:c r="J137" s="17"/>
      <x:c r="K137" s="17"/>
      <x:c r="L137" s="17"/>
      <x:c r="M137" s="17"/>
      <x:c r="N137" s="17" t="str">
        <x:f>IF(COUNTA(J137:M137)=0,"",SUM(J137:M137))</x:f>
      </x:c>
      <x:c r="O137" s="15" t="str">
        <x:v>真实月报</x:v>
      </x:c>
    </x:row>
    <x:row r="138">
      <x:c r="A138" s="15" t="str">
        <x:v>2025-01</x:v>
      </x:c>
      <x:c r="B138" s="15" t="str">
        <x:v>GEO</x:v>
      </x:c>
      <x:c r="C138" s="17" t="n">
        <x:v>9</x:v>
      </x:c>
      <x:c r="D138" s="17" t="n">
        <x:v>1</x:v>
      </x:c>
      <x:c r="E138" s="18"/>
      <x:c r="F138" s="19" t="n">
        <x:v>0.16666666666666666</x:v>
      </x:c>
      <x:c r="G138" s="19" t="n">
        <x:v>0</x:v>
      </x:c>
      <x:c r="H138" s="19" t="n">
        <x:v>0.8333333333333334</x:v>
      </x:c>
      <x:c r="I138" s="19" t="n">
        <x:v>0</x:v>
      </x:c>
      <x:c r="J138" s="17"/>
      <x:c r="K138" s="17"/>
      <x:c r="L138" s="17"/>
      <x:c r="M138" s="17"/>
      <x:c r="N138" s="17" t="str">
        <x:f>IF(COUNTA(J138:M138)=0,"",SUM(J138:M138))</x:f>
      </x:c>
      <x:c r="O138" s="15" t="str">
        <x:v>真实月报</x:v>
      </x:c>
    </x:row>
    <x:row r="139">
      <x:c r="A139" s="15" t="str">
        <x:v>2025-01</x:v>
      </x:c>
      <x:c r="B139" s="15" t="str">
        <x:v>Organic</x:v>
      </x:c>
      <x:c r="C139" s="17" t="n">
        <x:v>23707</x:v>
      </x:c>
      <x:c r="D139" s="17" t="n">
        <x:v>3327</x:v>
      </x:c>
      <x:c r="E139" s="18"/>
      <x:c r="F139" s="19" t="n">
        <x:v>0.26685426192988626</x:v>
      </x:c>
      <x:c r="G139" s="19" t="n">
        <x:v>0.058154531598077146</x:v>
      </x:c>
      <x:c r="H139" s="19" t="n">
        <x:v>0.5915699378590691</x:v>
      </x:c>
      <x:c r="I139" s="19" t="n">
        <x:v>0.08342126861296752</x:v>
      </x:c>
      <x:c r="J139" s="17"/>
      <x:c r="K139" s="17"/>
      <x:c r="L139" s="17"/>
      <x:c r="M139" s="17"/>
      <x:c r="N139" s="17" t="str">
        <x:f>IF(COUNTA(J139:M139)=0,"",SUM(J139:M139))</x:f>
      </x:c>
      <x:c r="O139" s="15" t="str">
        <x:v>真实月报</x:v>
      </x:c>
    </x:row>
    <x:row r="140">
      <x:c r="A140" s="15" t="str">
        <x:v>2025-01</x:v>
      </x:c>
      <x:c r="B140" s="15" t="str">
        <x:v>Owned Channels</x:v>
      </x:c>
      <x:c r="C140" s="17" t="n">
        <x:v>3688</x:v>
      </x:c>
      <x:c r="D140" s="17" t="n">
        <x:v>724</x:v>
      </x:c>
      <x:c r="E140" s="18"/>
      <x:c r="F140" s="19" t="n">
        <x:v>0.4476693051890941</x:v>
      </x:c>
      <x:c r="G140" s="19" t="n">
        <x:v>0.06992084432717678</x:v>
      </x:c>
      <x:c r="H140" s="19" t="n">
        <x:v>0.4287598944591029</x:v>
      </x:c>
      <x:c r="I140" s="19" t="n">
        <x:v>0.05364995602462621</x:v>
      </x:c>
      <x:c r="J140" s="17"/>
      <x:c r="K140" s="17"/>
      <x:c r="L140" s="17"/>
      <x:c r="M140" s="17"/>
      <x:c r="N140" s="17" t="str">
        <x:f>IF(COUNTA(J140:M140)=0,"",SUM(J140:M140))</x:f>
      </x:c>
      <x:c r="O140" s="15" t="str">
        <x:v>真实月报</x:v>
      </x:c>
    </x:row>
    <x:row r="141">
      <x:c r="A141" s="15" t="str">
        <x:v>2025-01</x:v>
      </x:c>
      <x:c r="B141" s="15" t="str">
        <x:v>Google</x:v>
      </x:c>
      <x:c r="C141" s="17" t="n">
        <x:v>9260</x:v>
      </x:c>
      <x:c r="D141" s="17" t="n">
        <x:v>2131</x:v>
      </x:c>
      <x:c r="E141" s="18" t="n">
        <x:v>35.05865790708587</x:v>
      </x:c>
      <x:c r="F141" s="19" t="n">
        <x:v>0.40046531917987493</x:v>
      </x:c>
      <x:c r="G141" s="19" t="n">
        <x:v>0.063981387232805</x:v>
      </x:c>
      <x:c r="H141" s="19" t="n">
        <x:v>0.4590664533953759</x:v>
      </x:c>
      <x:c r="I141" s="19" t="n">
        <x:v>0.07648684019194416</x:v>
      </x:c>
      <x:c r="J141" s="17"/>
      <x:c r="K141" s="17"/>
      <x:c r="L141" s="17"/>
      <x:c r="M141" s="17"/>
      <x:c r="N141" s="17" t="str">
        <x:f>IF(COUNTA(J141:M141)=0,"",SUM(J141:M141))</x:f>
      </x:c>
      <x:c r="O141" s="15" t="str">
        <x:v>真实月报</x:v>
      </x:c>
    </x:row>
    <x:row r="142">
      <x:c r="A142" s="15" t="str">
        <x:v>2025-01</x:v>
      </x:c>
      <x:c r="B142" s="15" t="str">
        <x:v>Bing</x:v>
      </x:c>
      <x:c r="C142" s="17" t="n">
        <x:v>198</x:v>
      </x:c>
      <x:c r="D142" s="17" t="n">
        <x:v>22</x:v>
      </x:c>
      <x:c r="E142" s="18" t="n">
        <x:v>152.36363636363637</x:v>
      </x:c>
      <x:c r="F142" s="19" t="n">
        <x:v>0.2903225806451613</x:v>
      </x:c>
      <x:c r="G142" s="19" t="n">
        <x:v>0.024193548387096774</x:v>
      </x:c>
      <x:c r="H142" s="19" t="n">
        <x:v>0.6048387096774194</x:v>
      </x:c>
      <x:c r="I142" s="19" t="n">
        <x:v>0.08064516129032258</x:v>
      </x:c>
      <x:c r="J142" s="17"/>
      <x:c r="K142" s="17"/>
      <x:c r="L142" s="17"/>
      <x:c r="M142" s="17"/>
      <x:c r="N142" s="17" t="str">
        <x:f>IF(COUNTA(J142:M142)=0,"",SUM(J142:M142))</x:f>
      </x:c>
      <x:c r="O142" s="15" t="str">
        <x:v>真实月报</x:v>
      </x:c>
    </x:row>
    <x:row r="143">
      <x:c r="A143" s="15" t="str">
        <x:v>2025-01</x:v>
      </x:c>
      <x:c r="B143" s="15" t="str">
        <x:v>Lead Partner</x:v>
      </x:c>
      <x:c r="C143" s="17" t="n">
        <x:v>3757</x:v>
      </x:c>
      <x:c r="D143" s="17" t="n">
        <x:v>353</x:v>
      </x:c>
      <x:c r="E143" s="18" t="n">
        <x:v>130.25428571428571</x:v>
      </x:c>
      <x:c r="F143" s="19" t="n">
        <x:v>0.19715224534501644</x:v>
      </x:c>
      <x:c r="G143" s="19" t="n">
        <x:v>0.0982110259218693</x:v>
      </x:c>
      <x:c r="H143" s="19" t="n">
        <x:v>0.6429353778751369</x:v>
      </x:c>
      <x:c r="I143" s="19" t="n">
        <x:v>0.061701350857977365</x:v>
      </x:c>
      <x:c r="J143" s="17"/>
      <x:c r="K143" s="17"/>
      <x:c r="L143" s="17"/>
      <x:c r="M143" s="17"/>
      <x:c r="N143" s="17" t="str">
        <x:f>IF(COUNTA(J143:M143)=0,"",SUM(J143:M143))</x:f>
      </x:c>
      <x:c r="O143" s="15" t="str">
        <x:v>真实月报</x:v>
      </x:c>
    </x:row>
    <x:row r="144">
      <x:c r="A144" s="15" t="str">
        <x:v>2025-01</x:v>
      </x:c>
      <x:c r="B144" s="15" t="str">
        <x:v>Meta</x:v>
      </x:c>
      <x:c r="C144" s="17" t="n">
        <x:v>196</x:v>
      </x:c>
      <x:c r="D144" s="17" t="n">
        <x:v>25</x:v>
      </x:c>
      <x:c r="E144" s="18"/>
      <x:c r="F144" s="19" t="n">
        <x:v>0.30344827586206896</x:v>
      </x:c>
      <x:c r="G144" s="19" t="n">
        <x:v>0.08275862068965517</x:v>
      </x:c>
      <x:c r="H144" s="19" t="n">
        <x:v>0.5862068965517241</x:v>
      </x:c>
      <x:c r="I144" s="19" t="n">
        <x:v>0.027586206896551724</x:v>
      </x:c>
      <x:c r="J144" s="17"/>
      <x:c r="K144" s="17"/>
      <x:c r="L144" s="17"/>
      <x:c r="M144" s="17"/>
      <x:c r="N144" s="17" t="str">
        <x:f>IF(COUNTA(J144:M144)=0,"",SUM(J144:M144))</x:f>
      </x:c>
      <x:c r="O144" s="15" t="str">
        <x:v>真实月报</x:v>
      </x:c>
    </x:row>
    <x:row r="145">
      <x:c r="A145" s="15" t="str">
        <x:v>2025-01</x:v>
      </x:c>
      <x:c r="B145" s="15" t="str">
        <x:v>Total</x:v>
      </x:c>
      <x:c r="C145" s="17" t="n">
        <x:v>40869</x:v>
      </x:c>
      <x:c r="D145" s="17" t="n">
        <x:v>6584</x:v>
      </x:c>
      <x:c r="E145" s="18" t="n">
        <x:v>18.98298906439854</x:v>
      </x:c>
      <x:c r="F145" s="19"/>
      <x:c r="G145" s="19"/>
      <x:c r="H145" s="19"/>
      <x:c r="I145" s="19"/>
      <x:c r="J145" s="17"/>
      <x:c r="K145" s="17"/>
      <x:c r="L145" s="17"/>
      <x:c r="M145" s="17"/>
      <x:c r="N145" s="17" t="str">
        <x:f>IF(COUNTA(J145:M145)=0,"",SUM(J145:M145))</x:f>
      </x:c>
      <x:c r="O145" s="15" t="str">
        <x:v>真实月报</x:v>
      </x:c>
    </x:row>
    <x:row r="146">
      <x:c r="A146" s="15" t="str">
        <x:v>2025-02</x:v>
      </x:c>
      <x:c r="B146" s="15" t="str">
        <x:v>Tiktok</x:v>
      </x:c>
      <x:c r="C146" s="17" t="n">
        <x:v>30</x:v>
      </x:c>
      <x:c r="D146" s="17" t="n">
        <x:v>1</x:v>
      </x:c>
      <x:c r="E146" s="18"/>
      <x:c r="F146" s="19" t="n">
        <x:v>0.16666666666666666</x:v>
      </x:c>
      <x:c r="G146" s="19" t="n">
        <x:v>0.05555555555555555</x:v>
      </x:c>
      <x:c r="H146" s="19" t="n">
        <x:v>0.6666666666666666</x:v>
      </x:c>
      <x:c r="I146" s="19" t="n">
        <x:v>0.1111111111111111</x:v>
      </x:c>
      <x:c r="J146" s="17"/>
      <x:c r="K146" s="17"/>
      <x:c r="L146" s="17"/>
      <x:c r="M146" s="17"/>
      <x:c r="N146" s="17" t="str">
        <x:f>IF(COUNTA(J146:M146)=0,"",SUM(J146:M146))</x:f>
      </x:c>
      <x:c r="O146" s="15" t="str">
        <x:v>真实月报</x:v>
      </x:c>
    </x:row>
    <x:row r="147">
      <x:c r="A147" s="15" t="str">
        <x:v>2025-02</x:v>
      </x:c>
      <x:c r="B147" s="15" t="str">
        <x:v>GEO</x:v>
      </x:c>
      <x:c r="C147" s="17" t="n">
        <x:v>28</x:v>
      </x:c>
      <x:c r="D147" s="17" t="n">
        <x:v>2</x:v>
      </x:c>
      <x:c r="E147" s="18"/>
      <x:c r="F147" s="19" t="n">
        <x:v>0.2</x:v>
      </x:c>
      <x:c r="G147" s="19" t="n">
        <x:v>0.15</x:v>
      </x:c>
      <x:c r="H147" s="19" t="n">
        <x:v>0.65</x:v>
      </x:c>
      <x:c r="I147" s="19" t="n">
        <x:v>0</x:v>
      </x:c>
      <x:c r="J147" s="17"/>
      <x:c r="K147" s="17"/>
      <x:c r="L147" s="17"/>
      <x:c r="M147" s="17"/>
      <x:c r="N147" s="17" t="str">
        <x:f>IF(COUNTA(J147:M147)=0,"",SUM(J147:M147))</x:f>
      </x:c>
      <x:c r="O147" s="15" t="str">
        <x:v>真实月报</x:v>
      </x:c>
    </x:row>
    <x:row r="148">
      <x:c r="A148" s="15" t="str">
        <x:v>2025-02</x:v>
      </x:c>
      <x:c r="B148" s="15" t="str">
        <x:v>Organic</x:v>
      </x:c>
      <x:c r="C148" s="17" t="n">
        <x:v>19313</x:v>
      </x:c>
      <x:c r="D148" s="17" t="n">
        <x:v>3033</x:v>
      </x:c>
      <x:c r="E148" s="18"/>
      <x:c r="F148" s="19" t="n">
        <x:v>0.2730315820113521</x:v>
      </x:c>
      <x:c r="G148" s="19" t="n">
        <x:v>0.06018046863629748</x:v>
      </x:c>
      <x:c r="H148" s="19" t="n">
        <x:v>0.5767719400378402</x:v>
      </x:c>
      <x:c r="I148" s="19" t="n">
        <x:v>0.09001600931451026</x:v>
      </x:c>
      <x:c r="J148" s="17"/>
      <x:c r="K148" s="17"/>
      <x:c r="L148" s="17"/>
      <x:c r="M148" s="17"/>
      <x:c r="N148" s="17" t="str">
        <x:f>IF(COUNTA(J148:M148)=0,"",SUM(J148:M148))</x:f>
      </x:c>
      <x:c r="O148" s="15" t="str">
        <x:v>真实月报</x:v>
      </x:c>
    </x:row>
    <x:row r="149">
      <x:c r="A149" s="15" t="str">
        <x:v>2025-02</x:v>
      </x:c>
      <x:c r="B149" s="15" t="str">
        <x:v>Owned Channels</x:v>
      </x:c>
      <x:c r="C149" s="17" t="n">
        <x:v>4407</x:v>
      </x:c>
      <x:c r="D149" s="17" t="n">
        <x:v>798</x:v>
      </x:c>
      <x:c r="E149" s="18"/>
      <x:c r="F149" s="19" t="n">
        <x:v>0.37229897272405243</x:v>
      </x:c>
      <x:c r="G149" s="19" t="n">
        <x:v>0.05171803046404534</x:v>
      </x:c>
      <x:c r="H149" s="19" t="n">
        <x:v>0.536663124335813</x:v>
      </x:c>
      <x:c r="I149" s="19" t="n">
        <x:v>0.039319872476089264</x:v>
      </x:c>
      <x:c r="J149" s="17"/>
      <x:c r="K149" s="17"/>
      <x:c r="L149" s="17"/>
      <x:c r="M149" s="17"/>
      <x:c r="N149" s="17" t="str">
        <x:f>IF(COUNTA(J149:M149)=0,"",SUM(J149:M149))</x:f>
      </x:c>
      <x:c r="O149" s="15" t="str">
        <x:v>真实月报</x:v>
      </x:c>
    </x:row>
    <x:row r="150">
      <x:c r="A150" s="15" t="str">
        <x:v>2025-02</x:v>
      </x:c>
      <x:c r="B150" s="15" t="str">
        <x:v>Google</x:v>
      </x:c>
      <x:c r="C150" s="17" t="n">
        <x:v>11804</x:v>
      </x:c>
      <x:c r="D150" s="17" t="n">
        <x:v>2140</x:v>
      </x:c>
      <x:c r="E150" s="18" t="n">
        <x:v>56.96588785046729</x:v>
      </x:c>
      <x:c r="F150" s="19" t="n">
        <x:v>0.32015200095000595</x:v>
      </x:c>
      <x:c r="G150" s="19" t="n">
        <x:v>0.06471915449471559</x:v>
      </x:c>
      <x:c r="H150" s="19" t="n">
        <x:v>0.544472152950956</x:v>
      </x:c>
      <x:c r="I150" s="19" t="n">
        <x:v>0.07065669160432253</x:v>
      </x:c>
      <x:c r="J150" s="17"/>
      <x:c r="K150" s="17"/>
      <x:c r="L150" s="17"/>
      <x:c r="M150" s="17"/>
      <x:c r="N150" s="17" t="str">
        <x:f>IF(COUNTA(J150:M150)=0,"",SUM(J150:M150))</x:f>
      </x:c>
      <x:c r="O150" s="15" t="str">
        <x:v>真实月报</x:v>
      </x:c>
    </x:row>
    <x:row r="151">
      <x:c r="A151" s="15" t="str">
        <x:v>2025-02</x:v>
      </x:c>
      <x:c r="B151" s="15" t="str">
        <x:v>Bing</x:v>
      </x:c>
      <x:c r="C151" s="17" t="n">
        <x:v>271</x:v>
      </x:c>
      <x:c r="D151" s="17" t="n">
        <x:v>29</x:v>
      </x:c>
      <x:c r="E151" s="18" t="n">
        <x:v>220.51724137931035</x:v>
      </x:c>
      <x:c r="F151" s="19" t="n">
        <x:v>0.27631578947368424</x:v>
      </x:c>
      <x:c r="G151" s="19" t="n">
        <x:v>0.11842105263157894</x:v>
      </x:c>
      <x:c r="H151" s="19" t="n">
        <x:v>0.5460526315789473</x:v>
      </x:c>
      <x:c r="I151" s="19" t="n">
        <x:v>0.05921052631578947</x:v>
      </x:c>
      <x:c r="J151" s="17"/>
      <x:c r="K151" s="17"/>
      <x:c r="L151" s="17"/>
      <x:c r="M151" s="17"/>
      <x:c r="N151" s="17" t="str">
        <x:f>IF(COUNTA(J151:M151)=0,"",SUM(J151:M151))</x:f>
      </x:c>
      <x:c r="O151" s="15" t="str">
        <x:v>真实月报</x:v>
      </x:c>
    </x:row>
    <x:row r="152">
      <x:c r="A152" s="15" t="str">
        <x:v>2025-02</x:v>
      </x:c>
      <x:c r="B152" s="15" t="str">
        <x:v>Lead Partner</x:v>
      </x:c>
      <x:c r="C152" s="17" t="n">
        <x:v>3868</x:v>
      </x:c>
      <x:c r="D152" s="17" t="n">
        <x:v>408</x:v>
      </x:c>
      <x:c r="E152" s="18" t="n">
        <x:v>-92.6592039800995</x:v>
      </x:c>
      <x:c r="F152" s="19" t="n">
        <x:v>0.21786100108030249</x:v>
      </x:c>
      <x:c r="G152" s="19" t="n">
        <x:v>0.09290601368383147</x:v>
      </x:c>
      <x:c r="H152" s="19" t="n">
        <x:v>0.640259272596327</x:v>
      </x:c>
      <x:c r="I152" s="19" t="n">
        <x:v>0.04897371263953907</x:v>
      </x:c>
      <x:c r="J152" s="17"/>
      <x:c r="K152" s="17"/>
      <x:c r="L152" s="17"/>
      <x:c r="M152" s="17"/>
      <x:c r="N152" s="17" t="str">
        <x:f>IF(COUNTA(J152:M152)=0,"",SUM(J152:M152))</x:f>
      </x:c>
      <x:c r="O152" s="15" t="str">
        <x:v>真实月报</x:v>
      </x:c>
    </x:row>
    <x:row r="153">
      <x:c r="A153" s="15" t="str">
        <x:v>2025-02</x:v>
      </x:c>
      <x:c r="B153" s="15" t="str">
        <x:v>Meta</x:v>
      </x:c>
      <x:c r="C153" s="17" t="n">
        <x:v>385</x:v>
      </x:c>
      <x:c r="D153" s="17" t="n">
        <x:v>43</x:v>
      </x:c>
      <x:c r="E153" s="18"/>
      <x:c r="F153" s="19" t="n">
        <x:v>0.2711267605633803</x:v>
      </x:c>
      <x:c r="G153" s="19" t="n">
        <x:v>0.07042253521126761</x:v>
      </x:c>
      <x:c r="H153" s="19" t="n">
        <x:v>0.602112676056338</x:v>
      </x:c>
      <x:c r="I153" s="19" t="n">
        <x:v>0.056338028169014086</x:v>
      </x:c>
      <x:c r="J153" s="17"/>
      <x:c r="K153" s="17"/>
      <x:c r="L153" s="17"/>
      <x:c r="M153" s="17"/>
      <x:c r="N153" s="17" t="str">
        <x:f>IF(COUNTA(J153:M153)=0,"",SUM(J153:M153))</x:f>
      </x:c>
      <x:c r="O153" s="15" t="str">
        <x:v>真实月报</x:v>
      </x:c>
    </x:row>
    <x:row r="154">
      <x:c r="A154" s="15" t="str">
        <x:v>2025-02</x:v>
      </x:c>
      <x:c r="B154" s="15" t="str">
        <x:v>Total</x:v>
      </x:c>
      <x:c r="C154" s="17" t="n">
        <x:v>40106</x:v>
      </x:c>
      <x:c r="D154" s="17" t="n">
        <x:v>6454</x:v>
      </x:c>
      <x:c r="E154" s="18" t="n">
        <x:v>14.437558103501704</x:v>
      </x:c>
      <x:c r="F154" s="19"/>
      <x:c r="G154" s="19"/>
      <x:c r="H154" s="19"/>
      <x:c r="I154" s="19"/>
      <x:c r="J154" s="17"/>
      <x:c r="K154" s="17"/>
      <x:c r="L154" s="17"/>
      <x:c r="M154" s="17"/>
      <x:c r="N154" s="17" t="str">
        <x:f>IF(COUNTA(J154:M154)=0,"",SUM(J154:M154))</x:f>
      </x:c>
      <x:c r="O154" s="15" t="str">
        <x:v>真实月报</x:v>
      </x:c>
    </x:row>
    <x:row r="155">
      <x:c r="A155" s="15" t="str">
        <x:v>2025-03</x:v>
      </x:c>
      <x:c r="B155" s="15" t="str">
        <x:v>Tiktok</x:v>
      </x:c>
      <x:c r="C155" s="17" t="n">
        <x:v>14</x:v>
      </x:c>
      <x:c r="D155" s="17" t="n">
        <x:v>1</x:v>
      </x:c>
      <x:c r="E155" s="18"/>
      <x:c r="F155" s="19" t="n">
        <x:v>0.16666666666666666</x:v>
      </x:c>
      <x:c r="G155" s="19" t="n">
        <x:v>0</x:v>
      </x:c>
      <x:c r="H155" s="19" t="n">
        <x:v>0.6666666666666666</x:v>
      </x:c>
      <x:c r="I155" s="19" t="n">
        <x:v>0.16666666666666666</x:v>
      </x:c>
      <x:c r="J155" s="17"/>
      <x:c r="K155" s="17"/>
      <x:c r="L155" s="17"/>
      <x:c r="M155" s="17"/>
      <x:c r="N155" s="17" t="str">
        <x:f>IF(COUNTA(J155:M155)=0,"",SUM(J155:M155))</x:f>
      </x:c>
      <x:c r="O155" s="15" t="str">
        <x:v>真实月报</x:v>
      </x:c>
    </x:row>
    <x:row r="156">
      <x:c r="A156" s="15" t="str">
        <x:v>2025-03</x:v>
      </x:c>
      <x:c r="B156" s="15" t="str">
        <x:v>GEO</x:v>
      </x:c>
      <x:c r="C156" s="17" t="n">
        <x:v>36</x:v>
      </x:c>
      <x:c r="D156" s="17" t="n">
        <x:v>5</x:v>
      </x:c>
      <x:c r="E156" s="18"/>
      <x:c r="F156" s="19" t="n">
        <x:v>0.2916666666666667</x:v>
      </x:c>
      <x:c r="G156" s="19" t="n">
        <x:v>0</x:v>
      </x:c>
      <x:c r="H156" s="19" t="n">
        <x:v>0.7083333333333334</x:v>
      </x:c>
      <x:c r="I156" s="19" t="n">
        <x:v>0</x:v>
      </x:c>
      <x:c r="J156" s="17"/>
      <x:c r="K156" s="17"/>
      <x:c r="L156" s="17"/>
      <x:c r="M156" s="17"/>
      <x:c r="N156" s="17" t="str">
        <x:f>IF(COUNTA(J156:M156)=0,"",SUM(J156:M156))</x:f>
      </x:c>
      <x:c r="O156" s="15" t="str">
        <x:v>真实月报</x:v>
      </x:c>
    </x:row>
    <x:row r="157">
      <x:c r="A157" s="15" t="str">
        <x:v>2025-03</x:v>
      </x:c>
      <x:c r="B157" s="15" t="str">
        <x:v>Organic</x:v>
      </x:c>
      <x:c r="C157" s="17" t="n">
        <x:v>22875</x:v>
      </x:c>
      <x:c r="D157" s="17" t="n">
        <x:v>3518</x:v>
      </x:c>
      <x:c r="E157" s="18"/>
      <x:c r="F157" s="19" t="n">
        <x:v>0.2839064139761714</x:v>
      </x:c>
      <x:c r="G157" s="19" t="n">
        <x:v>0.05827520217297364</x:v>
      </x:c>
      <x:c r="H157" s="19" t="n">
        <x:v>0.5719488857336873</x:v>
      </x:c>
      <x:c r="I157" s="19" t="n">
        <x:v>0.08586949811716772</x:v>
      </x:c>
      <x:c r="J157" s="17"/>
      <x:c r="K157" s="17"/>
      <x:c r="L157" s="17"/>
      <x:c r="M157" s="17"/>
      <x:c r="N157" s="17" t="str">
        <x:f>IF(COUNTA(J157:M157)=0,"",SUM(J157:M157))</x:f>
      </x:c>
      <x:c r="O157" s="15" t="str">
        <x:v>真实月报</x:v>
      </x:c>
    </x:row>
    <x:row r="158">
      <x:c r="A158" s="15" t="str">
        <x:v>2025-03</x:v>
      </x:c>
      <x:c r="B158" s="15" t="str">
        <x:v>Owned Channels</x:v>
      </x:c>
      <x:c r="C158" s="17" t="n">
        <x:v>4451</x:v>
      </x:c>
      <x:c r="D158" s="17" t="n">
        <x:v>924</x:v>
      </x:c>
      <x:c r="E158" s="18"/>
      <x:c r="F158" s="19" t="n">
        <x:v>0.47691748455107236</x:v>
      </x:c>
      <x:c r="G158" s="19" t="n">
        <x:v>0.06870229007633588</x:v>
      </x:c>
      <x:c r="H158" s="19" t="n">
        <x:v>0.4198473282442748</x:v>
      </x:c>
      <x:c r="I158" s="19" t="n">
        <x:v>0.034532897128316975</x:v>
      </x:c>
      <x:c r="J158" s="17"/>
      <x:c r="K158" s="17"/>
      <x:c r="L158" s="17"/>
      <x:c r="M158" s="17"/>
      <x:c r="N158" s="17" t="str">
        <x:f>IF(COUNTA(J158:M158)=0,"",SUM(J158:M158))</x:f>
      </x:c>
      <x:c r="O158" s="15" t="str">
        <x:v>真实月报</x:v>
      </x:c>
    </x:row>
    <x:row r="159">
      <x:c r="A159" s="15" t="str">
        <x:v>2025-03</x:v>
      </x:c>
      <x:c r="B159" s="15" t="str">
        <x:v>Google</x:v>
      </x:c>
      <x:c r="C159" s="17" t="n">
        <x:v>15116</x:v>
      </x:c>
      <x:c r="D159" s="17" t="n">
        <x:v>2062</x:v>
      </x:c>
      <x:c r="E159" s="18" t="n">
        <x:v>92.93889427740058</x:v>
      </x:c>
      <x:c r="F159" s="19" t="n">
        <x:v>0.2656579199387091</x:v>
      </x:c>
      <x:c r="G159" s="19" t="n">
        <x:v>0.0723041562918981</x:v>
      </x:c>
      <x:c r="H159" s="19" t="n">
        <x:v>0.5972993679371768</x:v>
      </x:c>
      <x:c r="I159" s="19" t="n">
        <x:v>0.06473855583221605</x:v>
      </x:c>
      <x:c r="J159" s="17"/>
      <x:c r="K159" s="17"/>
      <x:c r="L159" s="17"/>
      <x:c r="M159" s="17"/>
      <x:c r="N159" s="17" t="str">
        <x:f>IF(COUNTA(J159:M159)=0,"",SUM(J159:M159))</x:f>
      </x:c>
      <x:c r="O159" s="15" t="str">
        <x:v>真实月报</x:v>
      </x:c>
    </x:row>
    <x:row r="160">
      <x:c r="A160" s="15" t="str">
        <x:v>2025-03</x:v>
      </x:c>
      <x:c r="B160" s="15" t="str">
        <x:v>Bing</x:v>
      </x:c>
      <x:c r="C160" s="17" t="n">
        <x:v>596</x:v>
      </x:c>
      <x:c r="D160" s="17" t="n">
        <x:v>57</x:v>
      </x:c>
      <x:c r="E160" s="18" t="n">
        <x:v>132.98245614035088</x:v>
      </x:c>
      <x:c r="F160" s="19" t="n">
        <x:v>0.22822822822822822</x:v>
      </x:c>
      <x:c r="G160" s="19" t="n">
        <x:v>0.057057057057057055</x:v>
      </x:c>
      <x:c r="H160" s="19" t="n">
        <x:v>0.6516516516516516</x:v>
      </x:c>
      <x:c r="I160" s="19" t="n">
        <x:v>0.06306306306306306</x:v>
      </x:c>
      <x:c r="J160" s="17"/>
      <x:c r="K160" s="17"/>
      <x:c r="L160" s="17"/>
      <x:c r="M160" s="17"/>
      <x:c r="N160" s="17" t="str">
        <x:f>IF(COUNTA(J160:M160)=0,"",SUM(J160:M160))</x:f>
      </x:c>
      <x:c r="O160" s="15" t="str">
        <x:v>真实月报</x:v>
      </x:c>
    </x:row>
    <x:row r="161">
      <x:c r="A161" s="15" t="str">
        <x:v>2025-03</x:v>
      </x:c>
      <x:c r="B161" s="15" t="str">
        <x:v>Lead Partner</x:v>
      </x:c>
      <x:c r="C161" s="17" t="n">
        <x:v>4950</x:v>
      </x:c>
      <x:c r="D161" s="17" t="n">
        <x:v>465</x:v>
      </x:c>
      <x:c r="E161" s="18" t="n">
        <x:v>97.56926406926407</x:v>
      </x:c>
      <x:c r="F161" s="19" t="n">
        <x:v>0.2353286384976526</x:v>
      </x:c>
      <x:c r="G161" s="19" t="n">
        <x:v>0.10357981220657277</x:v>
      </x:c>
      <x:c r="H161" s="19" t="n">
        <x:v>0.6173708920187794</x:v>
      </x:c>
      <x:c r="I161" s="19" t="n">
        <x:v>0.043720657276995305</x:v>
      </x:c>
      <x:c r="J161" s="17"/>
      <x:c r="K161" s="17"/>
      <x:c r="L161" s="17"/>
      <x:c r="M161" s="17"/>
      <x:c r="N161" s="17" t="str">
        <x:f>IF(COUNTA(J161:M161)=0,"",SUM(J161:M161))</x:f>
      </x:c>
      <x:c r="O161" s="15" t="str">
        <x:v>真实月报</x:v>
      </x:c>
    </x:row>
    <x:row r="162">
      <x:c r="A162" s="15" t="str">
        <x:v>2025-03</x:v>
      </x:c>
      <x:c r="B162" s="15" t="str">
        <x:v>Meta</x:v>
      </x:c>
      <x:c r="C162" s="17" t="n">
        <x:v>386</x:v>
      </x:c>
      <x:c r="D162" s="17" t="n">
        <x:v>54</x:v>
      </x:c>
      <x:c r="E162" s="18"/>
      <x:c r="F162" s="19" t="n">
        <x:v>0.32432432432432434</x:v>
      </x:c>
      <x:c r="G162" s="19" t="n">
        <x:v>0.06177606177606178</x:v>
      </x:c>
      <x:c r="H162" s="19" t="n">
        <x:v>0.5791505791505791</x:v>
      </x:c>
      <x:c r="I162" s="19" t="n">
        <x:v>0.03474903474903475</x:v>
      </x:c>
      <x:c r="J162" s="17"/>
      <x:c r="K162" s="17"/>
      <x:c r="L162" s="17"/>
      <x:c r="M162" s="17"/>
      <x:c r="N162" s="17" t="str">
        <x:f>IF(COUNTA(J162:M162)=0,"",SUM(J162:M162))</x:f>
      </x:c>
      <x:c r="O162" s="15" t="str">
        <x:v>真实月报</x:v>
      </x:c>
    </x:row>
    <x:row r="163">
      <x:c r="A163" s="15" t="str">
        <x:v>2025-03</x:v>
      </x:c>
      <x:c r="B163" s="15" t="str">
        <x:v>Total</x:v>
      </x:c>
      <x:c r="C163" s="17" t="n">
        <x:v>48424</x:v>
      </x:c>
      <x:c r="D163" s="17" t="n">
        <x:v>7086</x:v>
      </x:c>
      <x:c r="E163" s="18" t="n">
        <x:v>36.36282811176969</x:v>
      </x:c>
      <x:c r="F163" s="19"/>
      <x:c r="G163" s="19"/>
      <x:c r="H163" s="19"/>
      <x:c r="I163" s="19"/>
      <x:c r="J163" s="17"/>
      <x:c r="K163" s="17"/>
      <x:c r="L163" s="17"/>
      <x:c r="M163" s="17"/>
      <x:c r="N163" s="17" t="str">
        <x:f>IF(COUNTA(J163:M163)=0,"",SUM(J163:M163))</x:f>
      </x:c>
      <x:c r="O163" s="15" t="str">
        <x:v>真实月报</x:v>
      </x:c>
    </x:row>
    <x:row r="164">
      <x:c r="A164" s="15" t="str">
        <x:v>2025-04</x:v>
      </x:c>
      <x:c r="B164" s="15" t="str">
        <x:v>Tiktok</x:v>
      </x:c>
      <x:c r="C164" s="17" t="n">
        <x:v>16</x:v>
      </x:c>
      <x:c r="D164" s="17"/>
      <x:c r="E164" s="18"/>
      <x:c r="F164" s="19" t="n">
        <x:v>0.125</x:v>
      </x:c>
      <x:c r="G164" s="19" t="n">
        <x:v>0.125</x:v>
      </x:c>
      <x:c r="H164" s="19" t="n">
        <x:v>0.75</x:v>
      </x:c>
      <x:c r="I164" s="19" t="n">
        <x:v>0</x:v>
      </x:c>
      <x:c r="J164" s="17"/>
      <x:c r="K164" s="17"/>
      <x:c r="L164" s="17"/>
      <x:c r="M164" s="17"/>
      <x:c r="N164" s="17" t="str">
        <x:f>IF(COUNTA(J164:M164)=0,"",SUM(J164:M164))</x:f>
      </x:c>
      <x:c r="O164" s="15" t="str">
        <x:v>真实月报</x:v>
      </x:c>
    </x:row>
    <x:row r="165">
      <x:c r="A165" s="15" t="str">
        <x:v>2025-04</x:v>
      </x:c>
      <x:c r="B165" s="15" t="str">
        <x:v>GEO</x:v>
      </x:c>
      <x:c r="C165" s="17" t="n">
        <x:v>47</x:v>
      </x:c>
      <x:c r="D165" s="17" t="n">
        <x:v>3</x:v>
      </x:c>
      <x:c r="E165" s="18"/>
      <x:c r="F165" s="19" t="n">
        <x:v>0.13157894736842105</x:v>
      </x:c>
      <x:c r="G165" s="19" t="n">
        <x:v>0.05263157894736842</x:v>
      </x:c>
      <x:c r="H165" s="19" t="n">
        <x:v>0.7631578947368421</x:v>
      </x:c>
      <x:c r="I165" s="19" t="n">
        <x:v>0.05263157894736842</x:v>
      </x:c>
      <x:c r="J165" s="17"/>
      <x:c r="K165" s="17"/>
      <x:c r="L165" s="17"/>
      <x:c r="M165" s="17"/>
      <x:c r="N165" s="17" t="str">
        <x:f>IF(COUNTA(J165:M165)=0,"",SUM(J165:M165))</x:f>
      </x:c>
      <x:c r="O165" s="15" t="str">
        <x:v>真实月报</x:v>
      </x:c>
    </x:row>
    <x:row r="166">
      <x:c r="A166" s="15" t="str">
        <x:v>2025-04</x:v>
      </x:c>
      <x:c r="B166" s="15" t="str">
        <x:v>Organic</x:v>
      </x:c>
      <x:c r="C166" s="17" t="n">
        <x:v>14370</x:v>
      </x:c>
      <x:c r="D166" s="17" t="n">
        <x:v>2503</x:v>
      </x:c>
      <x:c r="E166" s="18"/>
      <x:c r="F166" s="19" t="n">
        <x:v>0.31734627227768963</x:v>
      </x:c>
      <x:c r="G166" s="19" t="n">
        <x:v>0.06093123075487543</x:v>
      </x:c>
      <x:c r="H166" s="19" t="n">
        <x:v>0.5278529439208733</x:v>
      </x:c>
      <x:c r="I166" s="19" t="n">
        <x:v>0.09386955304656154</x:v>
      </x:c>
      <x:c r="J166" s="17"/>
      <x:c r="K166" s="17"/>
      <x:c r="L166" s="17"/>
      <x:c r="M166" s="17"/>
      <x:c r="N166" s="17" t="str">
        <x:f>IF(COUNTA(J166:M166)=0,"",SUM(J166:M166))</x:f>
      </x:c>
      <x:c r="O166" s="15" t="str">
        <x:v>真实月报</x:v>
      </x:c>
    </x:row>
    <x:row r="167">
      <x:c r="A167" s="15" t="str">
        <x:v>2025-04</x:v>
      </x:c>
      <x:c r="B167" s="15" t="str">
        <x:v>Owned Channels</x:v>
      </x:c>
      <x:c r="C167" s="17" t="n">
        <x:v>5126</x:v>
      </x:c>
      <x:c r="D167" s="17" t="n">
        <x:v>1102</x:v>
      </x:c>
      <x:c r="E167" s="18"/>
      <x:c r="F167" s="19" t="n">
        <x:v>0.4829388256993544</x:v>
      </x:c>
      <x:c r="G167" s="19" t="n">
        <x:v>0.05932984936981248</x:v>
      </x:c>
      <x:c r="H167" s="19" t="n">
        <x:v>0.419920073778051</x:v>
      </x:c>
      <x:c r="I167" s="19" t="n">
        <x:v>0.03781125115278205</x:v>
      </x:c>
      <x:c r="J167" s="17"/>
      <x:c r="K167" s="17"/>
      <x:c r="L167" s="17"/>
      <x:c r="M167" s="17"/>
      <x:c r="N167" s="17" t="str">
        <x:f>IF(COUNTA(J167:M167)=0,"",SUM(J167:M167))</x:f>
      </x:c>
      <x:c r="O167" s="15" t="str">
        <x:v>真实月报</x:v>
      </x:c>
    </x:row>
    <x:row r="168">
      <x:c r="A168" s="15" t="str">
        <x:v>2025-04</x:v>
      </x:c>
      <x:c r="B168" s="15" t="str">
        <x:v>Google</x:v>
      </x:c>
      <x:c r="C168" s="17" t="n">
        <x:v>24610</x:v>
      </x:c>
      <x:c r="D168" s="17" t="n">
        <x:v>2900</x:v>
      </x:c>
      <x:c r="E168" s="18" t="n">
        <x:v>99.29586206896552</x:v>
      </x:c>
      <x:c r="F168" s="19" t="n">
        <x:v>0.2501963627575373</x:v>
      </x:c>
      <x:c r="G168" s="19" t="n">
        <x:v>0.065373693432421</x:v>
      </x:c>
      <x:c r="H168" s="19" t="n">
        <x:v>0.6225605703582865</x:v>
      </x:c>
      <x:c r="I168" s="19" t="n">
        <x:v>0.06186937345175518</x:v>
      </x:c>
      <x:c r="J168" s="17"/>
      <x:c r="K168" s="17"/>
      <x:c r="L168" s="17"/>
      <x:c r="M168" s="17"/>
      <x:c r="N168" s="17" t="str">
        <x:f>IF(COUNTA(J168:M168)=0,"",SUM(J168:M168))</x:f>
      </x:c>
      <x:c r="O168" s="15" t="str">
        <x:v>真实月报</x:v>
      </x:c>
    </x:row>
    <x:row r="169">
      <x:c r="A169" s="15" t="str">
        <x:v>2025-04</x:v>
      </x:c>
      <x:c r="B169" s="15" t="str">
        <x:v>Bing</x:v>
      </x:c>
      <x:c r="C169" s="17" t="n">
        <x:v>377</x:v>
      </x:c>
      <x:c r="D169" s="17" t="n">
        <x:v>43</x:v>
      </x:c>
      <x:c r="E169" s="18" t="n">
        <x:v>150.30232558139534</x:v>
      </x:c>
      <x:c r="F169" s="19" t="n">
        <x:v>0.2897196261682243</x:v>
      </x:c>
      <x:c r="G169" s="19" t="n">
        <x:v>0.06542056074766354</x:v>
      </x:c>
      <x:c r="H169" s="19" t="n">
        <x:v>0.5280373831775701</x:v>
      </x:c>
      <x:c r="I169" s="19" t="n">
        <x:v>0.11682242990654206</x:v>
      </x:c>
      <x:c r="J169" s="17"/>
      <x:c r="K169" s="17"/>
      <x:c r="L169" s="17"/>
      <x:c r="M169" s="17"/>
      <x:c r="N169" s="17" t="str">
        <x:f>IF(COUNTA(J169:M169)=0,"",SUM(J169:M169))</x:f>
      </x:c>
      <x:c r="O169" s="15" t="str">
        <x:v>真实月报</x:v>
      </x:c>
    </x:row>
    <x:row r="170">
      <x:c r="A170" s="15" t="str">
        <x:v>2025-04</x:v>
      </x:c>
      <x:c r="B170" s="15" t="str">
        <x:v>Lead Partner</x:v>
      </x:c>
      <x:c r="C170" s="17" t="n">
        <x:v>4522</x:v>
      </x:c>
      <x:c r="D170" s="17" t="n">
        <x:v>495</x:v>
      </x:c>
      <x:c r="E170" s="18" t="n">
        <x:v>67.74134419551935</x:v>
      </x:c>
      <x:c r="F170" s="19" t="n">
        <x:v>0.24670951943679217</x:v>
      </x:c>
      <x:c r="G170" s="19" t="n">
        <x:v>0.11233547597183961</x:v>
      </x:c>
      <x:c r="H170" s="19" t="n">
        <x:v>0.5962656871747781</x:v>
      </x:c>
      <x:c r="I170" s="19" t="n">
        <x:v>0.044689317416590144</x:v>
      </x:c>
      <x:c r="J170" s="17"/>
      <x:c r="K170" s="17"/>
      <x:c r="L170" s="17"/>
      <x:c r="M170" s="17"/>
      <x:c r="N170" s="17" t="str">
        <x:f>IF(COUNTA(J170:M170)=0,"",SUM(J170:M170))</x:f>
      </x:c>
      <x:c r="O170" s="15" t="str">
        <x:v>真实月报</x:v>
      </x:c>
    </x:row>
    <x:row r="171">
      <x:c r="A171" s="15" t="str">
        <x:v>2025-04</x:v>
      </x:c>
      <x:c r="B171" s="15" t="str">
        <x:v>Meta</x:v>
      </x:c>
      <x:c r="C171" s="17" t="n">
        <x:v>212</x:v>
      </x:c>
      <x:c r="D171" s="17" t="n">
        <x:v>19</x:v>
      </x:c>
      <x:c r="E171" s="18"/>
      <x:c r="F171" s="19" t="n">
        <x:v>0.22424242424242424</x:v>
      </x:c>
      <x:c r="G171" s="19" t="n">
        <x:v>0.07878787878787878</x:v>
      </x:c>
      <x:c r="H171" s="19" t="n">
        <x:v>0.6363636363636364</x:v>
      </x:c>
      <x:c r="I171" s="19" t="n">
        <x:v>0.06060606060606061</x:v>
      </x:c>
      <x:c r="J171" s="17"/>
      <x:c r="K171" s="17"/>
      <x:c r="L171" s="17"/>
      <x:c r="M171" s="17"/>
      <x:c r="N171" s="17" t="str">
        <x:f>IF(COUNTA(J171:M171)=0,"",SUM(J171:M171))</x:f>
      </x:c>
      <x:c r="O171" s="15" t="str">
        <x:v>真实月报</x:v>
      </x:c>
    </x:row>
    <x:row r="172">
      <x:c r="A172" s="15" t="str">
        <x:v>2025-04</x:v>
      </x:c>
      <x:c r="B172" s="15" t="str">
        <x:v>Total</x:v>
      </x:c>
      <x:c r="C172" s="17" t="n">
        <x:v>49280</x:v>
      </x:c>
      <x:c r="D172" s="17" t="n">
        <x:v>7065</x:v>
      </x:c>
      <x:c r="E172" s="18" t="n">
        <x:v>47.3791932059448</x:v>
      </x:c>
      <x:c r="F172" s="19"/>
      <x:c r="G172" s="19"/>
      <x:c r="H172" s="19"/>
      <x:c r="I172" s="19"/>
      <x:c r="J172" s="17"/>
      <x:c r="K172" s="17"/>
      <x:c r="L172" s="17"/>
      <x:c r="M172" s="17"/>
      <x:c r="N172" s="17" t="str">
        <x:f>IF(COUNTA(J172:M172)=0,"",SUM(J172:M172))</x:f>
      </x:c>
      <x:c r="O172" s="15" t="str">
        <x:v>真实月报</x:v>
      </x:c>
    </x:row>
    <x:row r="173">
      <x:c r="A173" s="15" t="str">
        <x:v>2025-05</x:v>
      </x:c>
      <x:c r="B173" s="15" t="str">
        <x:v>Tiktok</x:v>
      </x:c>
      <x:c r="C173" s="17" t="n">
        <x:v>9</x:v>
      </x:c>
      <x:c r="D173" s="17"/>
      <x:c r="E173" s="18"/>
      <x:c r="F173" s="19" t="n">
        <x:v>0</x:v>
      </x:c>
      <x:c r="G173" s="19" t="n">
        <x:v>0</x:v>
      </x:c>
      <x:c r="H173" s="19" t="n">
        <x:v>1</x:v>
      </x:c>
      <x:c r="I173" s="19" t="n">
        <x:v>0</x:v>
      </x:c>
      <x:c r="J173" s="17"/>
      <x:c r="K173" s="17"/>
      <x:c r="L173" s="17"/>
      <x:c r="M173" s="17"/>
      <x:c r="N173" s="17" t="str">
        <x:f>IF(COUNTA(J173:M173)=0,"",SUM(J173:M173))</x:f>
      </x:c>
      <x:c r="O173" s="15" t="str">
        <x:v>真实月报</x:v>
      </x:c>
    </x:row>
    <x:row r="174">
      <x:c r="A174" s="15" t="str">
        <x:v>2025-05</x:v>
      </x:c>
      <x:c r="B174" s="15" t="str">
        <x:v>GEO</x:v>
      </x:c>
      <x:c r="C174" s="17" t="n">
        <x:v>34</x:v>
      </x:c>
      <x:c r="D174" s="17" t="n">
        <x:v>3</x:v>
      </x:c>
      <x:c r="E174" s="18"/>
      <x:c r="F174" s="19" t="n">
        <x:v>0.07142857142857142</x:v>
      </x:c>
      <x:c r="G174" s="19" t="n">
        <x:v>0.03571428571428571</x:v>
      </x:c>
      <x:c r="H174" s="19" t="n">
        <x:v>0.8214285714285714</x:v>
      </x:c>
      <x:c r="I174" s="19" t="n">
        <x:v>0.07142857142857142</x:v>
      </x:c>
      <x:c r="J174" s="17"/>
      <x:c r="K174" s="17"/>
      <x:c r="L174" s="17"/>
      <x:c r="M174" s="17"/>
      <x:c r="N174" s="17" t="str">
        <x:f>IF(COUNTA(J174:M174)=0,"",SUM(J174:M174))</x:f>
      </x:c>
      <x:c r="O174" s="15" t="str">
        <x:v>真实月报</x:v>
      </x:c>
    </x:row>
    <x:row r="175">
      <x:c r="A175" s="15" t="str">
        <x:v>2025-05</x:v>
      </x:c>
      <x:c r="B175" s="15" t="str">
        <x:v>Organic</x:v>
      </x:c>
      <x:c r="C175" s="17" t="n">
        <x:v>14301</x:v>
      </x:c>
      <x:c r="D175" s="17" t="n">
        <x:v>2426</x:v>
      </x:c>
      <x:c r="E175" s="18"/>
      <x:c r="F175" s="19" t="n">
        <x:v>0.31246929350496216</x:v>
      </x:c>
      <x:c r="G175" s="19" t="n">
        <x:v>0.06210081556450821</x:v>
      </x:c>
      <x:c r="H175" s="19" t="n">
        <x:v>0.5406308342340572</x:v>
      </x:c>
      <x:c r="I175" s="19" t="n">
        <x:v>0.08479905669647243</x:v>
      </x:c>
      <x:c r="J175" s="17"/>
      <x:c r="K175" s="17"/>
      <x:c r="L175" s="17"/>
      <x:c r="M175" s="17"/>
      <x:c r="N175" s="17" t="str">
        <x:f>IF(COUNTA(J175:M175)=0,"",SUM(J175:M175))</x:f>
      </x:c>
      <x:c r="O175" s="15" t="str">
        <x:v>真实月报</x:v>
      </x:c>
    </x:row>
    <x:row r="176">
      <x:c r="A176" s="15" t="str">
        <x:v>2025-05</x:v>
      </x:c>
      <x:c r="B176" s="15" t="str">
        <x:v>Owned Channels</x:v>
      </x:c>
      <x:c r="C176" s="17" t="n">
        <x:v>5953</x:v>
      </x:c>
      <x:c r="D176" s="17" t="n">
        <x:v>1034</x:v>
      </x:c>
      <x:c r="E176" s="18"/>
      <x:c r="F176" s="19" t="n">
        <x:v>0.40216508795669825</x:v>
      </x:c>
      <x:c r="G176" s="19" t="n">
        <x:v>0.06359945872801083</x:v>
      </x:c>
      <x:c r="H176" s="19" t="n">
        <x:v>0.5106901217861975</x:v>
      </x:c>
      <x:c r="I176" s="19" t="n">
        <x:v>0.02354533152909337</x:v>
      </x:c>
      <x:c r="J176" s="17"/>
      <x:c r="K176" s="17"/>
      <x:c r="L176" s="17"/>
      <x:c r="M176" s="17"/>
      <x:c r="N176" s="17" t="str">
        <x:f>IF(COUNTA(J176:M176)=0,"",SUM(J176:M176))</x:f>
      </x:c>
      <x:c r="O176" s="15" t="str">
        <x:v>真实月报</x:v>
      </x:c>
    </x:row>
    <x:row r="177">
      <x:c r="A177" s="15" t="str">
        <x:v>2025-05</x:v>
      </x:c>
      <x:c r="B177" s="15" t="str">
        <x:v>Google</x:v>
      </x:c>
      <x:c r="C177" s="17" t="n">
        <x:v>26561</x:v>
      </x:c>
      <x:c r="D177" s="17" t="n">
        <x:v>3380</x:v>
      </x:c>
      <x:c r="E177" s="18" t="n">
        <x:v>98.92455621301775</x:v>
      </x:c>
      <x:c r="F177" s="19" t="n">
        <x:v>0.25962139730544026</x:v>
      </x:c>
      <x:c r="G177" s="19" t="n">
        <x:v>0.06861463248251946</x:v>
      </x:c>
      <x:c r="H177" s="19" t="n">
        <x:v>0.6142913990108578</x:v>
      </x:c>
      <x:c r="I177" s="19" t="n">
        <x:v>0.057472571201182425</x:v>
      </x:c>
      <x:c r="J177" s="17"/>
      <x:c r="K177" s="17"/>
      <x:c r="L177" s="17"/>
      <x:c r="M177" s="17"/>
      <x:c r="N177" s="17" t="str">
        <x:f>IF(COUNTA(J177:M177)=0,"",SUM(J177:M177))</x:f>
      </x:c>
      <x:c r="O177" s="15" t="str">
        <x:v>真实月报</x:v>
      </x:c>
    </x:row>
    <x:row r="178">
      <x:c r="A178" s="15" t="str">
        <x:v>2025-05</x:v>
      </x:c>
      <x:c r="B178" s="15" t="str">
        <x:v>Bing</x:v>
      </x:c>
      <x:c r="C178" s="17" t="n">
        <x:v>288</x:v>
      </x:c>
      <x:c r="D178" s="17" t="n">
        <x:v>38</x:v>
      </x:c>
      <x:c r="E178" s="18" t="n">
        <x:v>202.6315789473684</x:v>
      </x:c>
      <x:c r="F178" s="19" t="n">
        <x:v>0.3235294117647059</x:v>
      </x:c>
      <x:c r="G178" s="19" t="n">
        <x:v>0.06470588235294118</x:v>
      </x:c>
      <x:c r="H178" s="19" t="n">
        <x:v>0.5588235294117647</x:v>
      </x:c>
      <x:c r="I178" s="19" t="n">
        <x:v>0.052941176470588235</x:v>
      </x:c>
      <x:c r="J178" s="17"/>
      <x:c r="K178" s="17"/>
      <x:c r="L178" s="17"/>
      <x:c r="M178" s="17"/>
      <x:c r="N178" s="17" t="str">
        <x:f>IF(COUNTA(J178:M178)=0,"",SUM(J178:M178))</x:f>
      </x:c>
      <x:c r="O178" s="15" t="str">
        <x:v>真实月报</x:v>
      </x:c>
    </x:row>
    <x:row r="179">
      <x:c r="A179" s="15" t="str">
        <x:v>2025-05</x:v>
      </x:c>
      <x:c r="B179" s="15" t="str">
        <x:v>Lead Partner</x:v>
      </x:c>
      <x:c r="C179" s="17" t="n">
        <x:v>4406</x:v>
      </x:c>
      <x:c r="D179" s="17" t="n">
        <x:v>489</x:v>
      </x:c>
      <x:c r="E179" s="18" t="n">
        <x:v>150.49896907216495</x:v>
      </x:c>
      <x:c r="F179" s="19" t="n">
        <x:v>0.26324395029431</x:v>
      </x:c>
      <x:c r="G179" s="19" t="n">
        <x:v>0.11510791366906475</x:v>
      </x:c>
      <x:c r="H179" s="19" t="n">
        <x:v>0.5882930019620667</x:v>
      </x:c>
      <x:c r="I179" s="19" t="n">
        <x:v>0.033355134074558535</x:v>
      </x:c>
      <x:c r="J179" s="17"/>
      <x:c r="K179" s="17"/>
      <x:c r="L179" s="17"/>
      <x:c r="M179" s="17"/>
      <x:c r="N179" s="17" t="str">
        <x:f>IF(COUNTA(J179:M179)=0,"",SUM(J179:M179))</x:f>
      </x:c>
      <x:c r="O179" s="15" t="str">
        <x:v>真实月报</x:v>
      </x:c>
    </x:row>
    <x:row r="180">
      <x:c r="A180" s="15" t="str">
        <x:v>2025-05</x:v>
      </x:c>
      <x:c r="B180" s="15" t="str">
        <x:v>Meta</x:v>
      </x:c>
      <x:c r="C180" s="17" t="n">
        <x:v>150</x:v>
      </x:c>
      <x:c r="D180" s="17" t="n">
        <x:v>15</x:v>
      </x:c>
      <x:c r="E180" s="18"/>
      <x:c r="F180" s="19" t="n">
        <x:v>0.24074074074074073</x:v>
      </x:c>
      <x:c r="G180" s="19" t="n">
        <x:v>0.1388888888888889</x:v>
      </x:c>
      <x:c r="H180" s="19" t="n">
        <x:v>0.5648148148148148</x:v>
      </x:c>
      <x:c r="I180" s="19" t="n">
        <x:v>0.05555555555555555</x:v>
      </x:c>
      <x:c r="J180" s="17"/>
      <x:c r="K180" s="17"/>
      <x:c r="L180" s="17"/>
      <x:c r="M180" s="17"/>
      <x:c r="N180" s="17" t="str">
        <x:f>IF(COUNTA(J180:M180)=0,"",SUM(J180:M180))</x:f>
      </x:c>
      <x:c r="O180" s="15" t="str">
        <x:v>真实月报</x:v>
      </x:c>
    </x:row>
    <x:row r="181">
      <x:c r="A181" s="15" t="str">
        <x:v>2025-05</x:v>
      </x:c>
      <x:c r="B181" s="15" t="str">
        <x:v>Total</x:v>
      </x:c>
      <x:c r="C181" s="17" t="n">
        <x:v>51702</x:v>
      </x:c>
      <x:c r="D181" s="17" t="n">
        <x:v>7385</x:v>
      </x:c>
      <x:c r="E181" s="18" t="n">
        <x:v>57.467027758970886</x:v>
      </x:c>
      <x:c r="F181" s="19"/>
      <x:c r="G181" s="19"/>
      <x:c r="H181" s="19"/>
      <x:c r="I181" s="19"/>
      <x:c r="J181" s="17"/>
      <x:c r="K181" s="17"/>
      <x:c r="L181" s="17"/>
      <x:c r="M181" s="17"/>
      <x:c r="N181" s="17" t="str">
        <x:f>IF(COUNTA(J181:M181)=0,"",SUM(J181:M181))</x:f>
      </x:c>
      <x:c r="O181" s="15" t="str">
        <x:v>真实月报</x:v>
      </x:c>
    </x:row>
    <x:row r="182">
      <x:c r="A182" s="15" t="str">
        <x:v>2025-06</x:v>
      </x:c>
      <x:c r="B182" s="15" t="str">
        <x:v>Tiktok</x:v>
      </x:c>
      <x:c r="C182" s="17" t="n">
        <x:v>11</x:v>
      </x:c>
      <x:c r="D182" s="17" t="n">
        <x:v>1</x:v>
      </x:c>
      <x:c r="E182" s="18"/>
      <x:c r="F182" s="19" t="n">
        <x:v>0.25</x:v>
      </x:c>
      <x:c r="G182" s="19" t="n">
        <x:v>0.125</x:v>
      </x:c>
      <x:c r="H182" s="19" t="n">
        <x:v>0.625</x:v>
      </x:c>
      <x:c r="I182" s="19" t="n">
        <x:v>0</x:v>
      </x:c>
      <x:c r="J182" s="17"/>
      <x:c r="K182" s="17"/>
      <x:c r="L182" s="17"/>
      <x:c r="M182" s="17"/>
      <x:c r="N182" s="17" t="str">
        <x:f>IF(COUNTA(J182:M182)=0,"",SUM(J182:M182))</x:f>
      </x:c>
      <x:c r="O182" s="15" t="str">
        <x:v>真实月报</x:v>
      </x:c>
    </x:row>
    <x:row r="183">
      <x:c r="A183" s="15" t="str">
        <x:v>2025-06</x:v>
      </x:c>
      <x:c r="B183" s="15" t="str">
        <x:v>GEO</x:v>
      </x:c>
      <x:c r="C183" s="17" t="n">
        <x:v>47</x:v>
      </x:c>
      <x:c r="D183" s="17" t="n">
        <x:v>2</x:v>
      </x:c>
      <x:c r="E183" s="18"/>
      <x:c r="F183" s="19" t="n">
        <x:v>0.1875</x:v>
      </x:c>
      <x:c r="G183" s="19" t="n">
        <x:v>0.03125</x:v>
      </x:c>
      <x:c r="H183" s="19" t="n">
        <x:v>0.6875</x:v>
      </x:c>
      <x:c r="I183" s="19" t="n">
        <x:v>0.09375</x:v>
      </x:c>
      <x:c r="J183" s="17"/>
      <x:c r="K183" s="17"/>
      <x:c r="L183" s="17"/>
      <x:c r="M183" s="17"/>
      <x:c r="N183" s="17" t="str">
        <x:f>IF(COUNTA(J183:M183)=0,"",SUM(J183:M183))</x:f>
      </x:c>
      <x:c r="O183" s="15" t="str">
        <x:v>真实月报</x:v>
      </x:c>
    </x:row>
    <x:row r="184">
      <x:c r="A184" s="15" t="str">
        <x:v>2025-06</x:v>
      </x:c>
      <x:c r="B184" s="15" t="str">
        <x:v>Organic</x:v>
      </x:c>
      <x:c r="C184" s="17" t="n">
        <x:v>12923</x:v>
      </x:c>
      <x:c r="D184" s="17" t="n">
        <x:v>2359</x:v>
      </x:c>
      <x:c r="E184" s="18"/>
      <x:c r="F184" s="19" t="n">
        <x:v>0.32785278745644597</x:v>
      </x:c>
      <x:c r="G184" s="19" t="n">
        <x:v>0.05520470383275261</x:v>
      </x:c>
      <x:c r="H184" s="19" t="n">
        <x:v>0.5273301393728222</x:v>
      </x:c>
      <x:c r="I184" s="19" t="n">
        <x:v>0.0896123693379791</x:v>
      </x:c>
      <x:c r="J184" s="17"/>
      <x:c r="K184" s="17"/>
      <x:c r="L184" s="17"/>
      <x:c r="M184" s="17"/>
      <x:c r="N184" s="17" t="str">
        <x:f>IF(COUNTA(J184:M184)=0,"",SUM(J184:M184))</x:f>
      </x:c>
      <x:c r="O184" s="15" t="str">
        <x:v>真实月报</x:v>
      </x:c>
    </x:row>
    <x:row r="185">
      <x:c r="A185" s="15" t="str">
        <x:v>2025-06</x:v>
      </x:c>
      <x:c r="B185" s="15" t="str">
        <x:v>Owned Channels</x:v>
      </x:c>
      <x:c r="C185" s="17" t="n">
        <x:v>5402</x:v>
      </x:c>
      <x:c r="D185" s="17" t="n">
        <x:v>922</x:v>
      </x:c>
      <x:c r="E185" s="18"/>
      <x:c r="F185" s="19" t="n">
        <x:v>0.39855300408933625</x:v>
      </x:c>
      <x:c r="G185" s="19" t="n">
        <x:v>0.06542938030827304</x:v>
      </x:c>
      <x:c r="H185" s="19" t="n">
        <x:v>0.5051903114186851</x:v>
      </x:c>
      <x:c r="I185" s="19" t="n">
        <x:v>0.030827304183705568</x:v>
      </x:c>
      <x:c r="J185" s="17"/>
      <x:c r="K185" s="17"/>
      <x:c r="L185" s="17"/>
      <x:c r="M185" s="17"/>
      <x:c r="N185" s="17" t="str">
        <x:f>IF(COUNTA(J185:M185)=0,"",SUM(J185:M185))</x:f>
      </x:c>
      <x:c r="O185" s="15" t="str">
        <x:v>真实月报</x:v>
      </x:c>
    </x:row>
    <x:row r="186">
      <x:c r="A186" s="15" t="str">
        <x:v>2025-06</x:v>
      </x:c>
      <x:c r="B186" s="15" t="str">
        <x:v>Google</x:v>
      </x:c>
      <x:c r="C186" s="17" t="n">
        <x:v>26093</x:v>
      </x:c>
      <x:c r="D186" s="17" t="n">
        <x:v>3298</x:v>
      </x:c>
      <x:c r="E186" s="18" t="n">
        <x:v>112.9251061249242</x:v>
      </x:c>
      <x:c r="F186" s="19" t="n">
        <x:v>0.2667294450002943</x:v>
      </x:c>
      <x:c r="G186" s="19" t="n">
        <x:v>0.06603495968453887</x:v>
      </x:c>
      <x:c r="H186" s="19" t="n">
        <x:v>0.610617385674769</x:v>
      </x:c>
      <x:c r="I186" s="19" t="n">
        <x:v>0.056618209640397855</x:v>
      </x:c>
      <x:c r="J186" s="17"/>
      <x:c r="K186" s="17"/>
      <x:c r="L186" s="17"/>
      <x:c r="M186" s="17"/>
      <x:c r="N186" s="17" t="str">
        <x:f>IF(COUNTA(J186:M186)=0,"",SUM(J186:M186))</x:f>
      </x:c>
      <x:c r="O186" s="15" t="str">
        <x:v>真实月报</x:v>
      </x:c>
    </x:row>
    <x:row r="187">
      <x:c r="A187" s="15" t="str">
        <x:v>2025-06</x:v>
      </x:c>
      <x:c r="B187" s="15" t="str">
        <x:v>Bing</x:v>
      </x:c>
      <x:c r="C187" s="17" t="n">
        <x:v>277</x:v>
      </x:c>
      <x:c r="D187" s="17" t="n">
        <x:v>48</x:v>
      </x:c>
      <x:c r="E187" s="18" t="n">
        <x:v>80.20833333333333</x:v>
      </x:c>
      <x:c r="F187" s="19" t="n">
        <x:v>0.35502958579881655</x:v>
      </x:c>
      <x:c r="G187" s="19" t="n">
        <x:v>0.0650887573964497</x:v>
      </x:c>
      <x:c r="H187" s="19" t="n">
        <x:v>0.5088757396449705</x:v>
      </x:c>
      <x:c r="I187" s="19" t="n">
        <x:v>0.07100591715976332</x:v>
      </x:c>
      <x:c r="J187" s="17"/>
      <x:c r="K187" s="17"/>
      <x:c r="L187" s="17"/>
      <x:c r="M187" s="17"/>
      <x:c r="N187" s="17" t="str">
        <x:f>IF(COUNTA(J187:M187)=0,"",SUM(J187:M187))</x:f>
      </x:c>
      <x:c r="O187" s="15" t="str">
        <x:v>真实月报</x:v>
      </x:c>
    </x:row>
    <x:row r="188">
      <x:c r="A188" s="15" t="str">
        <x:v>2025-06</x:v>
      </x:c>
      <x:c r="B188" s="15" t="str">
        <x:v>Lead Partner</x:v>
      </x:c>
      <x:c r="C188" s="17" t="n">
        <x:v>4348</x:v>
      </x:c>
      <x:c r="D188" s="17" t="n">
        <x:v>524</x:v>
      </x:c>
      <x:c r="E188" s="18" t="n">
        <x:v>184.12213740458014</x:v>
      </x:c>
      <x:c r="F188" s="19" t="n">
        <x:v>0.25801123224314504</x:v>
      </x:c>
      <x:c r="G188" s="19" t="n">
        <x:v>0.11331351172778328</x:v>
      </x:c>
      <x:c r="H188" s="19" t="n">
        <x:v>0.6015857284440039</x:v>
      </x:c>
      <x:c r="I188" s="19" t="n">
        <x:v>0.027089527585067722</x:v>
      </x:c>
      <x:c r="J188" s="17"/>
      <x:c r="K188" s="17"/>
      <x:c r="L188" s="17"/>
      <x:c r="M188" s="17"/>
      <x:c r="N188" s="17" t="str">
        <x:f>IF(COUNTA(J188:M188)=0,"",SUM(J188:M188))</x:f>
      </x:c>
      <x:c r="O188" s="15" t="str">
        <x:v>真实月报</x:v>
      </x:c>
    </x:row>
    <x:row r="189">
      <x:c r="A189" s="15" t="str">
        <x:v>2025-06</x:v>
      </x:c>
      <x:c r="B189" s="15" t="str">
        <x:v>Meta</x:v>
      </x:c>
      <x:c r="C189" s="17" t="n">
        <x:v>201</x:v>
      </x:c>
      <x:c r="D189" s="17" t="n">
        <x:v>18</x:v>
      </x:c>
      <x:c r="E189" s="18"/>
      <x:c r="F189" s="19" t="n">
        <x:v>0.25396825396825395</x:v>
      </x:c>
      <x:c r="G189" s="19" t="n">
        <x:v>0.12698412698412698</x:v>
      </x:c>
      <x:c r="H189" s="19" t="n">
        <x:v>0.5714285714285714</x:v>
      </x:c>
      <x:c r="I189" s="19" t="n">
        <x:v>0.047619047619047616</x:v>
      </x:c>
      <x:c r="J189" s="17"/>
      <x:c r="K189" s="17"/>
      <x:c r="L189" s="17"/>
      <x:c r="M189" s="17"/>
      <x:c r="N189" s="17" t="str">
        <x:f>IF(COUNTA(J189:M189)=0,"",SUM(J189:M189))</x:f>
      </x:c>
      <x:c r="O189" s="15" t="str">
        <x:v>真实月报</x:v>
      </x:c>
    </x:row>
    <x:row r="190">
      <x:c r="A190" s="15" t="str">
        <x:v>2025-06</x:v>
      </x:c>
      <x:c r="B190" s="15" t="str">
        <x:v>Total</x:v>
      </x:c>
      <x:c r="C190" s="17" t="n">
        <x:v>49302</x:v>
      </x:c>
      <x:c r="D190" s="17" t="n">
        <x:v>7172</x:v>
      </x:c>
      <x:c r="E190" s="18" t="n">
        <x:v>68.40560513106526</x:v>
      </x:c>
      <x:c r="F190" s="19"/>
      <x:c r="G190" s="19"/>
      <x:c r="H190" s="19"/>
      <x:c r="I190" s="19"/>
      <x:c r="J190" s="17"/>
      <x:c r="K190" s="17"/>
      <x:c r="L190" s="17"/>
      <x:c r="M190" s="17"/>
      <x:c r="N190" s="17" t="str">
        <x:f>IF(COUNTA(J190:M190)=0,"",SUM(J190:M190))</x:f>
      </x:c>
      <x:c r="O190" s="15" t="str">
        <x:v>真实月报</x:v>
      </x:c>
    </x:row>
    <x:row r="191">
      <x:c r="A191" s="15" t="str">
        <x:v>2025-07</x:v>
      </x:c>
      <x:c r="B191" s="15" t="str">
        <x:v>Tiktok</x:v>
      </x:c>
      <x:c r="C191" s="17" t="n">
        <x:v>12</x:v>
      </x:c>
      <x:c r="D191" s="17" t="n">
        <x:v>1</x:v>
      </x:c>
      <x:c r="E191" s="18"/>
      <x:c r="F191" s="19" t="n">
        <x:v>0.375</x:v>
      </x:c>
      <x:c r="G191" s="19" t="n">
        <x:v>0</x:v>
      </x:c>
      <x:c r="H191" s="19" t="n">
        <x:v>0.625</x:v>
      </x:c>
      <x:c r="I191" s="19" t="n">
        <x:v>0</x:v>
      </x:c>
      <x:c r="J191" s="17"/>
      <x:c r="K191" s="17"/>
      <x:c r="L191" s="17"/>
      <x:c r="M191" s="17"/>
      <x:c r="N191" s="17" t="str">
        <x:f>IF(COUNTA(J191:M191)=0,"",SUM(J191:M191))</x:f>
      </x:c>
      <x:c r="O191" s="15" t="str">
        <x:v>真实月报</x:v>
      </x:c>
    </x:row>
    <x:row r="192">
      <x:c r="A192" s="15" t="str">
        <x:v>2025-07</x:v>
      </x:c>
      <x:c r="B192" s="15" t="str">
        <x:v>GEO</x:v>
      </x:c>
      <x:c r="C192" s="17" t="n">
        <x:v>60</x:v>
      </x:c>
      <x:c r="D192" s="17" t="n">
        <x:v>6</x:v>
      </x:c>
      <x:c r="E192" s="18"/>
      <x:c r="F192" s="19" t="n">
        <x:v>0.15384615384615385</x:v>
      </x:c>
      <x:c r="G192" s="19" t="n">
        <x:v>0.05128205128205128</x:v>
      </x:c>
      <x:c r="H192" s="19" t="n">
        <x:v>0.7435897435897436</x:v>
      </x:c>
      <x:c r="I192" s="19" t="n">
        <x:v>0.05128205128205128</x:v>
      </x:c>
      <x:c r="J192" s="17"/>
      <x:c r="K192" s="17"/>
      <x:c r="L192" s="17"/>
      <x:c r="M192" s="17"/>
      <x:c r="N192" s="17" t="str">
        <x:f>IF(COUNTA(J192:M192)=0,"",SUM(J192:M192))</x:f>
      </x:c>
      <x:c r="O192" s="15" t="str">
        <x:v>真实月报</x:v>
      </x:c>
    </x:row>
    <x:row r="193">
      <x:c r="A193" s="15" t="str">
        <x:v>2025-07</x:v>
      </x:c>
      <x:c r="B193" s="15" t="str">
        <x:v>Organic</x:v>
      </x:c>
      <x:c r="C193" s="17" t="n">
        <x:v>12748</x:v>
      </x:c>
      <x:c r="D193" s="17" t="n">
        <x:v>2508</x:v>
      </x:c>
      <x:c r="E193" s="18"/>
      <x:c r="F193" s="19" t="n">
        <x:v>0.3759779614325069</x:v>
      </x:c>
      <x:c r="G193" s="19" t="n">
        <x:v>0.04815426997245179</x:v>
      </x:c>
      <x:c r="H193" s="19" t="n">
        <x:v>0.4963085399449036</x:v>
      </x:c>
      <x:c r="I193" s="19" t="n">
        <x:v>0.07955922865013774</x:v>
      </x:c>
      <x:c r="J193" s="17"/>
      <x:c r="K193" s="17"/>
      <x:c r="L193" s="17"/>
      <x:c r="M193" s="17"/>
      <x:c r="N193" s="17" t="str">
        <x:f>IF(COUNTA(J193:M193)=0,"",SUM(J193:M193))</x:f>
      </x:c>
      <x:c r="O193" s="15" t="str">
        <x:v>真实月报</x:v>
      </x:c>
    </x:row>
    <x:row r="194">
      <x:c r="A194" s="15" t="str">
        <x:v>2025-07</x:v>
      </x:c>
      <x:c r="B194" s="15" t="str">
        <x:v>Owned Channels</x:v>
      </x:c>
      <x:c r="C194" s="17" t="n">
        <x:v>7018</x:v>
      </x:c>
      <x:c r="D194" s="17" t="n">
        <x:v>1027</x:v>
      </x:c>
      <x:c r="E194" s="18"/>
      <x:c r="F194" s="19" t="n">
        <x:v>0.39411468812877265</x:v>
      </x:c>
      <x:c r="G194" s="19" t="n">
        <x:v>0.0528169014084507</x:v>
      </x:c>
      <x:c r="H194" s="19" t="n">
        <x:v>0.5389839034205232</x:v>
      </x:c>
      <x:c r="I194" s="19" t="n">
        <x:v>0.014084507042253521</x:v>
      </x:c>
      <x:c r="J194" s="17"/>
      <x:c r="K194" s="17"/>
      <x:c r="L194" s="17"/>
      <x:c r="M194" s="17"/>
      <x:c r="N194" s="17" t="str">
        <x:f>IF(COUNTA(J194:M194)=0,"",SUM(J194:M194))</x:f>
      </x:c>
      <x:c r="O194" s="15" t="str">
        <x:v>真实月报</x:v>
      </x:c>
    </x:row>
    <x:row r="195">
      <x:c r="A195" s="15" t="str">
        <x:v>2025-07</x:v>
      </x:c>
      <x:c r="B195" s="15" t="str">
        <x:v>Google</x:v>
      </x:c>
      <x:c r="C195" s="17" t="n">
        <x:v>25013</x:v>
      </x:c>
      <x:c r="D195" s="17" t="n">
        <x:v>3085</x:v>
      </x:c>
      <x:c r="E195" s="18" t="n">
        <x:v>154.98314424635333</x:v>
      </x:c>
      <x:c r="F195" s="19" t="n">
        <x:v>0.2783165367306839</x:v>
      </x:c>
      <x:c r="G195" s="19" t="n">
        <x:v>0.05641123153958294</x:v>
      </x:c>
      <x:c r="H195" s="19" t="n">
        <x:v>0.611079419407999</x:v>
      </x:c>
      <x:c r="I195" s="19" t="n">
        <x:v>0.05419281232173417</x:v>
      </x:c>
      <x:c r="J195" s="17"/>
      <x:c r="K195" s="17"/>
      <x:c r="L195" s="17"/>
      <x:c r="M195" s="17"/>
      <x:c r="N195" s="17" t="str">
        <x:f>IF(COUNTA(J195:M195)=0,"",SUM(J195:M195))</x:f>
      </x:c>
      <x:c r="O195" s="15" t="str">
        <x:v>真实月报</x:v>
      </x:c>
    </x:row>
    <x:row r="196">
      <x:c r="A196" s="15" t="str">
        <x:v>2025-07</x:v>
      </x:c>
      <x:c r="B196" s="15" t="str">
        <x:v>Bing</x:v>
      </x:c>
      <x:c r="C196" s="17" t="n">
        <x:v>250</x:v>
      </x:c>
      <x:c r="D196" s="17" t="n">
        <x:v>41</x:v>
      </x:c>
      <x:c r="E196" s="18" t="n">
        <x:v>54.4390243902439</x:v>
      </x:c>
      <x:c r="F196" s="19" t="n">
        <x:v>0.39751552795031053</x:v>
      </x:c>
      <x:c r="G196" s="19" t="n">
        <x:v>0.043478260869565216</x:v>
      </x:c>
      <x:c r="H196" s="19" t="n">
        <x:v>0.5217391304347826</x:v>
      </x:c>
      <x:c r="I196" s="19" t="n">
        <x:v>0.037267080745341616</x:v>
      </x:c>
      <x:c r="J196" s="17"/>
      <x:c r="K196" s="17"/>
      <x:c r="L196" s="17"/>
      <x:c r="M196" s="17"/>
      <x:c r="N196" s="17" t="str">
        <x:f>IF(COUNTA(J196:M196)=0,"",SUM(J196:M196))</x:f>
      </x:c>
      <x:c r="O196" s="15" t="str">
        <x:v>真实月报</x:v>
      </x:c>
    </x:row>
    <x:row r="197">
      <x:c r="A197" s="15" t="str">
        <x:v>2025-07</x:v>
      </x:c>
      <x:c r="B197" s="15" t="str">
        <x:v>Lead Partner</x:v>
      </x:c>
      <x:c r="C197" s="17" t="n">
        <x:v>3229</x:v>
      </x:c>
      <x:c r="D197" s="17" t="n">
        <x:v>397</x:v>
      </x:c>
      <x:c r="E197" s="18" t="n">
        <x:v>182.37531486146096</x:v>
      </x:c>
      <x:c r="F197" s="19" t="n">
        <x:v>0.2579750346740638</x:v>
      </x:c>
      <x:c r="G197" s="19" t="n">
        <x:v>0.08552935737401757</x:v>
      </x:c>
      <x:c r="H197" s="19" t="n">
        <x:v>0.6282940360610264</x:v>
      </x:c>
      <x:c r="I197" s="19" t="n">
        <x:v>0.02820157189089228</x:v>
      </x:c>
      <x:c r="J197" s="17"/>
      <x:c r="K197" s="17"/>
      <x:c r="L197" s="17"/>
      <x:c r="M197" s="17"/>
      <x:c r="N197" s="17" t="str">
        <x:f>IF(COUNTA(J197:M197)=0,"",SUM(J197:M197))</x:f>
      </x:c>
      <x:c r="O197" s="15" t="str">
        <x:v>真实月报</x:v>
      </x:c>
    </x:row>
    <x:row r="198">
      <x:c r="A198" s="15" t="str">
        <x:v>2025-07</x:v>
      </x:c>
      <x:c r="B198" s="15" t="str">
        <x:v>Meta</x:v>
      </x:c>
      <x:c r="C198" s="17" t="n">
        <x:v>34</x:v>
      </x:c>
      <x:c r="D198" s="17" t="n">
        <x:v>7</x:v>
      </x:c>
      <x:c r="E198" s="18"/>
      <x:c r="F198" s="19" t="n">
        <x:v>0.2608695652173913</x:v>
      </x:c>
      <x:c r="G198" s="19" t="n">
        <x:v>0.17391304347826086</x:v>
      </x:c>
      <x:c r="H198" s="19" t="n">
        <x:v>0.5217391304347826</x:v>
      </x:c>
      <x:c r="I198" s="19" t="n">
        <x:v>0.043478260869565216</x:v>
      </x:c>
      <x:c r="J198" s="17"/>
      <x:c r="K198" s="17"/>
      <x:c r="L198" s="17"/>
      <x:c r="M198" s="17"/>
      <x:c r="N198" s="17" t="str">
        <x:f>IF(COUNTA(J198:M198)=0,"",SUM(J198:M198))</x:f>
      </x:c>
      <x:c r="O198" s="15" t="str">
        <x:v>真实月报</x:v>
      </x:c>
    </x:row>
    <x:row r="199">
      <x:c r="A199" s="15" t="str">
        <x:v>2025-07</x:v>
      </x:c>
      <x:c r="B199" s="15" t="str">
        <x:v>Total</x:v>
      </x:c>
      <x:c r="C199" s="17" t="n">
        <x:v>48364</x:v>
      </x:c>
      <x:c r="D199" s="17" t="n">
        <x:v>7072</x:v>
      </x:c>
      <x:c r="E199" s="18" t="n">
        <x:v>79.15384615384616</x:v>
      </x:c>
      <x:c r="F199" s="19"/>
      <x:c r="G199" s="19"/>
      <x:c r="H199" s="19"/>
      <x:c r="I199" s="19"/>
      <x:c r="J199" s="17"/>
      <x:c r="K199" s="17"/>
      <x:c r="L199" s="17"/>
      <x:c r="M199" s="17"/>
      <x:c r="N199" s="17" t="str">
        <x:f>IF(COUNTA(J199:M199)=0,"",SUM(J199:M199))</x:f>
      </x:c>
      <x:c r="O199" s="15" t="str">
        <x:v>真实月报</x:v>
      </x:c>
    </x:row>
    <x:row r="200">
      <x:c r="A200" s="15" t="str">
        <x:v>2025-08</x:v>
      </x:c>
      <x:c r="B200" s="15" t="str">
        <x:v>Tiktok</x:v>
      </x:c>
      <x:c r="C200" s="17" t="n">
        <x:v>11</x:v>
      </x:c>
      <x:c r="D200" s="17" t="n">
        <x:v>1</x:v>
      </x:c>
      <x:c r="E200" s="18"/>
      <x:c r="F200" s="19" t="n">
        <x:v>0</x:v>
      </x:c>
      <x:c r="G200" s="19" t="n">
        <x:v>0.16666666666666666</x:v>
      </x:c>
      <x:c r="H200" s="19" t="n">
        <x:v>0.6666666666666666</x:v>
      </x:c>
      <x:c r="I200" s="19" t="n">
        <x:v>0.16666666666666666</x:v>
      </x:c>
      <x:c r="J200" s="17"/>
      <x:c r="K200" s="17"/>
      <x:c r="L200" s="17"/>
      <x:c r="M200" s="17"/>
      <x:c r="N200" s="17" t="str">
        <x:f>IF(COUNTA(J200:M200)=0,"",SUM(J200:M200))</x:f>
      </x:c>
      <x:c r="O200" s="15" t="str">
        <x:v>真实月报</x:v>
      </x:c>
    </x:row>
    <x:row r="201">
      <x:c r="A201" s="15" t="str">
        <x:v>2025-08</x:v>
      </x:c>
      <x:c r="B201" s="15" t="str">
        <x:v>GEO</x:v>
      </x:c>
      <x:c r="C201" s="17" t="n">
        <x:v>70</x:v>
      </x:c>
      <x:c r="D201" s="17" t="n">
        <x:v>5</x:v>
      </x:c>
      <x:c r="E201" s="18"/>
      <x:c r="F201" s="19" t="n">
        <x:v>0.1951219512195122</x:v>
      </x:c>
      <x:c r="G201" s="19" t="n">
        <x:v>0.04878048780487805</x:v>
      </x:c>
      <x:c r="H201" s="19" t="n">
        <x:v>0.7073170731707317</x:v>
      </x:c>
      <x:c r="I201" s="19" t="n">
        <x:v>0.04878048780487805</x:v>
      </x:c>
      <x:c r="J201" s="17"/>
      <x:c r="K201" s="17"/>
      <x:c r="L201" s="17"/>
      <x:c r="M201" s="17"/>
      <x:c r="N201" s="17" t="str">
        <x:f>IF(COUNTA(J201:M201)=0,"",SUM(J201:M201))</x:f>
      </x:c>
      <x:c r="O201" s="15" t="str">
        <x:v>真实月报</x:v>
      </x:c>
    </x:row>
    <x:row r="202">
      <x:c r="A202" s="15" t="str">
        <x:v>2025-08</x:v>
      </x:c>
      <x:c r="B202" s="15" t="str">
        <x:v>Organic</x:v>
      </x:c>
      <x:c r="C202" s="17" t="n">
        <x:v>13183</x:v>
      </x:c>
      <x:c r="D202" s="17" t="n">
        <x:v>2382</x:v>
      </x:c>
      <x:c r="E202" s="18"/>
      <x:c r="F202" s="19" t="n">
        <x:v>0.38947605127051943</x:v>
      </x:c>
      <x:c r="G202" s="19" t="n">
        <x:v>0.05857881718012143</x:v>
      </x:c>
      <x:c r="H202" s="19" t="n">
        <x:v>0.46087249831346977</x:v>
      </x:c>
      <x:c r="I202" s="19" t="n">
        <x:v>0.09107263323588936</x:v>
      </x:c>
      <x:c r="J202" s="17"/>
      <x:c r="K202" s="17"/>
      <x:c r="L202" s="17"/>
      <x:c r="M202" s="17"/>
      <x:c r="N202" s="17" t="str">
        <x:f>IF(COUNTA(J202:M202)=0,"",SUM(J202:M202))</x:f>
      </x:c>
      <x:c r="O202" s="15" t="str">
        <x:v>真实月报</x:v>
      </x:c>
    </x:row>
    <x:row r="203">
      <x:c r="A203" s="15" t="str">
        <x:v>2025-08</x:v>
      </x:c>
      <x:c r="B203" s="15" t="str">
        <x:v>Owned Channels</x:v>
      </x:c>
      <x:c r="C203" s="17" t="n">
        <x:v>7677</x:v>
      </x:c>
      <x:c r="D203" s="17" t="n">
        <x:v>849</x:v>
      </x:c>
      <x:c r="E203" s="18"/>
      <x:c r="F203" s="19" t="n">
        <x:v>0.37087480356207436</x:v>
      </x:c>
      <x:c r="G203" s="19" t="n">
        <x:v>0.07281299109481404</x:v>
      </x:c>
      <x:c r="H203" s="19" t="n">
        <x:v>0.5256678889470927</x:v>
      </x:c>
      <x:c r="I203" s="19" t="n">
        <x:v>0.030644316396018858</x:v>
      </x:c>
      <x:c r="J203" s="17"/>
      <x:c r="K203" s="17"/>
      <x:c r="L203" s="17"/>
      <x:c r="M203" s="17"/>
      <x:c r="N203" s="17" t="str">
        <x:f>IF(COUNTA(J203:M203)=0,"",SUM(J203:M203))</x:f>
      </x:c>
      <x:c r="O203" s="15" t="str">
        <x:v>真实月报</x:v>
      </x:c>
    </x:row>
    <x:row r="204">
      <x:c r="A204" s="15" t="str">
        <x:v>2025-08</x:v>
      </x:c>
      <x:c r="B204" s="15" t="str">
        <x:v>Google</x:v>
      </x:c>
      <x:c r="C204" s="17" t="n">
        <x:v>28243</x:v>
      </x:c>
      <x:c r="D204" s="17" t="n">
        <x:v>3082</x:v>
      </x:c>
      <x:c r="E204" s="18" t="n">
        <x:v>172.2391304347826</x:v>
      </x:c>
      <x:c r="F204" s="19" t="n">
        <x:v>0.2840916144249271</x:v>
      </x:c>
      <x:c r="G204" s="19" t="n">
        <x:v>0.0680901247594811</x:v>
      </x:c>
      <x:c r="H204" s="19" t="n">
        <x:v>0.5866799081372975</x:v>
      </x:c>
      <x:c r="I204" s="19" t="n">
        <x:v>0.06113835267829433</x:v>
      </x:c>
      <x:c r="J204" s="17"/>
      <x:c r="K204" s="17"/>
      <x:c r="L204" s="17"/>
      <x:c r="M204" s="17"/>
      <x:c r="N204" s="17" t="str">
        <x:f>IF(COUNTA(J204:M204)=0,"",SUM(J204:M204))</x:f>
      </x:c>
      <x:c r="O204" s="15" t="str">
        <x:v>真实月报</x:v>
      </x:c>
    </x:row>
    <x:row r="205">
      <x:c r="A205" s="15" t="str">
        <x:v>2025-08</x:v>
      </x:c>
      <x:c r="B205" s="15" t="str">
        <x:v>Bing</x:v>
      </x:c>
      <x:c r="C205" s="17" t="n">
        <x:v>297</x:v>
      </x:c>
      <x:c r="D205" s="17" t="n">
        <x:v>40</x:v>
      </x:c>
      <x:c r="E205" s="18" t="n">
        <x:v>155.65</x:v>
      </x:c>
      <x:c r="F205" s="19" t="n">
        <x:v>0.3597560975609756</x:v>
      </x:c>
      <x:c r="G205" s="19" t="n">
        <x:v>0.054878048780487805</x:v>
      </x:c>
      <x:c r="H205" s="19" t="n">
        <x:v>0.49390243902439024</x:v>
      </x:c>
      <x:c r="I205" s="19" t="n">
        <x:v>0.09146341463414634</x:v>
      </x:c>
      <x:c r="J205" s="17"/>
      <x:c r="K205" s="17"/>
      <x:c r="L205" s="17"/>
      <x:c r="M205" s="17"/>
      <x:c r="N205" s="17" t="str">
        <x:f>IF(COUNTA(J205:M205)=0,"",SUM(J205:M205))</x:f>
      </x:c>
      <x:c r="O205" s="15" t="str">
        <x:v>真实月报</x:v>
      </x:c>
    </x:row>
    <x:row r="206">
      <x:c r="A206" s="15" t="str">
        <x:v>2025-08</x:v>
      </x:c>
      <x:c r="B206" s="15" t="str">
        <x:v>Lead Partner</x:v>
      </x:c>
      <x:c r="C206" s="17" t="n">
        <x:v>3734</x:v>
      </x:c>
      <x:c r="D206" s="17" t="n">
        <x:v>390</x:v>
      </x:c>
      <x:c r="E206" s="18" t="n">
        <x:v>158.2871794871795</x:v>
      </x:c>
      <x:c r="F206" s="19" t="n">
        <x:v>0.27511463109629014</x:v>
      </x:c>
      <x:c r="G206" s="19" t="n">
        <x:v>0.11046269278866194</x:v>
      </x:c>
      <x:c r="H206" s="19" t="n">
        <x:v>0.5769070446019174</x:v>
      </x:c>
      <x:c r="I206" s="19" t="n">
        <x:v>0.03751563151313047</x:v>
      </x:c>
      <x:c r="J206" s="17"/>
      <x:c r="K206" s="17"/>
      <x:c r="L206" s="17"/>
      <x:c r="M206" s="17"/>
      <x:c r="N206" s="17" t="str">
        <x:f>IF(COUNTA(J206:M206)=0,"",SUM(J206:M206))</x:f>
      </x:c>
      <x:c r="O206" s="15" t="str">
        <x:v>真实月报</x:v>
      </x:c>
    </x:row>
    <x:row r="207">
      <x:c r="A207" s="15" t="str">
        <x:v>2025-08</x:v>
      </x:c>
      <x:c r="B207" s="15" t="str">
        <x:v>Meta</x:v>
      </x:c>
      <x:c r="C207" s="17" t="n">
        <x:v>10</x:v>
      </x:c>
      <x:c r="D207" s="17" t="n">
        <x:v>1</x:v>
      </x:c>
      <x:c r="E207" s="18"/>
      <x:c r="F207" s="19" t="n">
        <x:v>0.3333333333333333</x:v>
      </x:c>
      <x:c r="G207" s="19" t="n">
        <x:v>0.16666666666666666</x:v>
      </x:c>
      <x:c r="H207" s="19" t="n">
        <x:v>0.5</x:v>
      </x:c>
      <x:c r="I207" s="19" t="n">
        <x:v>0</x:v>
      </x:c>
      <x:c r="J207" s="17"/>
      <x:c r="K207" s="17"/>
      <x:c r="L207" s="17"/>
      <x:c r="M207" s="17"/>
      <x:c r="N207" s="17" t="str">
        <x:f>IF(COUNTA(J207:M207)=0,"",SUM(J207:M207))</x:f>
      </x:c>
      <x:c r="O207" s="15" t="str">
        <x:v>真实月报</x:v>
      </x:c>
    </x:row>
    <x:row r="208">
      <x:c r="A208" s="15" t="str">
        <x:v>2025-08</x:v>
      </x:c>
      <x:c r="B208" s="15" t="str">
        <x:v>Total</x:v>
      </x:c>
      <x:c r="C208" s="17" t="n">
        <x:v>53225</x:v>
      </x:c>
      <x:c r="D208" s="17" t="n">
        <x:v>6750</x:v>
      </x:c>
      <x:c r="E208" s="18" t="n">
        <x:v>89.33822222222223</x:v>
      </x:c>
      <x:c r="F208" s="19"/>
      <x:c r="G208" s="19"/>
      <x:c r="H208" s="19"/>
      <x:c r="I208" s="19"/>
      <x:c r="J208" s="17"/>
      <x:c r="K208" s="17"/>
      <x:c r="L208" s="17"/>
      <x:c r="M208" s="17"/>
      <x:c r="N208" s="17" t="str">
        <x:f>IF(COUNTA(J208:M208)=0,"",SUM(J208:M208))</x:f>
      </x:c>
      <x:c r="O208" s="15" t="str">
        <x:v>真实月报</x:v>
      </x:c>
    </x:row>
    <x:row r="209">
      <x:c r="A209" s="15" t="str">
        <x:v>2025-09</x:v>
      </x:c>
      <x:c r="B209" s="15" t="str">
        <x:v>Tiktok</x:v>
      </x:c>
      <x:c r="C209" s="17" t="n">
        <x:v>12</x:v>
      </x:c>
      <x:c r="D209" s="17"/>
      <x:c r="E209" s="18"/>
      <x:c r="F209" s="19" t="n">
        <x:v>0</x:v>
      </x:c>
      <x:c r="G209" s="19" t="n">
        <x:v>0.14285714285714285</x:v>
      </x:c>
      <x:c r="H209" s="19" t="n">
        <x:v>0.7142857142857143</x:v>
      </x:c>
      <x:c r="I209" s="19" t="n">
        <x:v>0.14285714285714285</x:v>
      </x:c>
      <x:c r="J209" s="17"/>
      <x:c r="K209" s="17"/>
      <x:c r="L209" s="17"/>
      <x:c r="M209" s="17"/>
      <x:c r="N209" s="17" t="str">
        <x:f>IF(COUNTA(J209:M209)=0,"",SUM(J209:M209))</x:f>
      </x:c>
      <x:c r="O209" s="15" t="str">
        <x:v>真实月报</x:v>
      </x:c>
    </x:row>
    <x:row r="210">
      <x:c r="A210" s="15" t="str">
        <x:v>2025-09</x:v>
      </x:c>
      <x:c r="B210" s="15" t="str">
        <x:v>GEO</x:v>
      </x:c>
      <x:c r="C210" s="17" t="n">
        <x:v>108</x:v>
      </x:c>
      <x:c r="D210" s="17" t="n">
        <x:v>8</x:v>
      </x:c>
      <x:c r="E210" s="18"/>
      <x:c r="F210" s="19" t="n">
        <x:v>0.22727272727272727</x:v>
      </x:c>
      <x:c r="G210" s="19" t="n">
        <x:v>0.09090909090909091</x:v>
      </x:c>
      <x:c r="H210" s="19" t="n">
        <x:v>0.6666666666666666</x:v>
      </x:c>
      <x:c r="I210" s="19" t="n">
        <x:v>0.015151515151515152</x:v>
      </x:c>
      <x:c r="J210" s="17"/>
      <x:c r="K210" s="17"/>
      <x:c r="L210" s="17"/>
      <x:c r="M210" s="17"/>
      <x:c r="N210" s="17" t="str">
        <x:f>IF(COUNTA(J210:M210)=0,"",SUM(J210:M210))</x:f>
      </x:c>
      <x:c r="O210" s="15" t="str">
        <x:v>真实月报</x:v>
      </x:c>
    </x:row>
    <x:row r="211">
      <x:c r="A211" s="15" t="str">
        <x:v>2025-09</x:v>
      </x:c>
      <x:c r="B211" s="15" t="str">
        <x:v>Organic</x:v>
      </x:c>
      <x:c r="C211" s="17" t="n">
        <x:v>12935</x:v>
      </x:c>
      <x:c r="D211" s="17" t="n">
        <x:v>2347</x:v>
      </x:c>
      <x:c r="E211" s="18"/>
      <x:c r="F211" s="19" t="n">
        <x:v>0.40025310630464794</x:v>
      </x:c>
      <x:c r="G211" s="19" t="n">
        <x:v>0.08191440404970088</x:v>
      </x:c>
      <x:c r="H211" s="19" t="n">
        <x:v>0.4325816843074091</x:v>
      </x:c>
      <x:c r="I211" s="19" t="n">
        <x:v>0.08525080533824206</x:v>
      </x:c>
      <x:c r="J211" s="17"/>
      <x:c r="K211" s="17"/>
      <x:c r="L211" s="17"/>
      <x:c r="M211" s="17"/>
      <x:c r="N211" s="17" t="str">
        <x:f>IF(COUNTA(J211:M211)=0,"",SUM(J211:M211))</x:f>
      </x:c>
      <x:c r="O211" s="15" t="str">
        <x:v>真实月报</x:v>
      </x:c>
    </x:row>
    <x:row r="212">
      <x:c r="A212" s="15" t="str">
        <x:v>2025-09</x:v>
      </x:c>
      <x:c r="B212" s="15" t="str">
        <x:v>Owned Channels</x:v>
      </x:c>
      <x:c r="C212" s="17" t="n">
        <x:v>5491</x:v>
      </x:c>
      <x:c r="D212" s="17" t="n">
        <x:v>616</x:v>
      </x:c>
      <x:c r="E212" s="18"/>
      <x:c r="F212" s="19" t="n">
        <x:v>0.3789785344189489</x:v>
      </x:c>
      <x:c r="G212" s="19" t="n">
        <x:v>0.08216136195410807</x:v>
      </x:c>
      <x:c r="H212" s="19" t="n">
        <x:v>0.5170244263508512</x:v>
      </x:c>
      <x:c r="I212" s="19" t="n">
        <x:v>0.021835677276091783</x:v>
      </x:c>
      <x:c r="J212" s="17"/>
      <x:c r="K212" s="17"/>
      <x:c r="L212" s="17"/>
      <x:c r="M212" s="17"/>
      <x:c r="N212" s="17" t="str">
        <x:f>IF(COUNTA(J212:M212)=0,"",SUM(J212:M212))</x:f>
      </x:c>
      <x:c r="O212" s="15" t="str">
        <x:v>真实月报</x:v>
      </x:c>
    </x:row>
    <x:row r="213">
      <x:c r="A213" s="15" t="str">
        <x:v>2025-09</x:v>
      </x:c>
      <x:c r="B213" s="15" t="str">
        <x:v>Google</x:v>
      </x:c>
      <x:c r="C213" s="17" t="n">
        <x:v>26692</x:v>
      </x:c>
      <x:c r="D213" s="17" t="n">
        <x:v>2827</x:v>
      </x:c>
      <x:c r="E213" s="18" t="n">
        <x:v>200.07003891050584</x:v>
      </x:c>
      <x:c r="F213" s="19" t="n">
        <x:v>0.28186631369953674</x:v>
      </x:c>
      <x:c r="G213" s="19" t="n">
        <x:v>0.0886168100595632</x:v>
      </x:c>
      <x:c r="H213" s="19" t="n">
        <x:v>0.5645929847782926</x:v>
      </x:c>
      <x:c r="I213" s="19" t="n">
        <x:v>0.06492389146260755</x:v>
      </x:c>
      <x:c r="J213" s="17"/>
      <x:c r="K213" s="17"/>
      <x:c r="L213" s="17"/>
      <x:c r="M213" s="17"/>
      <x:c r="N213" s="17" t="str">
        <x:f>IF(COUNTA(J213:M213)=0,"",SUM(J213:M213))</x:f>
      </x:c>
      <x:c r="O213" s="15" t="str">
        <x:v>真实月报</x:v>
      </x:c>
    </x:row>
    <x:row r="214">
      <x:c r="A214" s="15" t="str">
        <x:v>2025-09</x:v>
      </x:c>
      <x:c r="B214" s="15" t="str">
        <x:v>Bing</x:v>
      </x:c>
      <x:c r="C214" s="17" t="n">
        <x:v>245</x:v>
      </x:c>
      <x:c r="D214" s="17" t="n">
        <x:v>43</x:v>
      </x:c>
      <x:c r="E214" s="18" t="n">
        <x:v>146.06976744186048</x:v>
      </x:c>
      <x:c r="F214" s="19" t="n">
        <x:v>0.3618421052631579</x:v>
      </x:c>
      <x:c r="G214" s="19" t="n">
        <x:v>0.13815789473684212</x:v>
      </x:c>
      <x:c r="H214" s="19" t="n">
        <x:v>0.4407894736842105</x:v>
      </x:c>
      <x:c r="I214" s="19" t="n">
        <x:v>0.05921052631578947</x:v>
      </x:c>
      <x:c r="J214" s="17"/>
      <x:c r="K214" s="17"/>
      <x:c r="L214" s="17"/>
      <x:c r="M214" s="17"/>
      <x:c r="N214" s="17" t="str">
        <x:f>IF(COUNTA(J214:M214)=0,"",SUM(J214:M214))</x:f>
      </x:c>
      <x:c r="O214" s="15" t="str">
        <x:v>真实月报</x:v>
      </x:c>
    </x:row>
    <x:row r="215">
      <x:c r="A215" s="15" t="str">
        <x:v>2025-09</x:v>
      </x:c>
      <x:c r="B215" s="15" t="str">
        <x:v>Lead Partner</x:v>
      </x:c>
      <x:c r="C215" s="17" t="n">
        <x:v>4514</x:v>
      </x:c>
      <x:c r="D215" s="17" t="n">
        <x:v>534</x:v>
      </x:c>
      <x:c r="E215" s="18" t="n">
        <x:v>177.9176029962547</x:v>
      </x:c>
      <x:c r="F215" s="19" t="n">
        <x:v>0.30393806799057554</x:v>
      </x:c>
      <x:c r="G215" s="19" t="n">
        <x:v>0.143049478290138</x:v>
      </x:c>
      <x:c r="H215" s="19" t="n">
        <x:v>0.5183439919219118</x:v>
      </x:c>
      <x:c r="I215" s="19" t="n">
        <x:v>0.03466846179737462</x:v>
      </x:c>
      <x:c r="J215" s="17"/>
      <x:c r="K215" s="17"/>
      <x:c r="L215" s="17"/>
      <x:c r="M215" s="17"/>
      <x:c r="N215" s="17" t="str">
        <x:f>IF(COUNTA(J215:M215)=0,"",SUM(J215:M215))</x:f>
      </x:c>
      <x:c r="O215" s="15" t="str">
        <x:v>真实月报</x:v>
      </x:c>
    </x:row>
    <x:row r="216">
      <x:c r="A216" s="15" t="str">
        <x:v>2025-09</x:v>
      </x:c>
      <x:c r="B216" s="15" t="str">
        <x:v>Meta</x:v>
      </x:c>
      <x:c r="C216" s="17" t="n">
        <x:v>1</x:v>
      </x:c>
      <x:c r="D216" s="17"/>
      <x:c r="E216" s="18"/>
      <x:c r="F216" s="19" t="n">
        <x:v>0</x:v>
      </x:c>
      <x:c r="G216" s="19" t="n">
        <x:v>0</x:v>
      </x:c>
      <x:c r="H216" s="19" t="n">
        <x:v>1</x:v>
      </x:c>
      <x:c r="I216" s="19" t="n">
        <x:v>0</x:v>
      </x:c>
      <x:c r="J216" s="17"/>
      <x:c r="K216" s="17"/>
      <x:c r="L216" s="17"/>
      <x:c r="M216" s="17"/>
      <x:c r="N216" s="17" t="str">
        <x:f>IF(COUNTA(J216:M216)=0,"",SUM(J216:M216))</x:f>
      </x:c>
      <x:c r="O216" s="15" t="str">
        <x:v>真实月报</x:v>
      </x:c>
    </x:row>
    <x:row r="217">
      <x:c r="A217" s="15" t="str">
        <x:v>2025-09</x:v>
      </x:c>
      <x:c r="B217" s="15" t="str">
        <x:v>Total</x:v>
      </x:c>
      <x:c r="C217" s="17" t="n">
        <x:v>49998</x:v>
      </x:c>
      <x:c r="D217" s="17" t="n">
        <x:v>6375</x:v>
      </x:c>
      <x:c r="E217" s="18" t="n">
        <x:v>105.68972549019608</x:v>
      </x:c>
      <x:c r="F217" s="19"/>
      <x:c r="G217" s="19"/>
      <x:c r="H217" s="19"/>
      <x:c r="I217" s="19"/>
      <x:c r="J217" s="17"/>
      <x:c r="K217" s="17"/>
      <x:c r="L217" s="17"/>
      <x:c r="M217" s="17"/>
      <x:c r="N217" s="17" t="str">
        <x:f>IF(COUNTA(J217:M217)=0,"",SUM(J217:M217))</x:f>
      </x:c>
      <x:c r="O217" s="15" t="str">
        <x:v>真实月报</x:v>
      </x:c>
    </x:row>
    <x:row r="218">
      <x:c r="A218" s="15" t="str">
        <x:v>2025-10</x:v>
      </x:c>
      <x:c r="B218" s="15" t="str">
        <x:v>Tiktok</x:v>
      </x:c>
      <x:c r="C218" s="17" t="n">
        <x:v>6</x:v>
      </x:c>
      <x:c r="D218" s="17"/>
      <x:c r="E218" s="18"/>
      <x:c r="F218" s="19" t="n">
        <x:v>0</x:v>
      </x:c>
      <x:c r="G218" s="19" t="n">
        <x:v>0</x:v>
      </x:c>
      <x:c r="H218" s="19" t="n">
        <x:v>0.6666666666666666</x:v>
      </x:c>
      <x:c r="I218" s="19" t="n">
        <x:v>0.3333333333333333</x:v>
      </x:c>
      <x:c r="J218" s="17"/>
      <x:c r="K218" s="17"/>
      <x:c r="L218" s="17"/>
      <x:c r="M218" s="17"/>
      <x:c r="N218" s="17" t="str">
        <x:f>IF(COUNTA(J218:M218)=0,"",SUM(J218:M218))</x:f>
      </x:c>
      <x:c r="O218" s="15" t="str">
        <x:v>真实月报</x:v>
      </x:c>
    </x:row>
    <x:row r="219">
      <x:c r="A219" s="15" t="str">
        <x:v>2025-10</x:v>
      </x:c>
      <x:c r="B219" s="15" t="str">
        <x:v>GEO</x:v>
      </x:c>
      <x:c r="C219" s="17" t="n">
        <x:v>148</x:v>
      </x:c>
      <x:c r="D219" s="17" t="n">
        <x:v>13</x:v>
      </x:c>
      <x:c r="E219" s="18"/>
      <x:c r="F219" s="19" t="n">
        <x:v>0.24752475247524752</x:v>
      </x:c>
      <x:c r="G219" s="19" t="n">
        <x:v>0.0297029702970297</x:v>
      </x:c>
      <x:c r="H219" s="19" t="n">
        <x:v>0.7128712871287128</x:v>
      </x:c>
      <x:c r="I219" s="19" t="n">
        <x:v>0.009900990099009901</x:v>
      </x:c>
      <x:c r="J219" s="17"/>
      <x:c r="K219" s="17"/>
      <x:c r="L219" s="17"/>
      <x:c r="M219" s="17"/>
      <x:c r="N219" s="17" t="str">
        <x:f>IF(COUNTA(J219:M219)=0,"",SUM(J219:M219))</x:f>
      </x:c>
      <x:c r="O219" s="15" t="str">
        <x:v>真实月报</x:v>
      </x:c>
    </x:row>
    <x:row r="220">
      <x:c r="A220" s="15" t="str">
        <x:v>2025-10</x:v>
      </x:c>
      <x:c r="B220" s="15" t="str">
        <x:v>Organic</x:v>
      </x:c>
      <x:c r="C220" s="17" t="n">
        <x:v>13973</x:v>
      </x:c>
      <x:c r="D220" s="17" t="n">
        <x:v>2795</x:v>
      </x:c>
      <x:c r="E220" s="18"/>
      <x:c r="F220" s="19" t="n">
        <x:v>0.3978898986733521</x:v>
      </x:c>
      <x:c r="G220" s="19" t="n">
        <x:v>0.07594275566698004</x:v>
      </x:c>
      <x:c r="H220" s="19" t="n">
        <x:v>0.4484487621435287</x:v>
      </x:c>
      <x:c r="I220" s="19" t="n">
        <x:v>0.07771858351613914</x:v>
      </x:c>
      <x:c r="J220" s="17"/>
      <x:c r="K220" s="17"/>
      <x:c r="L220" s="17"/>
      <x:c r="M220" s="17"/>
      <x:c r="N220" s="17" t="str">
        <x:f>IF(COUNTA(J220:M220)=0,"",SUM(J220:M220))</x:f>
      </x:c>
      <x:c r="O220" s="15" t="str">
        <x:v>真实月报</x:v>
      </x:c>
    </x:row>
    <x:row r="221">
      <x:c r="A221" s="15" t="str">
        <x:v>2025-10</x:v>
      </x:c>
      <x:c r="B221" s="15" t="str">
        <x:v>Owned Channels</x:v>
      </x:c>
      <x:c r="C221" s="17" t="n">
        <x:v>4184</x:v>
      </x:c>
      <x:c r="D221" s="17" t="n">
        <x:v>496</x:v>
      </x:c>
      <x:c r="E221" s="18"/>
      <x:c r="F221" s="19" t="n">
        <x:v>0.35774899508709246</x:v>
      </x:c>
      <x:c r="G221" s="19" t="n">
        <x:v>0.09557838320678874</x:v>
      </x:c>
      <x:c r="H221" s="19" t="n">
        <x:v>0.5359535506922734</x:v>
      </x:c>
      <x:c r="I221" s="19" t="n">
        <x:v>0.010719071013845467</x:v>
      </x:c>
      <x:c r="J221" s="17"/>
      <x:c r="K221" s="17"/>
      <x:c r="L221" s="17"/>
      <x:c r="M221" s="17"/>
      <x:c r="N221" s="17" t="str">
        <x:f>IF(COUNTA(J221:M221)=0,"",SUM(J221:M221))</x:f>
      </x:c>
      <x:c r="O221" s="15" t="str">
        <x:v>真实月报</x:v>
      </x:c>
    </x:row>
    <x:row r="222">
      <x:c r="A222" s="15" t="str">
        <x:v>2025-10</x:v>
      </x:c>
      <x:c r="B222" s="15" t="str">
        <x:v>Google</x:v>
      </x:c>
      <x:c r="C222" s="17" t="n">
        <x:v>28187</x:v>
      </x:c>
      <x:c r="D222" s="17" t="n">
        <x:v>3303</x:v>
      </x:c>
      <x:c r="E222" s="18" t="n">
        <x:v>171.0293672419013</x:v>
      </x:c>
      <x:c r="F222" s="19" t="n">
        <x:v>0.2755287009063444</x:v>
      </x:c>
      <x:c r="G222" s="19" t="n">
        <x:v>0.07474320241691843</x:v>
      </x:c>
      <x:c r="H222" s="19" t="n">
        <x:v>0.5980060422960725</x:v>
      </x:c>
      <x:c r="I222" s="19" t="n">
        <x:v>0.051722054380664656</x:v>
      </x:c>
      <x:c r="J222" s="17"/>
      <x:c r="K222" s="17"/>
      <x:c r="L222" s="17"/>
      <x:c r="M222" s="17"/>
      <x:c r="N222" s="17" t="str">
        <x:f>IF(COUNTA(J222:M222)=0,"",SUM(J222:M222))</x:f>
      </x:c>
      <x:c r="O222" s="15" t="str">
        <x:v>真实月报</x:v>
      </x:c>
    </x:row>
    <x:row r="223">
      <x:c r="A223" s="15" t="str">
        <x:v>2025-10</x:v>
      </x:c>
      <x:c r="B223" s="15" t="str">
        <x:v>Bing</x:v>
      </x:c>
      <x:c r="C223" s="17" t="n">
        <x:v>285</x:v>
      </x:c>
      <x:c r="D223" s="17" t="n">
        <x:v>48</x:v>
      </x:c>
      <x:c r="E223" s="18" t="n">
        <x:v>125.5625</x:v>
      </x:c>
      <x:c r="F223" s="19" t="n">
        <x:v>0.3516483516483517</x:v>
      </x:c>
      <x:c r="G223" s="19" t="n">
        <x:v>0.08241758241758242</x:v>
      </x:c>
      <x:c r="H223" s="19" t="n">
        <x:v>0.521978021978022</x:v>
      </x:c>
      <x:c r="I223" s="19" t="n">
        <x:v>0.04395604395604396</x:v>
      </x:c>
      <x:c r="J223" s="17"/>
      <x:c r="K223" s="17"/>
      <x:c r="L223" s="17"/>
      <x:c r="M223" s="17"/>
      <x:c r="N223" s="17" t="str">
        <x:f>IF(COUNTA(J223:M223)=0,"",SUM(J223:M223))</x:f>
      </x:c>
      <x:c r="O223" s="15" t="str">
        <x:v>真实月报</x:v>
      </x:c>
    </x:row>
    <x:row r="224">
      <x:c r="A224" s="15" t="str">
        <x:v>2025-10</x:v>
      </x:c>
      <x:c r="B224" s="15" t="str">
        <x:v>Lead Partner</x:v>
      </x:c>
      <x:c r="C224" s="17" t="n">
        <x:v>5018</x:v>
      </x:c>
      <x:c r="D224" s="17" t="n">
        <x:v>655</x:v>
      </x:c>
      <x:c r="E224" s="18" t="n">
        <x:v>115.74578866768759</x:v>
      </x:c>
      <x:c r="F224" s="19" t="n">
        <x:v>0.29620710415412405</x:v>
      </x:c>
      <x:c r="G224" s="19" t="n">
        <x:v>0.1267308850090307</x:v>
      </x:c>
      <x:c r="H224" s="19" t="n">
        <x:v>0.555689343768814</x:v>
      </x:c>
      <x:c r="I224" s="19" t="n">
        <x:v>0.021372667068031308</x:v>
      </x:c>
      <x:c r="J224" s="17"/>
      <x:c r="K224" s="17"/>
      <x:c r="L224" s="17"/>
      <x:c r="M224" s="17"/>
      <x:c r="N224" s="17" t="str">
        <x:f>IF(COUNTA(J224:M224)=0,"",SUM(J224:M224))</x:f>
      </x:c>
      <x:c r="O224" s="15" t="str">
        <x:v>真实月报</x:v>
      </x:c>
    </x:row>
    <x:row r="225">
      <x:c r="A225" s="15" t="str">
        <x:v>2025-10</x:v>
      </x:c>
      <x:c r="B225" s="15" t="str">
        <x:v>Meta</x:v>
      </x:c>
      <x:c r="C225" s="17" t="n">
        <x:v>3</x:v>
      </x:c>
      <x:c r="D225" s="17" t="n">
        <x:v>1</x:v>
      </x:c>
      <x:c r="E225" s="18"/>
      <x:c r="F225" s="19" t="n">
        <x:v>0.6666666666666666</x:v>
      </x:c>
      <x:c r="G225" s="19" t="n">
        <x:v>0</x:v>
      </x:c>
      <x:c r="H225" s="19" t="n">
        <x:v>0.3333333333333333</x:v>
      </x:c>
      <x:c r="I225" s="19" t="n">
        <x:v>0</x:v>
      </x:c>
      <x:c r="J225" s="17"/>
      <x:c r="K225" s="17"/>
      <x:c r="L225" s="17"/>
      <x:c r="M225" s="17"/>
      <x:c r="N225" s="17" t="str">
        <x:f>IF(COUNTA(J225:M225)=0,"",SUM(J225:M225))</x:f>
      </x:c>
      <x:c r="O225" s="15" t="str">
        <x:v>真实月报</x:v>
      </x:c>
    </x:row>
    <x:row r="226">
      <x:c r="A226" s="15" t="str">
        <x:v>2025-10</x:v>
      </x:c>
      <x:c r="B226" s="15" t="str">
        <x:v>Total</x:v>
      </x:c>
      <x:c r="C226" s="17" t="n">
        <x:v>51804</x:v>
      </x:c>
      <x:c r="D226" s="17" t="n">
        <x:v>7311</x:v>
      </x:c>
      <x:c r="E226" s="18" t="n">
        <x:v>89.94091095609356</x:v>
      </x:c>
      <x:c r="F226" s="19"/>
      <x:c r="G226" s="19"/>
      <x:c r="H226" s="19"/>
      <x:c r="I226" s="19"/>
      <x:c r="J226" s="17"/>
      <x:c r="K226" s="17"/>
      <x:c r="L226" s="17"/>
      <x:c r="M226" s="17"/>
      <x:c r="N226" s="17" t="str">
        <x:f>IF(COUNTA(J226:M226)=0,"",SUM(J226:M226))</x:f>
      </x:c>
      <x:c r="O226" s="15" t="str">
        <x:v>真实月报</x:v>
      </x:c>
    </x:row>
    <x:row r="227">
      <x:c r="A227" s="15" t="str">
        <x:v>2025-11</x:v>
      </x:c>
      <x:c r="B227" s="15" t="str">
        <x:v>Tiktok</x:v>
      </x:c>
      <x:c r="C227" s="17" t="n">
        <x:v>8</x:v>
      </x:c>
      <x:c r="D227" s="17" t="n">
        <x:v>1</x:v>
      </x:c>
      <x:c r="E227" s="18"/>
      <x:c r="F227" s="19" t="n">
        <x:v>0.16666666666666666</x:v>
      </x:c>
      <x:c r="G227" s="19" t="n">
        <x:v>0.16666666666666666</x:v>
      </x:c>
      <x:c r="H227" s="19" t="n">
        <x:v>0.6666666666666666</x:v>
      </x:c>
      <x:c r="I227" s="19" t="n">
        <x:v>0</x:v>
      </x:c>
      <x:c r="J227" s="17"/>
      <x:c r="K227" s="17"/>
      <x:c r="L227" s="17"/>
      <x:c r="M227" s="17"/>
      <x:c r="N227" s="17" t="str">
        <x:f>IF(COUNTA(J227:M227)=0,"",SUM(J227:M227))</x:f>
      </x:c>
      <x:c r="O227" s="15" t="str">
        <x:v>真实月报</x:v>
      </x:c>
    </x:row>
    <x:row r="228">
      <x:c r="A228" s="15" t="str">
        <x:v>2025-11</x:v>
      </x:c>
      <x:c r="B228" s="15" t="str">
        <x:v>GEO</x:v>
      </x:c>
      <x:c r="C228" s="17" t="n">
        <x:v>167</x:v>
      </x:c>
      <x:c r="D228" s="17" t="n">
        <x:v>16</x:v>
      </x:c>
      <x:c r="E228" s="18"/>
      <x:c r="F228" s="19" t="n">
        <x:v>0.22</x:v>
      </x:c>
      <x:c r="G228" s="19" t="n">
        <x:v>0.05</x:v>
      </x:c>
      <x:c r="H228" s="19" t="n">
        <x:v>0.72</x:v>
      </x:c>
      <x:c r="I228" s="19" t="n">
        <x:v>0.01</x:v>
      </x:c>
      <x:c r="J228" s="17"/>
      <x:c r="K228" s="17"/>
      <x:c r="L228" s="17"/>
      <x:c r="M228" s="17"/>
      <x:c r="N228" s="17" t="str">
        <x:f>IF(COUNTA(J228:M228)=0,"",SUM(J228:M228))</x:f>
      </x:c>
      <x:c r="O228" s="15" t="str">
        <x:v>真实月报</x:v>
      </x:c>
    </x:row>
    <x:row r="229">
      <x:c r="A229" s="15" t="str">
        <x:v>2025-11</x:v>
      </x:c>
      <x:c r="B229" s="15" t="str">
        <x:v>Organic</x:v>
      </x:c>
      <x:c r="C229" s="17" t="n">
        <x:v>12728</x:v>
      </x:c>
      <x:c r="D229" s="17" t="n">
        <x:v>2571</x:v>
      </x:c>
      <x:c r="E229" s="18"/>
      <x:c r="F229" s="19" t="n">
        <x:v>0.3997580556472011</x:v>
      </x:c>
      <x:c r="G229" s="19" t="n">
        <x:v>0.07192345760475091</x:v>
      </x:c>
      <x:c r="H229" s="19" t="n">
        <x:v>0.44946662267678433</x:v>
      </x:c>
      <x:c r="I229" s="19" t="n">
        <x:v>0.07885186407126361</x:v>
      </x:c>
      <x:c r="J229" s="17"/>
      <x:c r="K229" s="17"/>
      <x:c r="L229" s="17"/>
      <x:c r="M229" s="17"/>
      <x:c r="N229" s="17" t="str">
        <x:f>IF(COUNTA(J229:M229)=0,"",SUM(J229:M229))</x:f>
      </x:c>
      <x:c r="O229" s="15" t="str">
        <x:v>真实月报</x:v>
      </x:c>
    </x:row>
    <x:row r="230">
      <x:c r="A230" s="15" t="str">
        <x:v>2025-11</x:v>
      </x:c>
      <x:c r="B230" s="15" t="str">
        <x:v>Owned Channels</x:v>
      </x:c>
      <x:c r="C230" s="17" t="n">
        <x:v>3898</x:v>
      </x:c>
      <x:c r="D230" s="17" t="n">
        <x:v>683</x:v>
      </x:c>
      <x:c r="E230" s="18"/>
      <x:c r="F230" s="19" t="n">
        <x:v>0.469050894085282</x:v>
      </x:c>
      <x:c r="G230" s="19" t="n">
        <x:v>0.08436497019715727</x:v>
      </x:c>
      <x:c r="H230" s="19" t="n">
        <x:v>0.43649701971572674</x:v>
      </x:c>
      <x:c r="I230" s="19" t="n">
        <x:v>0.010087116001834021</x:v>
      </x:c>
      <x:c r="J230" s="17"/>
      <x:c r="K230" s="17"/>
      <x:c r="L230" s="17"/>
      <x:c r="M230" s="17"/>
      <x:c r="N230" s="17" t="str">
        <x:f>IF(COUNTA(J230:M230)=0,"",SUM(J230:M230))</x:f>
      </x:c>
      <x:c r="O230" s="15" t="str">
        <x:v>真实月报</x:v>
      </x:c>
    </x:row>
    <x:row r="231">
      <x:c r="A231" s="15" t="str">
        <x:v>2025-11</x:v>
      </x:c>
      <x:c r="B231" s="15" t="str">
        <x:v>Google</x:v>
      </x:c>
      <x:c r="C231" s="17" t="n">
        <x:v>25711</x:v>
      </x:c>
      <x:c r="D231" s="17" t="n">
        <x:v>3033</x:v>
      </x:c>
      <x:c r="E231" s="18" t="n">
        <x:v>170.06264424662052</x:v>
      </x:c>
      <x:c r="F231" s="19" t="n">
        <x:v>0.27369930890598515</x:v>
      </x:c>
      <x:c r="G231" s="19" t="n">
        <x:v>0.08456122049810927</x:v>
      </x:c>
      <x:c r="H231" s="19" t="n">
        <x:v>0.5846916155952536</x:v>
      </x:c>
      <x:c r="I231" s="19" t="n">
        <x:v>0.05704785500065197</x:v>
      </x:c>
      <x:c r="J231" s="17"/>
      <x:c r="K231" s="17"/>
      <x:c r="L231" s="17"/>
      <x:c r="M231" s="17"/>
      <x:c r="N231" s="17" t="str">
        <x:f>IF(COUNTA(J231:M231)=0,"",SUM(J231:M231))</x:f>
      </x:c>
      <x:c r="O231" s="15" t="str">
        <x:v>真实月报</x:v>
      </x:c>
    </x:row>
    <x:row r="232">
      <x:c r="A232" s="15" t="str">
        <x:v>2025-11</x:v>
      </x:c>
      <x:c r="B232" s="15" t="str">
        <x:v>Bing</x:v>
      </x:c>
      <x:c r="C232" s="17" t="n">
        <x:v>275</x:v>
      </x:c>
      <x:c r="D232" s="17" t="n">
        <x:v>46</x:v>
      </x:c>
      <x:c r="E232" s="18" t="n">
        <x:v>140.7391304347826</x:v>
      </x:c>
      <x:c r="F232" s="19" t="n">
        <x:v>0.4491017964071856</x:v>
      </x:c>
      <x:c r="G232" s="19" t="n">
        <x:v>0.08383233532934131</x:v>
      </x:c>
      <x:c r="H232" s="19" t="n">
        <x:v>0.39520958083832336</x:v>
      </x:c>
      <x:c r="I232" s="19" t="n">
        <x:v>0.0718562874251497</x:v>
      </x:c>
      <x:c r="J232" s="17"/>
      <x:c r="K232" s="17"/>
      <x:c r="L232" s="17"/>
      <x:c r="M232" s="17"/>
      <x:c r="N232" s="17" t="str">
        <x:f>IF(COUNTA(J232:M232)=0,"",SUM(J232:M232))</x:f>
      </x:c>
      <x:c r="O232" s="15" t="str">
        <x:v>真实月报</x:v>
      </x:c>
    </x:row>
    <x:row r="233">
      <x:c r="A233" s="15" t="str">
        <x:v>2025-11</x:v>
      </x:c>
      <x:c r="B233" s="15" t="str">
        <x:v>Lead Partner</x:v>
      </x:c>
      <x:c r="C233" s="17" t="n">
        <x:v>4630</x:v>
      </x:c>
      <x:c r="D233" s="17" t="n">
        <x:v>670</x:v>
      </x:c>
      <x:c r="E233" s="18" t="n">
        <x:v>140.9357249626308</x:v>
      </x:c>
      <x:c r="F233" s="19" t="n">
        <x:v>0.31185897435897436</x:v>
      </x:c>
      <x:c r="G233" s="19" t="n">
        <x:v>0.14583333333333334</x:v>
      </x:c>
      <x:c r="H233" s="19" t="n">
        <x:v>0.5227564102564103</x:v>
      </x:c>
      <x:c r="I233" s="19" t="n">
        <x:v>0.01955128205128205</x:v>
      </x:c>
      <x:c r="J233" s="17"/>
      <x:c r="K233" s="17"/>
      <x:c r="L233" s="17"/>
      <x:c r="M233" s="17"/>
      <x:c r="N233" s="17" t="str">
        <x:f>IF(COUNTA(J233:M233)=0,"",SUM(J233:M233))</x:f>
      </x:c>
      <x:c r="O233" s="15" t="str">
        <x:v>真实月报</x:v>
      </x:c>
    </x:row>
    <x:row r="234">
      <x:c r="A234" s="15" t="str">
        <x:v>2025-11</x:v>
      </x:c>
      <x:c r="B234" s="15" t="str">
        <x:v>Meta</x:v>
      </x:c>
      <x:c r="C234" s="17" t="n">
        <x:v>1</x:v>
      </x:c>
      <x:c r="D234" s="17"/>
      <x:c r="E234" s="18"/>
      <x:c r="F234" s="19" t="n">
        <x:v>0</x:v>
      </x:c>
      <x:c r="G234" s="19" t="n">
        <x:v>0</x:v>
      </x:c>
      <x:c r="H234" s="19" t="n">
        <x:v>0</x:v>
      </x:c>
      <x:c r="I234" s="19" t="n">
        <x:v>1</x:v>
      </x:c>
      <x:c r="J234" s="17"/>
      <x:c r="K234" s="17"/>
      <x:c r="L234" s="17"/>
      <x:c r="M234" s="17"/>
      <x:c r="N234" s="17" t="str">
        <x:f>IF(COUNTA(J234:M234)=0,"",SUM(J234:M234))</x:f>
      </x:c>
      <x:c r="O234" s="15" t="str">
        <x:v>真实月报</x:v>
      </x:c>
    </x:row>
    <x:row r="235">
      <x:c r="A235" s="15" t="str">
        <x:v>2025-11</x:v>
      </x:c>
      <x:c r="B235" s="15" t="str">
        <x:v>Total</x:v>
      </x:c>
      <x:c r="C235" s="17" t="n">
        <x:v>47418</x:v>
      </x:c>
      <x:c r="D235" s="17" t="n">
        <x:v>7020</x:v>
      </x:c>
      <x:c r="E235" s="18" t="n">
        <x:v>88.14088319088319</x:v>
      </x:c>
      <x:c r="F235" s="19"/>
      <x:c r="G235" s="19"/>
      <x:c r="H235" s="19"/>
      <x:c r="I235" s="19"/>
      <x:c r="J235" s="17"/>
      <x:c r="K235" s="17"/>
      <x:c r="L235" s="17"/>
      <x:c r="M235" s="17"/>
      <x:c r="N235" s="17" t="str">
        <x:f>IF(COUNTA(J235:M235)=0,"",SUM(J235:M235))</x:f>
      </x:c>
      <x:c r="O235" s="15" t="str">
        <x:v>真实月报</x:v>
      </x:c>
    </x:row>
    <x:row r="236">
      <x:c r="A236" s="15" t="str">
        <x:v>2025-12</x:v>
      </x:c>
      <x:c r="B236" s="15" t="str">
        <x:v>Tiktok</x:v>
      </x:c>
      <x:c r="C236" s="17" t="n">
        <x:v>10</x:v>
      </x:c>
      <x:c r="D236" s="17" t="n">
        <x:v>2</x:v>
      </x:c>
      <x:c r="E236" s="18"/>
      <x:c r="F236" s="19" t="n">
        <x:v>0.14285714285714285</x:v>
      </x:c>
      <x:c r="G236" s="19" t="n">
        <x:v>0.14285714285714285</x:v>
      </x:c>
      <x:c r="H236" s="19" t="n">
        <x:v>0.7142857142857143</x:v>
      </x:c>
      <x:c r="I236" s="19" t="n">
        <x:v>0</x:v>
      </x:c>
      <x:c r="J236" s="17"/>
      <x:c r="K236" s="17"/>
      <x:c r="L236" s="17"/>
      <x:c r="M236" s="17"/>
      <x:c r="N236" s="17" t="str">
        <x:f>IF(COUNTA(J236:M236)=0,"",SUM(J236:M236))</x:f>
      </x:c>
      <x:c r="O236" s="15" t="str">
        <x:v>真实月报</x:v>
      </x:c>
    </x:row>
    <x:row r="237">
      <x:c r="A237" s="15" t="str">
        <x:v>2025-12</x:v>
      </x:c>
      <x:c r="B237" s="15" t="str">
        <x:v>GEO</x:v>
      </x:c>
      <x:c r="C237" s="17" t="n">
        <x:v>176</x:v>
      </x:c>
      <x:c r="D237" s="17" t="n">
        <x:v>17</x:v>
      </x:c>
      <x:c r="E237" s="18"/>
      <x:c r="F237" s="19" t="n">
        <x:v>0.1953125</x:v>
      </x:c>
      <x:c r="G237" s="19" t="n">
        <x:v>0.09375</x:v>
      </x:c>
      <x:c r="H237" s="19" t="n">
        <x:v>0.65625</x:v>
      </x:c>
      <x:c r="I237" s="19" t="n">
        <x:v>0.0546875</x:v>
      </x:c>
      <x:c r="J237" s="17"/>
      <x:c r="K237" s="17"/>
      <x:c r="L237" s="17"/>
      <x:c r="M237" s="17"/>
      <x:c r="N237" s="17" t="str">
        <x:f>IF(COUNTA(J237:M237)=0,"",SUM(J237:M237))</x:f>
      </x:c>
      <x:c r="O237" s="15" t="str">
        <x:v>真实月报</x:v>
      </x:c>
    </x:row>
    <x:row r="238">
      <x:c r="A238" s="15" t="str">
        <x:v>2025-12</x:v>
      </x:c>
      <x:c r="B238" s="15" t="str">
        <x:v>Organic</x:v>
      </x:c>
      <x:c r="C238" s="17" t="n">
        <x:v>14848</x:v>
      </x:c>
      <x:c r="D238" s="17" t="n">
        <x:v>3329</x:v>
      </x:c>
      <x:c r="E238" s="18"/>
      <x:c r="F238" s="19" t="n">
        <x:v>0.41214259862468333</x:v>
      </x:c>
      <x:c r="G238" s="19" t="n">
        <x:v>0.09020991675714803</x:v>
      </x:c>
      <x:c r="H238" s="19" t="n">
        <x:v>0.417119073470865</x:v>
      </x:c>
      <x:c r="I238" s="19" t="n">
        <x:v>0.08052841114730365</x:v>
      </x:c>
      <x:c r="J238" s="17"/>
      <x:c r="K238" s="17"/>
      <x:c r="L238" s="17"/>
      <x:c r="M238" s="17"/>
      <x:c r="N238" s="17" t="str">
        <x:f>IF(COUNTA(J238:M238)=0,"",SUM(J238:M238))</x:f>
      </x:c>
      <x:c r="O238" s="15" t="str">
        <x:v>真实月报</x:v>
      </x:c>
    </x:row>
    <x:row r="239">
      <x:c r="A239" s="15" t="str">
        <x:v>2025-12</x:v>
      </x:c>
      <x:c r="B239" s="15" t="str">
        <x:v>Owned Channels</x:v>
      </x:c>
      <x:c r="C239" s="17" t="n">
        <x:v>6786</x:v>
      </x:c>
      <x:c r="D239" s="17" t="n">
        <x:v>1163</x:v>
      </x:c>
      <x:c r="E239" s="18"/>
      <x:c r="F239" s="19" t="n">
        <x:v>0.44020486555697824</x:v>
      </x:c>
      <x:c r="G239" s="19" t="n">
        <x:v>0.10857874519846351</x:v>
      </x:c>
      <x:c r="H239" s="19" t="n">
        <x:v>0.4409731113956466</x:v>
      </x:c>
      <x:c r="I239" s="19" t="n">
        <x:v>0.010243277848911651</x:v>
      </x:c>
      <x:c r="J239" s="17"/>
      <x:c r="K239" s="17"/>
      <x:c r="L239" s="17"/>
      <x:c r="M239" s="17"/>
      <x:c r="N239" s="17" t="str">
        <x:f>IF(COUNTA(J239:M239)=0,"",SUM(J239:M239))</x:f>
      </x:c>
      <x:c r="O239" s="15" t="str">
        <x:v>真实月报</x:v>
      </x:c>
    </x:row>
    <x:row r="240">
      <x:c r="A240" s="15" t="str">
        <x:v>2025-12</x:v>
      </x:c>
      <x:c r="B240" s="15" t="str">
        <x:v>Google</x:v>
      </x:c>
      <x:c r="C240" s="17" t="n">
        <x:v>22380</x:v>
      </x:c>
      <x:c r="D240" s="17" t="n">
        <x:v>3170</x:v>
      </x:c>
      <x:c r="E240" s="18" t="n">
        <x:v>138.69779179810726</x:v>
      </x:c>
      <x:c r="F240" s="19" t="n">
        <x:v>0.2867641960757124</x:v>
      </x:c>
      <x:c r="G240" s="19" t="n">
        <x:v>0.10296054912292865</x:v>
      </x:c>
      <x:c r="H240" s="19" t="n">
        <x:v>0.547805588296471</x:v>
      </x:c>
      <x:c r="I240" s="19" t="n">
        <x:v>0.06246966650488803</x:v>
      </x:c>
      <x:c r="J240" s="17"/>
      <x:c r="K240" s="17"/>
      <x:c r="L240" s="17"/>
      <x:c r="M240" s="17"/>
      <x:c r="N240" s="17" t="str">
        <x:f>IF(COUNTA(J240:M240)=0,"",SUM(J240:M240))</x:f>
      </x:c>
      <x:c r="O240" s="15" t="str">
        <x:v>真实月报</x:v>
      </x:c>
    </x:row>
    <x:row r="241">
      <x:c r="A241" s="15" t="str">
        <x:v>2025-12</x:v>
      </x:c>
      <x:c r="B241" s="15" t="str">
        <x:v>Bing</x:v>
      </x:c>
      <x:c r="C241" s="17" t="n">
        <x:v>242</x:v>
      </x:c>
      <x:c r="D241" s="17" t="n">
        <x:v>42</x:v>
      </x:c>
      <x:c r="E241" s="18" t="n">
        <x:v>217.1904761904762</x:v>
      </x:c>
      <x:c r="F241" s="19" t="n">
        <x:v>0.38666666666666666</x:v>
      </x:c>
      <x:c r="G241" s="19" t="n">
        <x:v>0.09333333333333334</x:v>
      </x:c>
      <x:c r="H241" s="19" t="n">
        <x:v>0.47333333333333333</x:v>
      </x:c>
      <x:c r="I241" s="19" t="n">
        <x:v>0.04666666666666667</x:v>
      </x:c>
      <x:c r="J241" s="17"/>
      <x:c r="K241" s="17"/>
      <x:c r="L241" s="17"/>
      <x:c r="M241" s="17"/>
      <x:c r="N241" s="17" t="str">
        <x:f>IF(COUNTA(J241:M241)=0,"",SUM(J241:M241))</x:f>
      </x:c>
      <x:c r="O241" s="15" t="str">
        <x:v>真实月报</x:v>
      </x:c>
    </x:row>
    <x:row r="242">
      <x:c r="A242" s="15" t="str">
        <x:v>2025-12</x:v>
      </x:c>
      <x:c r="B242" s="15" t="str">
        <x:v>Lead Partner</x:v>
      </x:c>
      <x:c r="C242" s="17" t="n">
        <x:v>6121</x:v>
      </x:c>
      <x:c r="D242" s="17" t="n">
        <x:v>929</x:v>
      </x:c>
      <x:c r="E242" s="18" t="n">
        <x:v>103.65769644779333</x:v>
      </x:c>
      <x:c r="F242" s="19" t="n">
        <x:v>0.31798413916602714</x:v>
      </x:c>
      <x:c r="G242" s="19" t="n">
        <x:v>0.15093374264517778</x:v>
      </x:c>
      <x:c r="H242" s="19" t="n">
        <x:v>0.5021744691737017</x:v>
      </x:c>
      <x:c r="I242" s="19" t="n">
        <x:v>0.028907649015093375</x:v>
      </x:c>
      <x:c r="J242" s="17"/>
      <x:c r="K242" s="17"/>
      <x:c r="L242" s="17"/>
      <x:c r="M242" s="17"/>
      <x:c r="N242" s="17" t="str">
        <x:f>IF(COUNTA(J242:M242)=0,"",SUM(J242:M242))</x:f>
      </x:c>
      <x:c r="O242" s="15" t="str">
        <x:v>真实月报</x:v>
      </x:c>
    </x:row>
    <x:row r="243">
      <x:c r="A243" s="15" t="str">
        <x:v>2025-12</x:v>
      </x:c>
      <x:c r="B243" s="15" t="str">
        <x:v>Meta</x:v>
      </x:c>
      <x:c r="C243" s="17" t="n">
        <x:v>2</x:v>
      </x:c>
      <x:c r="D243" s="17"/>
      <x:c r="E243" s="18"/>
      <x:c r="F243" s="19" t="n">
        <x:v>0.5</x:v>
      </x:c>
      <x:c r="G243" s="19" t="n">
        <x:v>0</x:v>
      </x:c>
      <x:c r="H243" s="19" t="n">
        <x:v>0</x:v>
      </x:c>
      <x:c r="I243" s="19" t="n">
        <x:v>0.5</x:v>
      </x:c>
      <x:c r="J243" s="17"/>
      <x:c r="K243" s="17"/>
      <x:c r="L243" s="17"/>
      <x:c r="M243" s="17"/>
      <x:c r="N243" s="17" t="str">
        <x:f>IF(COUNTA(J243:M243)=0,"",SUM(J243:M243))</x:f>
      </x:c>
      <x:c r="O243" s="15" t="str">
        <x:v>真实月报</x:v>
      </x:c>
    </x:row>
    <x:row r="244">
      <x:c r="A244" s="15" t="str">
        <x:v>2025-12</x:v>
      </x:c>
      <x:c r="B244" s="15" t="str">
        <x:v>Total</x:v>
      </x:c>
      <x:c r="C244" s="17" t="n">
        <x:v>50565</x:v>
      </x:c>
      <x:c r="D244" s="17" t="n">
        <x:v>8652</x:v>
      </x:c>
      <x:c r="E244" s="18" t="n">
        <x:v>62.96705963938974</x:v>
      </x:c>
      <x:c r="F244" s="19"/>
      <x:c r="G244" s="19"/>
      <x:c r="H244" s="19"/>
      <x:c r="I244" s="19"/>
      <x:c r="J244" s="17"/>
      <x:c r="K244" s="17"/>
      <x:c r="L244" s="17"/>
      <x:c r="M244" s="17"/>
      <x:c r="N244" s="17" t="str">
        <x:f>IF(COUNTA(J244:M244)=0,"",SUM(J244:M244))</x:f>
      </x:c>
      <x:c r="O244" s="15" t="str">
        <x:v>真实月报</x:v>
      </x:c>
    </x:row>
    <x:row r="245">
      <x:c r="A245" s="15" t="str">
        <x:v>2026-01</x:v>
      </x:c>
      <x:c r="B245" s="15" t="str">
        <x:v>Tiktok</x:v>
      </x:c>
      <x:c r="C245" s="17" t="n">
        <x:v>15</x:v>
      </x:c>
      <x:c r="D245" s="17" t="n">
        <x:v>1</x:v>
      </x:c>
      <x:c r="E245" s="18"/>
      <x:c r="F245" s="19" t="n">
        <x:v>0.08333333333333333</x:v>
      </x:c>
      <x:c r="G245" s="19" t="n">
        <x:v>0.16666666666666666</x:v>
      </x:c>
      <x:c r="H245" s="19" t="n">
        <x:v>0.5833333333333334</x:v>
      </x:c>
      <x:c r="I245" s="19" t="n">
        <x:v>0.16666666666666666</x:v>
      </x:c>
      <x:c r="J245" s="17" t="n">
        <x:v>1</x:v>
      </x:c>
      <x:c r="K245" s="17" t="n">
        <x:v>2</x:v>
      </x:c>
      <x:c r="L245" s="17" t="n">
        <x:v>7</x:v>
      </x:c>
      <x:c r="M245" s="17" t="n">
        <x:v>2</x:v>
      </x:c>
      <x:c r="N245" s="17" t="n">
        <x:f>IF(COUNTA(J245:M245)=0,"",SUM(J245:M245))</x:f>
        <x:v>12</x:v>
      </x:c>
      <x:c r="O245" s="15" t="str">
        <x:v>真实月报+样例样本量</x:v>
      </x:c>
    </x:row>
    <x:row r="246">
      <x:c r="A246" s="15" t="str">
        <x:v>2026-01</x:v>
      </x:c>
      <x:c r="B246" s="15" t="str">
        <x:v>GEO</x:v>
      </x:c>
      <x:c r="C246" s="17" t="n">
        <x:v>207</x:v>
      </x:c>
      <x:c r="D246" s="17" t="n">
        <x:v>16</x:v>
      </x:c>
      <x:c r="E246" s="18"/>
      <x:c r="F246" s="19" t="n">
        <x:v>0.17142857142857143</x:v>
      </x:c>
      <x:c r="G246" s="19" t="n">
        <x:v>0.1357142857142857</x:v>
      </x:c>
      <x:c r="H246" s="19" t="n">
        <x:v>0.6571428571428571</x:v>
      </x:c>
      <x:c r="I246" s="19" t="n">
        <x:v>0.03571428571428571</x:v>
      </x:c>
      <x:c r="J246" s="17" t="n">
        <x:v>33</x:v>
      </x:c>
      <x:c r="K246" s="17" t="n">
        <x:v>26</x:v>
      </x:c>
      <x:c r="L246" s="17" t="n">
        <x:v>125</x:v>
      </x:c>
      <x:c r="M246" s="17" t="n">
        <x:v>6</x:v>
      </x:c>
      <x:c r="N246" s="17" t="n">
        <x:f>IF(COUNTA(J246:M246)=0,"",SUM(J246:M246))</x:f>
        <x:v>190</x:v>
      </x:c>
      <x:c r="O246" s="15" t="str">
        <x:v>真实月报+样例样本量</x:v>
      </x:c>
    </x:row>
    <x:row r="247">
      <x:c r="A247" s="15" t="str">
        <x:v>2026-01</x:v>
      </x:c>
      <x:c r="B247" s="15" t="str">
        <x:v>Organic</x:v>
      </x:c>
      <x:c r="C247" s="17" t="n">
        <x:v>14177</x:v>
      </x:c>
      <x:c r="D247" s="17" t="n">
        <x:v>3226</x:v>
      </x:c>
      <x:c r="E247" s="18"/>
      <x:c r="F247" s="19" t="n">
        <x:v>0.41687706350747716</x:v>
      </x:c>
      <x:c r="G247" s="19" t="n">
        <x:v>0.10875898232666537</x:v>
      </x:c>
      <x:c r="H247" s="19" t="n">
        <x:v>0.40163138473489995</x:v>
      </x:c>
      <x:c r="I247" s="19" t="n">
        <x:v>0.07273256943095746</x:v>
      </x:c>
      <x:c r="J247" s="17" t="n">
        <x:v>5628</x:v>
      </x:c>
      <x:c r="K247" s="17" t="n">
        <x:v>1468</x:v>
      </x:c>
      <x:c r="L247" s="17" t="n">
        <x:v>5422</x:v>
      </x:c>
      <x:c r="M247" s="17" t="n">
        <x:v>982</x:v>
      </x:c>
      <x:c r="N247" s="17" t="n">
        <x:f>IF(COUNTA(J247:M247)=0,"",SUM(J247:M247))</x:f>
        <x:v>13500</x:v>
      </x:c>
      <x:c r="O247" s="15" t="str">
        <x:v>真实月报+样例样本量</x:v>
      </x:c>
    </x:row>
    <x:row r="248">
      <x:c r="A248" s="15" t="str">
        <x:v>2026-01</x:v>
      </x:c>
      <x:c r="B248" s="15" t="str">
        <x:v>Owned Channels</x:v>
      </x:c>
      <x:c r="C248" s="17" t="n">
        <x:v>4270</x:v>
      </x:c>
      <x:c r="D248" s="17" t="n">
        <x:v>828</x:v>
      </x:c>
      <x:c r="E248" s="18"/>
      <x:c r="F248" s="19" t="n">
        <x:v>0.4748427672955975</x:v>
      </x:c>
      <x:c r="G248" s="19" t="n">
        <x:v>0.11949685534591195</x:v>
      </x:c>
      <x:c r="H248" s="19" t="n">
        <x:v>0.3891509433962264</x:v>
      </x:c>
      <x:c r="I248" s="19" t="n">
        <x:v>0.01650943396226415</x:v>
      </x:c>
      <x:c r="J248" s="17" t="n">
        <x:v>2232</x:v>
      </x:c>
      <x:c r="K248" s="17" t="n">
        <x:v>562</x:v>
      </x:c>
      <x:c r="L248" s="17" t="n">
        <x:v>1829</x:v>
      </x:c>
      <x:c r="M248" s="17" t="n">
        <x:v>77</x:v>
      </x:c>
      <x:c r="N248" s="17" t="n">
        <x:f>IF(COUNTA(J248:M248)=0,"",SUM(J248:M248))</x:f>
        <x:v>4700</x:v>
      </x:c>
      <x:c r="O248" s="15" t="str">
        <x:v>真实月报+样例样本量</x:v>
      </x:c>
    </x:row>
    <x:row r="249">
      <x:c r="A249" s="15" t="str">
        <x:v>2026-01</x:v>
      </x:c>
      <x:c r="B249" s="15" t="str">
        <x:v>Google</x:v>
      </x:c>
      <x:c r="C249" s="17" t="n">
        <x:v>22231</x:v>
      </x:c>
      <x:c r="D249" s="17" t="n">
        <x:v>2949</x:v>
      </x:c>
      <x:c r="E249" s="18" t="n">
        <x:v>164.4153950491692</x:v>
      </x:c>
      <x:c r="F249" s="19" t="n">
        <x:v>0.2847256549678695</x:v>
      </x:c>
      <x:c r="G249" s="19" t="n">
        <x:v>0.11856507308805875</x:v>
      </x:c>
      <x:c r="H249" s="19" t="n">
        <x:v>0.5301179295247511</x:v>
      </x:c>
      <x:c r="I249" s="19" t="n">
        <x:v>0.06659134241932067</x:v>
      </x:c>
      <x:c r="J249" s="17" t="n">
        <x:v>1281</x:v>
      </x:c>
      <x:c r="K249" s="17" t="n">
        <x:v>534</x:v>
      </x:c>
      <x:c r="L249" s="17" t="n">
        <x:v>2386</x:v>
      </x:c>
      <x:c r="M249" s="17" t="n">
        <x:v>299</x:v>
      </x:c>
      <x:c r="N249" s="17" t="n">
        <x:f>IF(COUNTA(J249:M249)=0,"",SUM(J249:M249))</x:f>
        <x:v>4500</x:v>
      </x:c>
      <x:c r="O249" s="15" t="str">
        <x:v>真实月报+样例样本量</x:v>
      </x:c>
    </x:row>
    <x:row r="250">
      <x:c r="A250" s="15" t="str">
        <x:v>2026-01</x:v>
      </x:c>
      <x:c r="B250" s="15" t="str">
        <x:v>Bing</x:v>
      </x:c>
      <x:c r="C250" s="17" t="n">
        <x:v>270</x:v>
      </x:c>
      <x:c r="D250" s="17" t="n">
        <x:v>45</x:v>
      </x:c>
      <x:c r="E250" s="18" t="n">
        <x:v>78.42222222222222</x:v>
      </x:c>
      <x:c r="F250" s="19" t="n">
        <x:v>0.36627906976744184</x:v>
      </x:c>
      <x:c r="G250" s="19" t="n">
        <x:v>0.12209302325581395</x:v>
      </x:c>
      <x:c r="H250" s="19" t="n">
        <x:v>0.43023255813953487</x:v>
      </x:c>
      <x:c r="I250" s="19" t="n">
        <x:v>0.08139534883720931</x:v>
      </x:c>
      <x:c r="J250" s="17" t="n">
        <x:v>154</x:v>
      </x:c>
      <x:c r="K250" s="17" t="n">
        <x:v>51</x:v>
      </x:c>
      <x:c r="L250" s="17" t="n">
        <x:v>181</x:v>
      </x:c>
      <x:c r="M250" s="17" t="n">
        <x:v>34</x:v>
      </x:c>
      <x:c r="N250" s="17" t="n">
        <x:f>IF(COUNTA(J250:M250)=0,"",SUM(J250:M250))</x:f>
        <x:v>420</x:v>
      </x:c>
      <x:c r="O250" s="15" t="str">
        <x:v>真实月报+样例样本量</x:v>
      </x:c>
    </x:row>
    <x:row r="251">
      <x:c r="A251" s="15" t="str">
        <x:v>2026-01</x:v>
      </x:c>
      <x:c r="B251" s="15" t="str">
        <x:v>Lead Partner</x:v>
      </x:c>
      <x:c r="C251" s="17" t="n">
        <x:v>4818</x:v>
      </x:c>
      <x:c r="D251" s="17" t="n">
        <x:v>616</x:v>
      </x:c>
      <x:c r="E251" s="18" t="n">
        <x:v>147.40746753246754</x:v>
      </x:c>
      <x:c r="F251" s="19" t="n">
        <x:v>0.28480340063761955</x:v>
      </x:c>
      <x:c r="G251" s="19" t="n">
        <x:v>0.16153028692879914</x:v>
      </x:c>
      <x:c r="H251" s="19" t="n">
        <x:v>0.5217853347502657</x:v>
      </x:c>
      <x:c r="I251" s="19" t="n">
        <x:v>0.031880977683315624</x:v>
      </x:c>
      <x:c r="J251" s="17" t="n">
        <x:v>1310</x:v>
      </x:c>
      <x:c r="K251" s="17" t="n">
        <x:v>743</x:v>
      </x:c>
      <x:c r="L251" s="17" t="n">
        <x:v>2400</x:v>
      </x:c>
      <x:c r="M251" s="17" t="n">
        <x:v>147</x:v>
      </x:c>
      <x:c r="N251" s="17" t="n">
        <x:f>IF(COUNTA(J251:M251)=0,"",SUM(J251:M251))</x:f>
        <x:v>4600</x:v>
      </x:c>
      <x:c r="O251" s="15" t="str">
        <x:v>真实月报+样例样本量</x:v>
      </x:c>
    </x:row>
    <x:row r="252">
      <x:c r="A252" s="15" t="str">
        <x:v>2026-01</x:v>
      </x:c>
      <x:c r="B252" s="15" t="str">
        <x:v>Meta</x:v>
      </x:c>
      <x:c r="C252" s="17" t="n">
        <x:v>3</x:v>
      </x:c>
      <x:c r="D252" s="17"/>
      <x:c r="E252" s="18"/>
      <x:c r="F252" s="19" t="n">
        <x:v>0</x:v>
      </x:c>
      <x:c r="G252" s="19" t="n">
        <x:v>0</x:v>
      </x:c>
      <x:c r="H252" s="19" t="n">
        <x:v>1</x:v>
      </x:c>
      <x:c r="I252" s="19" t="n">
        <x:v>0</x:v>
      </x:c>
      <x:c r="J252" s="17" t="n">
        <x:v>0</x:v>
      </x:c>
      <x:c r="K252" s="17" t="n">
        <x:v>0</x:v>
      </x:c>
      <x:c r="L252" s="17" t="n">
        <x:v>95</x:v>
      </x:c>
      <x:c r="M252" s="17" t="n">
        <x:v>0</x:v>
      </x:c>
      <x:c r="N252" s="17" t="n">
        <x:f>IF(COUNTA(J252:M252)=0,"",SUM(J252:M252))</x:f>
        <x:v>95</x:v>
      </x:c>
      <x:c r="O252" s="15" t="str">
        <x:v>真实月报+样例样本量</x:v>
      </x:c>
    </x:row>
    <x:row r="253">
      <x:c r="A253" s="15" t="str">
        <x:v>2026-01</x:v>
      </x:c>
      <x:c r="B253" s="15" t="str">
        <x:v>Total</x:v>
      </x:c>
      <x:c r="C253" s="17" t="n">
        <x:v>45991</x:v>
      </x:c>
      <x:c r="D253" s="17" t="n">
        <x:v>7681</x:v>
      </x:c>
      <x:c r="E253" s="18" t="n">
        <x:v>75.40593672698867</x:v>
      </x:c>
      <x:c r="F253" s="19"/>
      <x:c r="G253" s="19"/>
      <x:c r="H253" s="19"/>
      <x:c r="I253" s="19"/>
      <x:c r="J253" s="17"/>
      <x:c r="K253" s="17"/>
      <x:c r="L253" s="17"/>
      <x:c r="M253" s="17"/>
      <x:c r="N253" s="17" t="str">
        <x:f>IF(COUNTA(J253:M253)=0,"",SUM(J253:M253))</x:f>
      </x:c>
      <x:c r="O253" s="15" t="str">
        <x:v>真实月报</x:v>
      </x:c>
    </x:row>
    <x:row r="254">
      <x:c r="A254" s="15" t="str">
        <x:v>2026-02</x:v>
      </x:c>
      <x:c r="B254" s="15" t="str">
        <x:v>Tiktok</x:v>
      </x:c>
      <x:c r="C254" s="17" t="n">
        <x:v>4</x:v>
      </x:c>
      <x:c r="D254" s="17"/>
      <x:c r="E254" s="18"/>
      <x:c r="F254" s="19" t="n">
        <x:v>1</x:v>
      </x:c>
      <x:c r="G254" s="19" t="n">
        <x:v>0</x:v>
      </x:c>
      <x:c r="H254" s="19" t="n">
        <x:v>0</x:v>
      </x:c>
      <x:c r="I254" s="19" t="n">
        <x:v>0</x:v>
      </x:c>
      <x:c r="J254" s="17" t="n">
        <x:v>12</x:v>
      </x:c>
      <x:c r="K254" s="17" t="n">
        <x:v>0</x:v>
      </x:c>
      <x:c r="L254" s="17" t="n">
        <x:v>0</x:v>
      </x:c>
      <x:c r="M254" s="17" t="n">
        <x:v>0</x:v>
      </x:c>
      <x:c r="N254" s="17" t="n">
        <x:f>IF(COUNTA(J254:M254)=0,"",SUM(J254:M254))</x:f>
        <x:v>12</x:v>
      </x:c>
      <x:c r="O254" s="15" t="str">
        <x:v>真实月报+样例样本量</x:v>
      </x:c>
    </x:row>
    <x:row r="255">
      <x:c r="A255" s="15" t="str">
        <x:v>2026-02</x:v>
      </x:c>
      <x:c r="B255" s="15" t="str">
        <x:v>GEO</x:v>
      </x:c>
      <x:c r="C255" s="17" t="n">
        <x:v>208</x:v>
      </x:c>
      <x:c r="D255" s="17" t="n">
        <x:v>14</x:v>
      </x:c>
      <x:c r="E255" s="18"/>
      <x:c r="F255" s="19" t="n">
        <x:v>0.15702479338842976</x:v>
      </x:c>
      <x:c r="G255" s="19" t="n">
        <x:v>0.08264462809917356</x:v>
      </x:c>
      <x:c r="H255" s="19" t="n">
        <x:v>0.743801652892562</x:v>
      </x:c>
      <x:c r="I255" s="19" t="n">
        <x:v>0.01652892561983471</x:v>
      </x:c>
      <x:c r="J255" s="17" t="n">
        <x:v>30</x:v>
      </x:c>
      <x:c r="K255" s="17" t="n">
        <x:v>16</x:v>
      </x:c>
      <x:c r="L255" s="17" t="n">
        <x:v>141</x:v>
      </x:c>
      <x:c r="M255" s="17" t="n">
        <x:v>3</x:v>
      </x:c>
      <x:c r="N255" s="17" t="n">
        <x:f>IF(COUNTA(J255:M255)=0,"",SUM(J255:M255))</x:f>
        <x:v>190</x:v>
      </x:c>
      <x:c r="O255" s="15" t="str">
        <x:v>真实月报+样例样本量</x:v>
      </x:c>
    </x:row>
    <x:row r="256">
      <x:c r="A256" s="15" t="str">
        <x:v>2026-02</x:v>
      </x:c>
      <x:c r="B256" s="15" t="str">
        <x:v>Organic</x:v>
      </x:c>
      <x:c r="C256" s="17" t="n">
        <x:v>12391</x:v>
      </x:c>
      <x:c r="D256" s="17" t="n">
        <x:v>2791</x:v>
      </x:c>
      <x:c r="E256" s="18"/>
      <x:c r="F256" s="19" t="n">
        <x:v>0.4135456380354339</x:v>
      </x:c>
      <x:c r="G256" s="19" t="n">
        <x:v>0.10562906481273829</x:v>
      </x:c>
      <x:c r="H256" s="19" t="n">
        <x:v>0.4226283920161471</x:v>
      </x:c>
      <x:c r="I256" s="19" t="n">
        <x:v>0.05819690513568065</x:v>
      </x:c>
      <x:c r="J256" s="17" t="n">
        <x:v>5583</x:v>
      </x:c>
      <x:c r="K256" s="17" t="n">
        <x:v>1426</x:v>
      </x:c>
      <x:c r="L256" s="17" t="n">
        <x:v>5705</x:v>
      </x:c>
      <x:c r="M256" s="17" t="n">
        <x:v>786</x:v>
      </x:c>
      <x:c r="N256" s="17" t="n">
        <x:f>IF(COUNTA(J256:M256)=0,"",SUM(J256:M256))</x:f>
        <x:v>13500</x:v>
      </x:c>
      <x:c r="O256" s="15" t="str">
        <x:v>真实月报+样例样本量</x:v>
      </x:c>
    </x:row>
    <x:row r="257">
      <x:c r="A257" s="15" t="str">
        <x:v>2026-02</x:v>
      </x:c>
      <x:c r="B257" s="15" t="str">
        <x:v>Owned Channels</x:v>
      </x:c>
      <x:c r="C257" s="17" t="n">
        <x:v>3004</x:v>
      </x:c>
      <x:c r="D257" s="17" t="n">
        <x:v>579</x:v>
      </x:c>
      <x:c r="E257" s="18"/>
      <x:c r="F257" s="19" t="n">
        <x:v>0.5258673158855751</x:v>
      </x:c>
      <x:c r="G257" s="19" t="n">
        <x:v>0.12294583079732198</x:v>
      </x:c>
      <x:c r="H257" s="19" t="n">
        <x:v>0.34205721241631165</x:v>
      </x:c>
      <x:c r="I257" s="19" t="n">
        <x:v>0.009129640900791236</x:v>
      </x:c>
      <x:c r="J257" s="17" t="n">
        <x:v>2472</x:v>
      </x:c>
      <x:c r="K257" s="17" t="n">
        <x:v>578</x:v>
      </x:c>
      <x:c r="L257" s="17" t="n">
        <x:v>1608</x:v>
      </x:c>
      <x:c r="M257" s="17" t="n">
        <x:v>42</x:v>
      </x:c>
      <x:c r="N257" s="17" t="n">
        <x:f>IF(COUNTA(J257:M257)=0,"",SUM(J257:M257))</x:f>
        <x:v>4700</x:v>
      </x:c>
      <x:c r="O257" s="15" t="str">
        <x:v>真实月报+样例样本量</x:v>
      </x:c>
    </x:row>
    <x:row r="258">
      <x:c r="A258" s="15" t="str">
        <x:v>2026-02</x:v>
      </x:c>
      <x:c r="B258" s="15" t="str">
        <x:v>Google</x:v>
      </x:c>
      <x:c r="C258" s="17" t="n">
        <x:v>22759</x:v>
      </x:c>
      <x:c r="D258" s="17" t="n">
        <x:v>2832</x:v>
      </x:c>
      <x:c r="E258" s="18" t="n">
        <x:v>181.7552966101695</x:v>
      </x:c>
      <x:c r="F258" s="19" t="n">
        <x:v>0.27402467010900744</x:v>
      </x:c>
      <x:c r="G258" s="19" t="n">
        <x:v>0.11366896156052783</x:v>
      </x:c>
      <x:c r="H258" s="19" t="n">
        <x:v>0.5503442340791739</x:v>
      </x:c>
      <x:c r="I258" s="19" t="n">
        <x:v>0.06196213425129088</x:v>
      </x:c>
      <x:c r="J258" s="17" t="n">
        <x:v>1233</x:v>
      </x:c>
      <x:c r="K258" s="17" t="n">
        <x:v>512</x:v>
      </x:c>
      <x:c r="L258" s="17" t="n">
        <x:v>2477</x:v>
      </x:c>
      <x:c r="M258" s="17" t="n">
        <x:v>278</x:v>
      </x:c>
      <x:c r="N258" s="17" t="n">
        <x:f>IF(COUNTA(J258:M258)=0,"",SUM(J258:M258))</x:f>
        <x:v>4500</x:v>
      </x:c>
      <x:c r="O258" s="15" t="str">
        <x:v>真实月报+样例样本量</x:v>
      </x:c>
    </x:row>
    <x:row r="259">
      <x:c r="A259" s="15" t="str">
        <x:v>2026-02</x:v>
      </x:c>
      <x:c r="B259" s="15" t="str">
        <x:v>Bing</x:v>
      </x:c>
      <x:c r="C259" s="17" t="n">
        <x:v>238</x:v>
      </x:c>
      <x:c r="D259" s="17" t="n">
        <x:v>37</x:v>
      </x:c>
      <x:c r="E259" s="18" t="n">
        <x:v>63.486486486486484</x:v>
      </x:c>
      <x:c r="F259" s="19" t="n">
        <x:v>0.391304347826087</x:v>
      </x:c>
      <x:c r="G259" s="19" t="n">
        <x:v>0.06521739130434782</x:v>
      </x:c>
      <x:c r="H259" s="19" t="n">
        <x:v>0.47101449275362317</x:v>
      </x:c>
      <x:c r="I259" s="19" t="n">
        <x:v>0.07246376811594203</x:v>
      </x:c>
      <x:c r="J259" s="17" t="n">
        <x:v>164</x:v>
      </x:c>
      <x:c r="K259" s="17" t="n">
        <x:v>27</x:v>
      </x:c>
      <x:c r="L259" s="17" t="n">
        <x:v>198</x:v>
      </x:c>
      <x:c r="M259" s="17" t="n">
        <x:v>31</x:v>
      </x:c>
      <x:c r="N259" s="17" t="n">
        <x:f>IF(COUNTA(J259:M259)=0,"",SUM(J259:M259))</x:f>
        <x:v>420</x:v>
      </x:c>
      <x:c r="O259" s="15" t="str">
        <x:v>真实月报+样例样本量</x:v>
      </x:c>
    </x:row>
    <x:row r="260">
      <x:c r="A260" s="15" t="str">
        <x:v>2026-02</x:v>
      </x:c>
      <x:c r="B260" s="15" t="str">
        <x:v>Lead Partner</x:v>
      </x:c>
      <x:c r="C260" s="17" t="n">
        <x:v>3911</x:v>
      </x:c>
      <x:c r="D260" s="17" t="n">
        <x:v>440</x:v>
      </x:c>
      <x:c r="E260" s="18" t="n">
        <x:v>145.6840909090909</x:v>
      </x:c>
      <x:c r="F260" s="19" t="n">
        <x:v>0.2813067150635209</x:v>
      </x:c>
      <x:c r="G260" s="19" t="n">
        <x:v>0.15517241379310345</x:v>
      </x:c>
      <x:c r="H260" s="19" t="n">
        <x:v>0.52994555353902</x:v>
      </x:c>
      <x:c r="I260" s="19" t="n">
        <x:v>0.03357531760435572</x:v>
      </x:c>
      <x:c r="J260" s="17" t="n">
        <x:v>1294</x:v>
      </x:c>
      <x:c r="K260" s="17" t="n">
        <x:v>714</x:v>
      </x:c>
      <x:c r="L260" s="17" t="n">
        <x:v>2438</x:v>
      </x:c>
      <x:c r="M260" s="17" t="n">
        <x:v>154</x:v>
      </x:c>
      <x:c r="N260" s="17" t="n">
        <x:f>IF(COUNTA(J260:M260)=0,"",SUM(J260:M260))</x:f>
        <x:v>4600</x:v>
      </x:c>
      <x:c r="O260" s="15" t="str">
        <x:v>真实月报+样例样本量</x:v>
      </x:c>
    </x:row>
    <x:row r="261">
      <x:c r="A261" s="15" t="str">
        <x:v>2026-02</x:v>
      </x:c>
      <x:c r="B261" s="15" t="str">
        <x:v>Meta</x:v>
      </x:c>
      <x:c r="C261" s="17" t="n">
        <x:v>3</x:v>
      </x:c>
      <x:c r="D261" s="17" t="n">
        <x:v>1</x:v>
      </x:c>
      <x:c r="E261" s="18"/>
      <x:c r="F261" s="19" t="n">
        <x:v>1</x:v>
      </x:c>
      <x:c r="G261" s="19" t="n">
        <x:v>0</x:v>
      </x:c>
      <x:c r="H261" s="19" t="n">
        <x:v>0</x:v>
      </x:c>
      <x:c r="I261" s="19" t="n">
        <x:v>0</x:v>
      </x:c>
      <x:c r="J261" s="17" t="n">
        <x:v>95</x:v>
      </x:c>
      <x:c r="K261" s="17" t="n">
        <x:v>0</x:v>
      </x:c>
      <x:c r="L261" s="17" t="n">
        <x:v>0</x:v>
      </x:c>
      <x:c r="M261" s="17" t="n">
        <x:v>0</x:v>
      </x:c>
      <x:c r="N261" s="17" t="n">
        <x:f>IF(COUNTA(J261:M261)=0,"",SUM(J261:M261))</x:f>
        <x:v>95</x:v>
      </x:c>
      <x:c r="O261" s="15" t="str">
        <x:v>真实月报+样例样本量</x:v>
      </x:c>
    </x:row>
    <x:row r="262">
      <x:c r="A262" s="15" t="str">
        <x:v>2026-02</x:v>
      </x:c>
      <x:c r="B262" s="15" t="str">
        <x:v>Total</x:v>
      </x:c>
      <x:c r="C262" s="17" t="n">
        <x:v>42518</x:v>
      </x:c>
      <x:c r="D262" s="17" t="n">
        <x:v>6694</x:v>
      </x:c>
      <x:c r="E262" s="18" t="n">
        <x:v>86.82111144308337</x:v>
      </x:c>
      <x:c r="F262" s="19"/>
      <x:c r="G262" s="19"/>
      <x:c r="H262" s="19"/>
      <x:c r="I262" s="19"/>
      <x:c r="J262" s="17"/>
      <x:c r="K262" s="17"/>
      <x:c r="L262" s="17"/>
      <x:c r="M262" s="17"/>
      <x:c r="N262" s="17" t="str">
        <x:f>IF(COUNTA(J262:M262)=0,"",SUM(J262:M262))</x:f>
      </x:c>
      <x:c r="O262" s="15" t="str">
        <x:v>真实月报</x:v>
      </x:c>
    </x:row>
    <x:row r="263">
      <x:c r="A263" s="15" t="str">
        <x:v>2026-03</x:v>
      </x:c>
      <x:c r="B263" s="15" t="str">
        <x:v>Tiktok</x:v>
      </x:c>
      <x:c r="C263" s="17" t="n">
        <x:v>7</x:v>
      </x:c>
      <x:c r="D263" s="17" t="n">
        <x:v>1</x:v>
      </x:c>
      <x:c r="E263" s="18"/>
      <x:c r="F263" s="19" t="n">
        <x:v>0</x:v>
      </x:c>
      <x:c r="G263" s="19" t="n">
        <x:v>0.3333333333333333</x:v>
      </x:c>
      <x:c r="H263" s="19" t="n">
        <x:v>0.3333333333333333</x:v>
      </x:c>
      <x:c r="I263" s="19" t="n">
        <x:v>0.3333333333333333</x:v>
      </x:c>
      <x:c r="J263" s="17" t="n">
        <x:v>0</x:v>
      </x:c>
      <x:c r="K263" s="17" t="n">
        <x:v>4</x:v>
      </x:c>
      <x:c r="L263" s="17" t="n">
        <x:v>4</x:v>
      </x:c>
      <x:c r="M263" s="17" t="n">
        <x:v>4</x:v>
      </x:c>
      <x:c r="N263" s="17" t="n">
        <x:f>IF(COUNTA(J263:M263)=0,"",SUM(J263:M263))</x:f>
        <x:v>12</x:v>
      </x:c>
      <x:c r="O263" s="15" t="str">
        <x:v>真实月报+样例样本量</x:v>
      </x:c>
    </x:row>
    <x:row r="264">
      <x:c r="A264" s="15" t="str">
        <x:v>2026-03</x:v>
      </x:c>
      <x:c r="B264" s="15" t="str">
        <x:v>GEO</x:v>
      </x:c>
      <x:c r="C264" s="17" t="n">
        <x:v>171</x:v>
      </x:c>
      <x:c r="D264" s="17" t="n">
        <x:v>18</x:v>
      </x:c>
      <x:c r="E264" s="18"/>
      <x:c r="F264" s="19" t="n">
        <x:v>0.21568627450980393</x:v>
      </x:c>
      <x:c r="G264" s="19" t="n">
        <x:v>0.11764705882352941</x:v>
      </x:c>
      <x:c r="H264" s="19" t="n">
        <x:v>0.6470588235294118</x:v>
      </x:c>
      <x:c r="I264" s="19" t="n">
        <x:v>0.0196078431372549</x:v>
      </x:c>
      <x:c r="J264" s="17" t="n">
        <x:v>41</x:v>
      </x:c>
      <x:c r="K264" s="17" t="n">
        <x:v>22</x:v>
      </x:c>
      <x:c r="L264" s="17" t="n">
        <x:v>123</x:v>
      </x:c>
      <x:c r="M264" s="17" t="n">
        <x:v>4</x:v>
      </x:c>
      <x:c r="N264" s="17" t="n">
        <x:f>IF(COUNTA(J264:M264)=0,"",SUM(J264:M264))</x:f>
        <x:v>190</x:v>
      </x:c>
      <x:c r="O264" s="15" t="str">
        <x:v>真实月报+样例样本量</x:v>
      </x:c>
    </x:row>
    <x:row r="265">
      <x:c r="A265" s="15" t="str">
        <x:v>2026-03</x:v>
      </x:c>
      <x:c r="B265" s="15" t="str">
        <x:v>Organic</x:v>
      </x:c>
      <x:c r="C265" s="17" t="n">
        <x:v>12825</x:v>
      </x:c>
      <x:c r="D265" s="17" t="n">
        <x:v>3106</x:v>
      </x:c>
      <x:c r="E265" s="18"/>
      <x:c r="F265" s="19" t="n">
        <x:v>0.4159815850049326</x:v>
      </x:c>
      <x:c r="G265" s="19" t="n">
        <x:v>0.11903978954291351</x:v>
      </x:c>
      <x:c r="H265" s="19" t="n">
        <x:v>0.40852789652526583</x:v>
      </x:c>
      <x:c r="I265" s="19" t="n">
        <x:v>0.056450728926888086</x:v>
      </x:c>
      <x:c r="J265" s="17" t="n">
        <x:v>5616</x:v>
      </x:c>
      <x:c r="K265" s="17" t="n">
        <x:v>1607</x:v>
      </x:c>
      <x:c r="L265" s="17" t="n">
        <x:v>5515</x:v>
      </x:c>
      <x:c r="M265" s="17" t="n">
        <x:v>762</x:v>
      </x:c>
      <x:c r="N265" s="17" t="n">
        <x:f>IF(COUNTA(J265:M265)=0,"",SUM(J265:M265))</x:f>
        <x:v>13500</x:v>
      </x:c>
      <x:c r="O265" s="15" t="str">
        <x:v>真实月报+样例样本量</x:v>
      </x:c>
    </x:row>
    <x:row r="266">
      <x:c r="A266" s="15" t="str">
        <x:v>2026-03</x:v>
      </x:c>
      <x:c r="B266" s="15" t="str">
        <x:v>Owned Channels</x:v>
      </x:c>
      <x:c r="C266" s="17" t="n">
        <x:v>5971</x:v>
      </x:c>
      <x:c r="D266" s="17" t="n">
        <x:v>912</x:v>
      </x:c>
      <x:c r="E266" s="18"/>
      <x:c r="F266" s="19" t="n">
        <x:v>0.3472913616398243</x:v>
      </x:c>
      <x:c r="G266" s="19" t="n">
        <x:v>0.17218155197657395</x:v>
      </x:c>
      <x:c r="H266" s="19" t="n">
        <x:v>0.4726207906295754</x:v>
      </x:c>
      <x:c r="I266" s="19" t="n">
        <x:v>0.007906295754026354</x:v>
      </x:c>
      <x:c r="J266" s="17" t="n">
        <x:v>1632</x:v>
      </x:c>
      <x:c r="K266" s="17" t="n">
        <x:v>809</x:v>
      </x:c>
      <x:c r="L266" s="17" t="n">
        <x:v>2221</x:v>
      </x:c>
      <x:c r="M266" s="17" t="n">
        <x:v>38</x:v>
      </x:c>
      <x:c r="N266" s="17" t="n">
        <x:f>IF(COUNTA(J266:M266)=0,"",SUM(J266:M266))</x:f>
        <x:v>4700</x:v>
      </x:c>
      <x:c r="O266" s="15" t="str">
        <x:v>真实月报+样例样本量</x:v>
      </x:c>
    </x:row>
    <x:row r="267">
      <x:c r="A267" s="15" t="str">
        <x:v>2026-03</x:v>
      </x:c>
      <x:c r="B267" s="15" t="str">
        <x:v>Google</x:v>
      </x:c>
      <x:c r="C267" s="17" t="n">
        <x:v>25688</x:v>
      </x:c>
      <x:c r="D267" s="17" t="n">
        <x:v>3590</x:v>
      </x:c>
      <x:c r="E267" s="18" t="n">
        <x:v>163.08133704735377</x:v>
      </x:c>
      <x:c r="F267" s="19" t="n">
        <x:v>0.2755327894770126</x:v>
      </x:c>
      <x:c r="G267" s="19" t="n">
        <x:v>0.13665971036488964</x:v>
      </x:c>
      <x:c r="H267" s="19" t="n">
        <x:v>0.5264655663062038</x:v>
      </x:c>
      <x:c r="I267" s="19" t="n">
        <x:v>0.06134193385189401</x:v>
      </x:c>
      <x:c r="J267" s="17" t="n">
        <x:v>1240</x:v>
      </x:c>
      <x:c r="K267" s="17" t="n">
        <x:v>615</x:v>
      </x:c>
      <x:c r="L267" s="17" t="n">
        <x:v>2369</x:v>
      </x:c>
      <x:c r="M267" s="17" t="n">
        <x:v>276</x:v>
      </x:c>
      <x:c r="N267" s="17" t="n">
        <x:f>IF(COUNTA(J267:M267)=0,"",SUM(J267:M267))</x:f>
        <x:v>4500</x:v>
      </x:c>
      <x:c r="O267" s="15" t="str">
        <x:v>真实月报+样例样本量</x:v>
      </x:c>
    </x:row>
    <x:row r="268">
      <x:c r="A268" s="15" t="str">
        <x:v>2026-03</x:v>
      </x:c>
      <x:c r="B268" s="15" t="str">
        <x:v>Bing</x:v>
      </x:c>
      <x:c r="C268" s="17" t="n">
        <x:v>230</x:v>
      </x:c>
      <x:c r="D268" s="17" t="n">
        <x:v>36</x:v>
      </x:c>
      <x:c r="E268" s="18" t="n">
        <x:v>164.83333333333334</x:v>
      </x:c>
      <x:c r="F268" s="19" t="n">
        <x:v>0.3129251700680272</x:v>
      </x:c>
      <x:c r="G268" s="19" t="n">
        <x:v>0.09523809523809523</x:v>
      </x:c>
      <x:c r="H268" s="19" t="n">
        <x:v>0.5034013605442177</x:v>
      </x:c>
      <x:c r="I268" s="19" t="n">
        <x:v>0.08843537414965986</x:v>
      </x:c>
      <x:c r="J268" s="17" t="n">
        <x:v>131</x:v>
      </x:c>
      <x:c r="K268" s="17" t="n">
        <x:v>40</x:v>
      </x:c>
      <x:c r="L268" s="17" t="n">
        <x:v>211</x:v>
      </x:c>
      <x:c r="M268" s="17" t="n">
        <x:v>38</x:v>
      </x:c>
      <x:c r="N268" s="17" t="n">
        <x:f>IF(COUNTA(J268:M268)=0,"",SUM(J268:M268))</x:f>
        <x:v>420</x:v>
      </x:c>
      <x:c r="O268" s="15" t="str">
        <x:v>真实月报+样例样本量</x:v>
      </x:c>
    </x:row>
    <x:row r="269">
      <x:c r="A269" s="15" t="str">
        <x:v>2026-03</x:v>
      </x:c>
      <x:c r="B269" s="15" t="str">
        <x:v>Lead Partner</x:v>
      </x:c>
      <x:c r="C269" s="17" t="n">
        <x:v>4212</x:v>
      </x:c>
      <x:c r="D269" s="17" t="n">
        <x:v>526</x:v>
      </x:c>
      <x:c r="E269" s="18" t="n">
        <x:v>203.99239543726236</x:v>
      </x:c>
      <x:c r="F269" s="19" t="n">
        <x:v>0.27806563039723664</x:v>
      </x:c>
      <x:c r="G269" s="19" t="n">
        <x:v>0.1895509499136442</x:v>
      </x:c>
      <x:c r="H269" s="19" t="n">
        <x:v>0.5120898100172712</x:v>
      </x:c>
      <x:c r="I269" s="19" t="n">
        <x:v>0.020293609671848015</x:v>
      </x:c>
      <x:c r="J269" s="17" t="n">
        <x:v>1279</x:v>
      </x:c>
      <x:c r="K269" s="17" t="n">
        <x:v>872</x:v>
      </x:c>
      <x:c r="L269" s="17" t="n">
        <x:v>2356</x:v>
      </x:c>
      <x:c r="M269" s="17" t="n">
        <x:v>93</x:v>
      </x:c>
      <x:c r="N269" s="17" t="n">
        <x:f>IF(COUNTA(J269:M269)=0,"",SUM(J269:M269))</x:f>
        <x:v>4600</x:v>
      </x:c>
      <x:c r="O269" s="15" t="str">
        <x:v>真实月报+样例样本量</x:v>
      </x:c>
    </x:row>
    <x:row r="270">
      <x:c r="A270" s="15" t="str">
        <x:v>2026-03</x:v>
      </x:c>
      <x:c r="B270" s="15" t="str">
        <x:v>Meta</x:v>
      </x:c>
      <x:c r="C270" s="17" t="n">
        <x:v>29</x:v>
      </x:c>
      <x:c r="D270" s="17" t="n">
        <x:v>3</x:v>
      </x:c>
      <x:c r="E270" s="18"/>
      <x:c r="F270" s="19" t="n">
        <x:v>0.2631578947368421</x:v>
      </x:c>
      <x:c r="G270" s="19" t="n">
        <x:v>0.10526315789473684</x:v>
      </x:c>
      <x:c r="H270" s="19" t="n">
        <x:v>0.5263157894736842</x:v>
      </x:c>
      <x:c r="I270" s="19" t="n">
        <x:v>0.10526315789473684</x:v>
      </x:c>
      <x:c r="J270" s="17" t="n">
        <x:v>25</x:v>
      </x:c>
      <x:c r="K270" s="17" t="n">
        <x:v>10</x:v>
      </x:c>
      <x:c r="L270" s="17" t="n">
        <x:v>50</x:v>
      </x:c>
      <x:c r="M270" s="17" t="n">
        <x:v>10</x:v>
      </x:c>
      <x:c r="N270" s="17" t="n">
        <x:f>IF(COUNTA(J270:M270)=0,"",SUM(J270:M270))</x:f>
        <x:v>95</x:v>
      </x:c>
      <x:c r="O270" s="15" t="str">
        <x:v>真实月报+样例样本量</x:v>
      </x:c>
    </x:row>
    <x:row r="271">
      <x:c r="A271" s="15" t="str">
        <x:v>2026-03</x:v>
      </x:c>
      <x:c r="B271" s="15" t="str">
        <x:v>Total</x:v>
      </x:c>
      <x:c r="C271" s="17" t="n">
        <x:v>49133</x:v>
      </x:c>
      <x:c r="D271" s="17" t="n">
        <x:v>8192</x:v>
      </x:c>
      <x:c r="E271" s="18" t="n">
        <x:v>85.4141845703125</x:v>
      </x:c>
      <x:c r="F271" s="19"/>
      <x:c r="G271" s="19"/>
      <x:c r="H271" s="19"/>
      <x:c r="I271" s="19"/>
      <x:c r="J271" s="17"/>
      <x:c r="K271" s="17"/>
      <x:c r="L271" s="17"/>
      <x:c r="M271" s="17"/>
      <x:c r="N271" s="17" t="str">
        <x:f>IF(COUNTA(J271:M271)=0,"",SUM(J271:M271))</x:f>
      </x:c>
      <x:c r="O271" s="15" t="str">
        <x:v>真实月报</x:v>
      </x:c>
    </x:row>
  </x:sheetData>
  <x:pageMargins left="0.7" right="0.7" top="0.75" bottom="0.75" header="0.3" footer="0.3"/>
  <x:tableParts count="1">
    <x:tablePart xmlns:r="http://schemas.openxmlformats.org/officeDocument/2006/relationships" r:id="Rd0059ed870c848b7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4" hidden="0" customWidth="1"/>
    <x:col min="6" max="6" width="22" hidden="0" customWidth="1"/>
    <x:col min="7" max="7" width="22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14" hidden="0" customWidth="1"/>
    <x:col min="28" max="28" width="14" hidden="0" customWidth="1"/>
    <x:col min="29" max="29" width="14" hidden="0" customWidth="1"/>
    <x:col min="30" max="30" width="14" hidden="0" customWidth="1"/>
    <x:col min="31" max="31" width="14" hidden="0" customWidth="1"/>
    <x:col min="32" max="32" width="14" hidden="0" customWidth="1"/>
  </x:cols>
  <x:sheetData>
    <x:row r="1">
      <x:c r="A1" s="9" t="str">
        <x:v>id</x:v>
      </x:c>
      <x:c r="B1" s="9" t="str">
        <x:v>userId</x:v>
      </x:c>
      <x:c r="C1" s="9" t="str">
        <x:v>applicationId</x:v>
      </x:c>
      <x:c r="D1" s="9" t="str">
        <x:v>loanId</x:v>
      </x:c>
      <x:c r="E1" s="9" t="str">
        <x:v>cohort</x:v>
      </x:c>
      <x:c r="F1" s="9" t="str">
        <x:v>channel</x:v>
      </x:c>
      <x:c r="G1" s="9" t="str">
        <x:v>campaign</x:v>
      </x:c>
      <x:c r="H1" s="9" t="str">
        <x:v>brand</x:v>
      </x:c>
      <x:c r="I1" s="9" t="str">
        <x:v>customer</x:v>
      </x:c>
      <x:c r="J1" s="9" t="str">
        <x:v>region</x:v>
      </x:c>
      <x:c r="K1" s="9" t="str">
        <x:v>device</x:v>
      </x:c>
      <x:c r="L1" s="9" t="str">
        <x:v>product</x:v>
      </x:c>
      <x:c r="M1" s="9" t="str">
        <x:v>started</x:v>
      </x:c>
      <x:c r="N1" s="9" t="str">
        <x:v>submitted</x:v>
      </x:c>
      <x:c r="O1" s="9" t="str">
        <x:v>qualified</x:v>
      </x:c>
      <x:c r="P1" s="9" t="str">
        <x:v>approved</x:v>
      </x:c>
      <x:c r="Q1" s="9" t="str">
        <x:v>funded</x:v>
      </x:c>
      <x:c r="R1" s="9" t="str">
        <x:v>impressions</x:v>
      </x:c>
      <x:c r="S1" s="9" t="str">
        <x:v>clicks</x:v>
      </x:c>
      <x:c r="T1" s="9" t="str">
        <x:v>sessions</x:v>
      </x:c>
      <x:c r="U1" s="9" t="str">
        <x:v>loanAmount</x:v>
      </x:c>
      <x:c r="V1" s="9" t="str">
        <x:v>interest</x:v>
      </x:c>
      <x:c r="W1" s="9" t="str">
        <x:v>fees</x:v>
      </x:c>
      <x:c r="X1" s="9" t="str">
        <x:v>fundingCost</x:v>
      </x:c>
      <x:c r="Y1" s="9" t="str">
        <x:v>servicingCost</x:v>
      </x:c>
      <x:c r="Z1" s="9" t="str">
        <x:v>expectedLoss</x:v>
      </x:c>
      <x:c r="AA1" s="9" t="str">
        <x:v>ltv</x:v>
      </x:c>
      <x:c r="AB1" s="9" t="str">
        <x:v>fraud</x:v>
      </x:c>
      <x:c r="AC1" s="9" t="str">
        <x:v>firstDue</x:v>
      </x:c>
      <x:c r="AD1" s="9" t="str">
        <x:v>m1bad</x:v>
      </x:c>
      <x:c r="AE1" s="9" t="str">
        <x:v>thirdDue</x:v>
      </x:c>
      <x:c r="AF1" s="9" t="str">
        <x:v>m3bad</x:v>
      </x:c>
    </x:row>
    <x:row r="2">
      <x:c r="A2" s="15" t="str">
        <x:v>V-2001</x:v>
      </x:c>
      <x:c r="B2" s="15" t="str">
        <x:v>USR-2001</x:v>
      </x:c>
      <x:c r="C2" s="15" t="str">
        <x:v>APP-2001</x:v>
      </x:c>
      <x:c r="D2" s="15" t="str">
        <x:v>LN-2001</x:v>
      </x:c>
      <x:c r="E2" s="15" t="str">
        <x:v>2026-05-01</x:v>
      </x:c>
      <x:c r="F2" s="15" t="str">
        <x:v>Google Search</x:v>
      </x:c>
      <x:c r="G2" s="15" t="str">
        <x:v>AU_Search_Brand</x:v>
      </x:c>
      <x:c r="H2" s="15" t="str">
        <x:v>brand</x:v>
      </x:c>
      <x:c r="I2" s="15" t="str">
        <x:v>new</x:v>
      </x:c>
      <x:c r="J2" s="15" t="str">
        <x:v>NSW</x:v>
      </x:c>
      <x:c r="K2" s="15" t="str">
        <x:v>mobile</x:v>
      </x:c>
      <x:c r="L2" s="15" t="str">
        <x:v>fixed</x:v>
      </x:c>
      <x:c r="M2" s="15" t="str">
        <x:v>2026-05-01</x:v>
      </x:c>
      <x:c r="N2" s="15" t="str">
        <x:v>2026-05-02</x:v>
      </x:c>
      <x:c r="O2" s="15" t="str">
        <x:v>2026-05-03</x:v>
      </x:c>
      <x:c r="P2" s="15" t="str">
        <x:v>2026-05-04</x:v>
      </x:c>
      <x:c r="Q2" s="15" t="str">
        <x:v>2026-05-05</x:v>
      </x:c>
      <x:c r="R2" s="15" t="n">
        <x:v>620</x:v>
      </x:c>
      <x:c r="S2" s="15" t="n">
        <x:v>2</x:v>
      </x:c>
      <x:c r="T2" s="15" t="n">
        <x:v>1</x:v>
      </x:c>
      <x:c r="U2" s="18" t="n">
        <x:v>5200</x:v>
      </x:c>
      <x:c r="V2" s="18" t="n">
        <x:v>1248</x:v>
      </x:c>
      <x:c r="W2" s="18" t="n">
        <x:v>46.8</x:v>
      </x:c>
      <x:c r="X2" s="18" t="n">
        <x:v>369.2</x:v>
      </x:c>
      <x:c r="Y2" s="18" t="n">
        <x:v>210</x:v>
      </x:c>
      <x:c r="Z2" s="18" t="n">
        <x:v>270.4</x:v>
      </x:c>
      <x:c r="AA2" s="18" t="n">
        <x:v>534.24</x:v>
      </x:c>
      <x:c r="AB2" s="16" t="b">
        <x:v>0</x:v>
      </x:c>
      <x:c r="AC2" s="15" t="str">
        <x:v>2026-06-05</x:v>
      </x:c>
      <x:c r="AD2" s="16" t="b">
        <x:v>0</x:v>
      </x:c>
      <x:c r="AE2" s="15" t="str">
        <x:v>2026-08-05</x:v>
      </x:c>
      <x:c r="AF2" s="16" t="b">
        <x:v>0</x:v>
      </x:c>
    </x:row>
    <x:row r="3">
      <x:c r="A3" s="15" t="str">
        <x:v>V-2002</x:v>
      </x:c>
      <x:c r="B3" s="15" t="str">
        <x:v>USR-2002</x:v>
      </x:c>
      <x:c r="C3" s="15" t="str">
        <x:v>APP-2002</x:v>
      </x:c>
      <x:c r="D3" s="15" t="str">
        <x:v>LN-2002</x:v>
      </x:c>
      <x:c r="E3" s="15" t="str">
        <x:v>2026-05-02</x:v>
      </x:c>
      <x:c r="F3" s="15" t="str">
        <x:v>Google Search</x:v>
      </x:c>
      <x:c r="G3" s="15" t="str">
        <x:v>AU_Search_NonBrand_HighIntent</x:v>
      </x:c>
      <x:c r="H3" s="15" t="str">
        <x:v>nonbrand</x:v>
      </x:c>
      <x:c r="I3" s="15" t="str">
        <x:v>old</x:v>
      </x:c>
      <x:c r="J3" s="15" t="str">
        <x:v>VIC</x:v>
      </x:c>
      <x:c r="K3" s="15" t="str">
        <x:v>desktop</x:v>
      </x:c>
      <x:c r="L3" s="15" t="str">
        <x:v>fixed</x:v>
      </x:c>
      <x:c r="M3" s="15" t="str">
        <x:v>2026-05-02</x:v>
      </x:c>
      <x:c r="N3" s="15" t="str">
        <x:v>2026-05-03</x:v>
      </x:c>
      <x:c r="O3" s="15" t="str">
        <x:v>2026-05-04</x:v>
      </x:c>
      <x:c r="P3" s="15" t="str">
        <x:v>2026-05-05</x:v>
      </x:c>
      <x:c r="Q3" s="15" t="str">
        <x:v>2026-05-06</x:v>
      </x:c>
      <x:c r="R3" s="15" t="n">
        <x:v>780</x:v>
      </x:c>
      <x:c r="S3" s="15" t="n">
        <x:v>2</x:v>
      </x:c>
      <x:c r="T3" s="15" t="n">
        <x:v>1</x:v>
      </x:c>
      <x:c r="U3" s="18" t="n">
        <x:v>11000</x:v>
      </x:c>
      <x:c r="V3" s="18" t="n">
        <x:v>2640</x:v>
      </x:c>
      <x:c r="W3" s="18" t="n">
        <x:v>99</x:v>
      </x:c>
      <x:c r="X3" s="18" t="n">
        <x:v>781</x:v>
      </x:c>
      <x:c r="Y3" s="18" t="n">
        <x:v>210</x:v>
      </x:c>
      <x:c r="Z3" s="18" t="n">
        <x:v>440</x:v>
      </x:c>
      <x:c r="AA3" s="18" t="n">
        <x:v>1308</x:v>
      </x:c>
      <x:c r="AB3" s="16" t="b">
        <x:v>0</x:v>
      </x:c>
      <x:c r="AC3" s="15" t="str">
        <x:v>2026-06-06</x:v>
      </x:c>
      <x:c r="AD3" s="16" t="b">
        <x:v>0</x:v>
      </x:c>
      <x:c r="AE3" s="15" t="str">
        <x:v>2026-08-06</x:v>
      </x:c>
      <x:c r="AF3" s="16" t="b">
        <x:v>0</x:v>
      </x:c>
    </x:row>
    <x:row r="4">
      <x:c r="A4" s="15" t="str">
        <x:v>V-2003</x:v>
      </x:c>
      <x:c r="B4" s="15" t="str">
        <x:v>USR-2003</x:v>
      </x:c>
      <x:c r="C4" s="15" t="str">
        <x:v>APP-2003</x:v>
      </x:c>
      <x:c r="D4" s="15" t="str">
        <x:v>LN-2003</x:v>
      </x:c>
      <x:c r="E4" s="15" t="str">
        <x:v>2026-05-05</x:v>
      </x:c>
      <x:c r="F4" s="15" t="str">
        <x:v>Google Search</x:v>
      </x:c>
      <x:c r="G4" s="15" t="str">
        <x:v>AU_Search_Rates</x:v>
      </x:c>
      <x:c r="H4" s="15" t="str">
        <x:v>nonbrand</x:v>
      </x:c>
      <x:c r="I4" s="15" t="str">
        <x:v>new</x:v>
      </x:c>
      <x:c r="J4" s="15" t="str">
        <x:v>QLD</x:v>
      </x:c>
      <x:c r="K4" s="15" t="str">
        <x:v>mobile</x:v>
      </x:c>
      <x:c r="L4" s="15" t="str">
        <x:v>loc</x:v>
      </x:c>
      <x:c r="M4" s="15" t="str">
        <x:v>2026-05-05</x:v>
      </x:c>
      <x:c r="N4" s="15" t="str">
        <x:v>2026-05-06</x:v>
      </x:c>
      <x:c r="O4" s="15" t="str">
        <x:v>2026-05-07</x:v>
      </x:c>
      <x:c r="P4" s="15" t="str">
        <x:v>2026-05-08</x:v>
      </x:c>
      <x:c r="Q4" s="15" t="str">
        <x:v>2026-05-09</x:v>
      </x:c>
      <x:c r="R4" s="15" t="n">
        <x:v>830</x:v>
      </x:c>
      <x:c r="S4" s="15" t="n">
        <x:v>3</x:v>
      </x:c>
      <x:c r="T4" s="15" t="n">
        <x:v>1</x:v>
      </x:c>
      <x:c r="U4" s="18" t="n">
        <x:v>8700</x:v>
      </x:c>
      <x:c r="V4" s="18" t="n">
        <x:v>2088</x:v>
      </x:c>
      <x:c r="W4" s="18" t="n">
        <x:v>78.3</x:v>
      </x:c>
      <x:c r="X4" s="18" t="n">
        <x:v>617.7</x:v>
      </x:c>
      <x:c r="Y4" s="18" t="n">
        <x:v>210</x:v>
      </x:c>
      <x:c r="Z4" s="18" t="n">
        <x:v>452.4</x:v>
      </x:c>
      <x:c r="AA4" s="18" t="n">
        <x:v>1063.44</x:v>
      </x:c>
      <x:c r="AB4" s="16" t="b">
        <x:v>0</x:v>
      </x:c>
      <x:c r="AC4" s="15" t="str">
        <x:v>2026-06-09</x:v>
      </x:c>
      <x:c r="AD4" s="16" t="b">
        <x:v>1</x:v>
      </x:c>
      <x:c r="AE4" s="15" t="str">
        <x:v>2026-08-09</x:v>
      </x:c>
      <x:c r="AF4" s="15"/>
    </x:row>
    <x:row r="5">
      <x:c r="A5" s="15" t="str">
        <x:v>V-2004</x:v>
      </x:c>
      <x:c r="B5" s="15" t="str">
        <x:v>USR-2004</x:v>
      </x:c>
      <x:c r="C5" s="15" t="str">
        <x:v>APP-2004</x:v>
      </x:c>
      <x:c r="D5" s="15" t="str">
        <x:v>LN-2004</x:v>
      </x:c>
      <x:c r="E5" s="15" t="str">
        <x:v>2026-06-08</x:v>
      </x:c>
      <x:c r="F5" s="15" t="str">
        <x:v>Google Search</x:v>
      </x:c>
      <x:c r="G5" s="15" t="str">
        <x:v>AU_Search_NonBrand_HighIntent</x:v>
      </x:c>
      <x:c r="H5" s="15" t="str">
        <x:v>nonbrand</x:v>
      </x:c>
      <x:c r="I5" s="15" t="str">
        <x:v>new</x:v>
      </x:c>
      <x:c r="J5" s="15" t="str">
        <x:v>NSW</x:v>
      </x:c>
      <x:c r="K5" s="15" t="str">
        <x:v>desktop</x:v>
      </x:c>
      <x:c r="L5" s="15" t="str">
        <x:v>fixed</x:v>
      </x:c>
      <x:c r="M5" s="15" t="str">
        <x:v>2026-06-08</x:v>
      </x:c>
      <x:c r="N5" s="15" t="str">
        <x:v>2026-06-09</x:v>
      </x:c>
      <x:c r="O5" s="15" t="str">
        <x:v>2026-06-10</x:v>
      </x:c>
      <x:c r="P5" s="15" t="str">
        <x:v>2026-06-11</x:v>
      </x:c>
      <x:c r="Q5" s="15" t="str">
        <x:v>2026-06-13</x:v>
      </x:c>
      <x:c r="R5" s="15" t="n">
        <x:v>910</x:v>
      </x:c>
      <x:c r="S5" s="15" t="n">
        <x:v>3</x:v>
      </x:c>
      <x:c r="T5" s="15" t="n">
        <x:v>1</x:v>
      </x:c>
      <x:c r="U5" s="18" t="n">
        <x:v>15000</x:v>
      </x:c>
      <x:c r="V5" s="18" t="n">
        <x:v>3600</x:v>
      </x:c>
      <x:c r="W5" s="18" t="n">
        <x:v>135</x:v>
      </x:c>
      <x:c r="X5" s="18" t="n">
        <x:v>1065</x:v>
      </x:c>
      <x:c r="Y5" s="18" t="n">
        <x:v>210</x:v>
      </x:c>
      <x:c r="Z5" s="18" t="n">
        <x:v>780</x:v>
      </x:c>
      <x:c r="AA5" s="18" t="n">
        <x:v>2016</x:v>
      </x:c>
      <x:c r="AB5" s="16" t="b">
        <x:v>0</x:v>
      </x:c>
      <x:c r="AC5" s="15" t="str">
        <x:v>2026-07-13</x:v>
      </x:c>
      <x:c r="AD5" s="16" t="b">
        <x:v>0</x:v>
      </x:c>
      <x:c r="AE5" s="15" t="str">
        <x:v>2026-09-13</x:v>
      </x:c>
      <x:c r="AF5" s="15"/>
    </x:row>
    <x:row r="6">
      <x:c r="A6" s="15" t="str">
        <x:v>V-2005</x:v>
      </x:c>
      <x:c r="B6" s="15" t="str">
        <x:v>USR-2005</x:v>
      </x:c>
      <x:c r="C6" s="15" t="str">
        <x:v>APP-2005</x:v>
      </x:c>
      <x:c r="D6" s="15" t="str">
        <x:v>LN-2005</x:v>
      </x:c>
      <x:c r="E6" s="15" t="str">
        <x:v>2026-07-03</x:v>
      </x:c>
      <x:c r="F6" s="15" t="str">
        <x:v>Google Search</x:v>
      </x:c>
      <x:c r="G6" s="15" t="str">
        <x:v>AU_Search_Brand</x:v>
      </x:c>
      <x:c r="H6" s="15" t="str">
        <x:v>brand</x:v>
      </x:c>
      <x:c r="I6" s="15" t="str">
        <x:v>old</x:v>
      </x:c>
      <x:c r="J6" s="15" t="str">
        <x:v>VIC</x:v>
      </x:c>
      <x:c r="K6" s="15" t="str">
        <x:v>mobile</x:v>
      </x:c>
      <x:c r="L6" s="15" t="str">
        <x:v>loc</x:v>
      </x:c>
      <x:c r="M6" s="15" t="str">
        <x:v>2026-07-03</x:v>
      </x:c>
      <x:c r="N6" s="15" t="str">
        <x:v>2026-07-04</x:v>
      </x:c>
      <x:c r="O6" s="15" t="str">
        <x:v>2026-07-05</x:v>
      </x:c>
      <x:c r="P6" s="15" t="str">
        <x:v>2026-07-06</x:v>
      </x:c>
      <x:c r="Q6" s="15" t="str">
        <x:v>2026-07-07</x:v>
      </x:c>
      <x:c r="R6" s="15" t="n">
        <x:v>540</x:v>
      </x:c>
      <x:c r="S6" s="15" t="n">
        <x:v>2</x:v>
      </x:c>
      <x:c r="T6" s="15" t="n">
        <x:v>1</x:v>
      </x:c>
      <x:c r="U6" s="18" t="n">
        <x:v>9600</x:v>
      </x:c>
      <x:c r="V6" s="18" t="n">
        <x:v>2304</x:v>
      </x:c>
      <x:c r="W6" s="18" t="n">
        <x:v>86.4</x:v>
      </x:c>
      <x:c r="X6" s="18" t="n">
        <x:v>681.6</x:v>
      </x:c>
      <x:c r="Y6" s="18" t="n">
        <x:v>210</x:v>
      </x:c>
      <x:c r="Z6" s="18" t="n">
        <x:v>384</x:v>
      </x:c>
      <x:c r="AA6" s="18" t="n">
        <x:v>1114.8</x:v>
      </x:c>
      <x:c r="AB6" s="16" t="b">
        <x:v>0</x:v>
      </x:c>
      <x:c r="AC6" s="15" t="str">
        <x:v>2026-08-07</x:v>
      </x:c>
      <x:c r="AD6" s="16" t="b">
        <x:v>0</x:v>
      </x:c>
      <x:c r="AE6" s="15" t="str">
        <x:v>2026-10-07</x:v>
      </x:c>
      <x:c r="AF6" s="15"/>
    </x:row>
    <x:row r="7">
      <x:c r="A7" s="15" t="str">
        <x:v>V-2006</x:v>
      </x:c>
      <x:c r="B7" s="15" t="str">
        <x:v>USR-2006</x:v>
      </x:c>
      <x:c r="C7" s="15" t="str">
        <x:v>APP-2006</x:v>
      </x:c>
      <x:c r="D7" s="15"/>
      <x:c r="E7" s="15" t="str">
        <x:v>2026-07-10</x:v>
      </x:c>
      <x:c r="F7" s="15" t="str">
        <x:v>Google Search</x:v>
      </x:c>
      <x:c r="G7" s="15" t="str">
        <x:v>AU_Search_Rates</x:v>
      </x:c>
      <x:c r="H7" s="15" t="str">
        <x:v>nonbrand</x:v>
      </x:c>
      <x:c r="I7" s="15" t="str">
        <x:v>new</x:v>
      </x:c>
      <x:c r="J7" s="15" t="str">
        <x:v>NSW</x:v>
      </x:c>
      <x:c r="K7" s="15" t="str">
        <x:v>desktop</x:v>
      </x:c>
      <x:c r="L7" s="15" t="str">
        <x:v>fixed</x:v>
      </x:c>
      <x:c r="M7" s="15" t="str">
        <x:v>2026-07-10</x:v>
      </x:c>
      <x:c r="N7" s="15" t="str">
        <x:v>2026-07-11</x:v>
      </x:c>
      <x:c r="O7" s="15" t="str">
        <x:v>2026-07-12</x:v>
      </x:c>
      <x:c r="P7" s="15" t="str">
        <x:v>2026-07-13</x:v>
      </x:c>
      <x:c r="Q7" s="15"/>
      <x:c r="R7" s="15" t="n">
        <x:v>700</x:v>
      </x:c>
      <x:c r="S7" s="15" t="n">
        <x:v>2</x:v>
      </x:c>
      <x:c r="T7" s="15" t="n">
        <x:v>1</x:v>
      </x:c>
      <x:c r="U7" s="18" t="n">
        <x:v>0</x:v>
      </x:c>
      <x:c r="V7" s="18" t="n">
        <x:v>0</x:v>
      </x:c>
      <x:c r="W7" s="18" t="n">
        <x:v>0</x:v>
      </x:c>
      <x:c r="X7" s="18" t="n">
        <x:v>0</x:v>
      </x:c>
      <x:c r="Y7" s="18" t="n">
        <x:v>0</x:v>
      </x:c>
      <x:c r="Z7" s="18" t="n">
        <x:v>0</x:v>
      </x:c>
      <x:c r="AA7" s="18" t="n">
        <x:v>0</x:v>
      </x:c>
      <x:c r="AB7" s="16" t="b">
        <x:v>0</x:v>
      </x:c>
      <x:c r="AC7" s="15"/>
      <x:c r="AD7" s="15"/>
      <x:c r="AE7" s="15"/>
      <x:c r="AF7" s="15"/>
    </x:row>
    <x:row r="8">
      <x:c r="A8" s="15" t="str">
        <x:v>V-2007</x:v>
      </x:c>
      <x:c r="B8" s="15" t="str">
        <x:v>USR-2007</x:v>
      </x:c>
      <x:c r="C8" s="15" t="str">
        <x:v>APP-2007</x:v>
      </x:c>
      <x:c r="D8" s="15"/>
      <x:c r="E8" s="15" t="str">
        <x:v>2026-08-20</x:v>
      </x:c>
      <x:c r="F8" s="15" t="str">
        <x:v>Google Search</x:v>
      </x:c>
      <x:c r="G8" s="15" t="str">
        <x:v>AU_Search_NonBrand_HighIntent</x:v>
      </x:c>
      <x:c r="H8" s="15" t="str">
        <x:v>nonbrand</x:v>
      </x:c>
      <x:c r="I8" s="15" t="str">
        <x:v>new</x:v>
      </x:c>
      <x:c r="J8" s="15" t="str">
        <x:v>QLD</x:v>
      </x:c>
      <x:c r="K8" s="15" t="str">
        <x:v>mobile</x:v>
      </x:c>
      <x:c r="L8" s="15" t="str">
        <x:v>fixed</x:v>
      </x:c>
      <x:c r="M8" s="15" t="str">
        <x:v>2026-08-20</x:v>
      </x:c>
      <x:c r="N8" s="15" t="str">
        <x:v>2026-08-21</x:v>
      </x:c>
      <x:c r="O8" s="15" t="str">
        <x:v>2026-08-22</x:v>
      </x:c>
      <x:c r="P8" s="15"/>
      <x:c r="Q8" s="15"/>
      <x:c r="R8" s="15" t="n">
        <x:v>660</x:v>
      </x:c>
      <x:c r="S8" s="15" t="n">
        <x:v>2</x:v>
      </x:c>
      <x:c r="T8" s="15" t="n">
        <x:v>1</x:v>
      </x:c>
      <x:c r="U8" s="18" t="n">
        <x:v>0</x:v>
      </x:c>
      <x:c r="V8" s="18" t="n">
        <x:v>0</x:v>
      </x:c>
      <x:c r="W8" s="18" t="n">
        <x:v>0</x:v>
      </x:c>
      <x:c r="X8" s="18" t="n">
        <x:v>0</x:v>
      </x:c>
      <x:c r="Y8" s="18" t="n">
        <x:v>0</x:v>
      </x:c>
      <x:c r="Z8" s="18" t="n">
        <x:v>0</x:v>
      </x:c>
      <x:c r="AA8" s="18" t="n">
        <x:v>0</x:v>
      </x:c>
      <x:c r="AB8" s="16" t="b">
        <x:v>0</x:v>
      </x:c>
      <x:c r="AC8" s="15"/>
      <x:c r="AD8" s="15"/>
      <x:c r="AE8" s="15"/>
      <x:c r="AF8" s="15"/>
    </x:row>
    <x:row r="9">
      <x:c r="A9" s="15" t="str">
        <x:v>V-2008</x:v>
      </x:c>
      <x:c r="B9" s="15" t="str">
        <x:v>USR-2008</x:v>
      </x:c>
      <x:c r="C9" s="15" t="str">
        <x:v>APP-2008</x:v>
      </x:c>
      <x:c r="D9" s="15"/>
      <x:c r="E9" s="15" t="str">
        <x:v>2026-09-04</x:v>
      </x:c>
      <x:c r="F9" s="15" t="str">
        <x:v>Google Search</x:v>
      </x:c>
      <x:c r="G9" s="15" t="str">
        <x:v>AU_Search_Brand</x:v>
      </x:c>
      <x:c r="H9" s="15" t="str">
        <x:v>brand</x:v>
      </x:c>
      <x:c r="I9" s="15" t="str">
        <x:v>old</x:v>
      </x:c>
      <x:c r="J9" s="15" t="str">
        <x:v>NSW</x:v>
      </x:c>
      <x:c r="K9" s="15" t="str">
        <x:v>desktop</x:v>
      </x:c>
      <x:c r="L9" s="15" t="str">
        <x:v>loc</x:v>
      </x:c>
      <x:c r="M9" s="15" t="str">
        <x:v>2026-09-04</x:v>
      </x:c>
      <x:c r="N9" s="15" t="str">
        <x:v>2026-09-05</x:v>
      </x:c>
      <x:c r="O9" s="15" t="str">
        <x:v>2026-09-06</x:v>
      </x:c>
      <x:c r="P9" s="15"/>
      <x:c r="Q9" s="15"/>
      <x:c r="R9" s="15" t="n">
        <x:v>480</x:v>
      </x:c>
      <x:c r="S9" s="15" t="n">
        <x:v>1</x:v>
      </x:c>
      <x:c r="T9" s="15" t="n">
        <x:v>1</x:v>
      </x:c>
      <x:c r="U9" s="18" t="n">
        <x:v>0</x:v>
      </x:c>
      <x:c r="V9" s="18" t="n">
        <x:v>0</x:v>
      </x:c>
      <x:c r="W9" s="18" t="n">
        <x:v>0</x:v>
      </x:c>
      <x:c r="X9" s="18" t="n">
        <x:v>0</x:v>
      </x:c>
      <x:c r="Y9" s="18" t="n">
        <x:v>0</x:v>
      </x:c>
      <x:c r="Z9" s="18" t="n">
        <x:v>0</x:v>
      </x:c>
      <x:c r="AA9" s="18" t="n">
        <x:v>0</x:v>
      </x:c>
      <x:c r="AB9" s="16" t="b">
        <x:v>0</x:v>
      </x:c>
      <x:c r="AC9" s="15"/>
      <x:c r="AD9" s="15"/>
      <x:c r="AE9" s="15"/>
      <x:c r="AF9" s="15"/>
    </x:row>
    <x:row r="10">
      <x:c r="A10" s="15" t="str">
        <x:v>V-2009</x:v>
      </x:c>
      <x:c r="B10" s="15" t="str">
        <x:v>USR-2009</x:v>
      </x:c>
      <x:c r="C10" s="15" t="str">
        <x:v>APP-2009</x:v>
      </x:c>
      <x:c r="D10" s="15" t="str">
        <x:v>LN-2009</x:v>
      </x:c>
      <x:c r="E10" s="15" t="str">
        <x:v>2026-05-03</x:v>
      </x:c>
      <x:c r="F10" s="15" t="str">
        <x:v>Google PMax</x:v>
      </x:c>
      <x:c r="G10" s="15" t="str">
        <x:v>AU_PMax_QualifiedLead</x:v>
      </x:c>
      <x:c r="H10" s="15" t="str">
        <x:v>na</x:v>
      </x:c>
      <x:c r="I10" s="15" t="str">
        <x:v>new</x:v>
      </x:c>
      <x:c r="J10" s="15" t="str">
        <x:v>VIC</x:v>
      </x:c>
      <x:c r="K10" s="15" t="str">
        <x:v>mobile</x:v>
      </x:c>
      <x:c r="L10" s="15" t="str">
        <x:v>loc</x:v>
      </x:c>
      <x:c r="M10" s="15" t="str">
        <x:v>2026-05-03</x:v>
      </x:c>
      <x:c r="N10" s="15" t="str">
        <x:v>2026-05-04</x:v>
      </x:c>
      <x:c r="O10" s="15" t="str">
        <x:v>2026-05-05</x:v>
      </x:c>
      <x:c r="P10" s="15" t="str">
        <x:v>2026-05-06</x:v>
      </x:c>
      <x:c r="Q10" s="15" t="str">
        <x:v>2026-05-07</x:v>
      </x:c>
      <x:c r="R10" s="15" t="n">
        <x:v>1250</x:v>
      </x:c>
      <x:c r="S10" s="15" t="n">
        <x:v>4</x:v>
      </x:c>
      <x:c r="T10" s="15" t="n">
        <x:v>1</x:v>
      </x:c>
      <x:c r="U10" s="18" t="n">
        <x:v>7800</x:v>
      </x:c>
      <x:c r="V10" s="18" t="n">
        <x:v>1872</x:v>
      </x:c>
      <x:c r="W10" s="18" t="n">
        <x:v>70.2</x:v>
      </x:c>
      <x:c r="X10" s="18" t="n">
        <x:v>553.8</x:v>
      </x:c>
      <x:c r="Y10" s="18" t="n">
        <x:v>210</x:v>
      </x:c>
      <x:c r="Z10" s="18" t="n">
        <x:v>686.4</x:v>
      </x:c>
      <x:c r="AA10" s="18" t="n">
        <x:v>590.4</x:v>
      </x:c>
      <x:c r="AB10" s="16" t="b">
        <x:v>0</x:v>
      </x:c>
      <x:c r="AC10" s="15" t="str">
        <x:v>2026-06-07</x:v>
      </x:c>
      <x:c r="AD10" s="16" t="b">
        <x:v>0</x:v>
      </x:c>
      <x:c r="AE10" s="15" t="str">
        <x:v>2026-08-07</x:v>
      </x:c>
      <x:c r="AF10" s="16" t="b">
        <x:v>0</x:v>
      </x:c>
    </x:row>
    <x:row r="11">
      <x:c r="A11" s="15" t="str">
        <x:v>V-2010</x:v>
      </x:c>
      <x:c r="B11" s="15" t="str">
        <x:v>USR-2010</x:v>
      </x:c>
      <x:c r="C11" s="15" t="str">
        <x:v>APP-2010</x:v>
      </x:c>
      <x:c r="D11" s="15" t="str">
        <x:v>LN-2010</x:v>
      </x:c>
      <x:c r="E11" s="15" t="str">
        <x:v>2026-05-05</x:v>
      </x:c>
      <x:c r="F11" s="15" t="str">
        <x:v>Google PMax</x:v>
      </x:c>
      <x:c r="G11" s="15" t="str">
        <x:v>AU_PMax_QualifiedLead</x:v>
      </x:c>
      <x:c r="H11" s="15" t="str">
        <x:v>na</x:v>
      </x:c>
      <x:c r="I11" s="15" t="str">
        <x:v>new</x:v>
      </x:c>
      <x:c r="J11" s="15" t="str">
        <x:v>QLD</x:v>
      </x:c>
      <x:c r="K11" s="15" t="str">
        <x:v>mobile</x:v>
      </x:c>
      <x:c r="L11" s="15" t="str">
        <x:v>fixed</x:v>
      </x:c>
      <x:c r="M11" s="15" t="str">
        <x:v>2026-05-05</x:v>
      </x:c>
      <x:c r="N11" s="15" t="str">
        <x:v>2026-05-06</x:v>
      </x:c>
      <x:c r="O11" s="15" t="str">
        <x:v>2026-05-07</x:v>
      </x:c>
      <x:c r="P11" s="15" t="str">
        <x:v>2026-05-08</x:v>
      </x:c>
      <x:c r="Q11" s="15" t="str">
        <x:v>2026-05-10</x:v>
      </x:c>
      <x:c r="R11" s="15" t="n">
        <x:v>1180</x:v>
      </x:c>
      <x:c r="S11" s="15" t="n">
        <x:v>4</x:v>
      </x:c>
      <x:c r="T11" s="15" t="n">
        <x:v>1</x:v>
      </x:c>
      <x:c r="U11" s="18" t="n">
        <x:v>9900</x:v>
      </x:c>
      <x:c r="V11" s="18" t="n">
        <x:v>2376</x:v>
      </x:c>
      <x:c r="W11" s="18" t="n">
        <x:v>89.1</x:v>
      </x:c>
      <x:c r="X11" s="18" t="n">
        <x:v>702.9</x:v>
      </x:c>
      <x:c r="Y11" s="18" t="n">
        <x:v>210</x:v>
      </x:c>
      <x:c r="Z11" s="18" t="n">
        <x:v>871.2</x:v>
      </x:c>
      <x:c r="AA11" s="18" t="n">
        <x:v>817.2</x:v>
      </x:c>
      <x:c r="AB11" s="16" t="b">
        <x:v>0</x:v>
      </x:c>
      <x:c r="AC11" s="15" t="str">
        <x:v>2026-06-10</x:v>
      </x:c>
      <x:c r="AD11" s="16" t="b">
        <x:v>1</x:v>
      </x:c>
      <x:c r="AE11" s="15" t="str">
        <x:v>2026-08-10</x:v>
      </x:c>
      <x:c r="AF11" s="15"/>
    </x:row>
    <x:row r="12">
      <x:c r="A12" s="15" t="str">
        <x:v>V-2011</x:v>
      </x:c>
      <x:c r="B12" s="15" t="str">
        <x:v>USR-2011</x:v>
      </x:c>
      <x:c r="C12" s="15" t="str">
        <x:v>APP-2011</x:v>
      </x:c>
      <x:c r="D12" s="15" t="str">
        <x:v>LN-2011</x:v>
      </x:c>
      <x:c r="E12" s="15" t="str">
        <x:v>2026-06-15</x:v>
      </x:c>
      <x:c r="F12" s="15" t="str">
        <x:v>Google PMax</x:v>
      </x:c>
      <x:c r="G12" s="15" t="str">
        <x:v>AU_PMax_QualifiedLead</x:v>
      </x:c>
      <x:c r="H12" s="15" t="str">
        <x:v>na</x:v>
      </x:c>
      <x:c r="I12" s="15" t="str">
        <x:v>new</x:v>
      </x:c>
      <x:c r="J12" s="15" t="str">
        <x:v>NSW</x:v>
      </x:c>
      <x:c r="K12" s="15" t="str">
        <x:v>desktop</x:v>
      </x:c>
      <x:c r="L12" s="15" t="str">
        <x:v>loc</x:v>
      </x:c>
      <x:c r="M12" s="15" t="str">
        <x:v>2026-06-15</x:v>
      </x:c>
      <x:c r="N12" s="15" t="str">
        <x:v>2026-06-16</x:v>
      </x:c>
      <x:c r="O12" s="15" t="str">
        <x:v>2026-06-17</x:v>
      </x:c>
      <x:c r="P12" s="15" t="str">
        <x:v>2026-06-18</x:v>
      </x:c>
      <x:c r="Q12" s="15" t="str">
        <x:v>2026-06-20</x:v>
      </x:c>
      <x:c r="R12" s="15" t="n">
        <x:v>1320</x:v>
      </x:c>
      <x:c r="S12" s="15" t="n">
        <x:v>4</x:v>
      </x:c>
      <x:c r="T12" s="15" t="n">
        <x:v>1</x:v>
      </x:c>
      <x:c r="U12" s="18" t="n">
        <x:v>14300</x:v>
      </x:c>
      <x:c r="V12" s="18" t="n">
        <x:v>3432</x:v>
      </x:c>
      <x:c r="W12" s="18" t="n">
        <x:v>128.7</x:v>
      </x:c>
      <x:c r="X12" s="18" t="n">
        <x:v>1015.3</x:v>
      </x:c>
      <x:c r="Y12" s="18" t="n">
        <x:v>210</x:v>
      </x:c>
      <x:c r="Z12" s="18" t="n">
        <x:v>1258.4</x:v>
      </x:c>
      <x:c r="AA12" s="18" t="n">
        <x:v>1292.4</x:v>
      </x:c>
      <x:c r="AB12" s="16" t="b">
        <x:v>0</x:v>
      </x:c>
      <x:c r="AC12" s="15" t="str">
        <x:v>2026-07-20</x:v>
      </x:c>
      <x:c r="AD12" s="16" t="b">
        <x:v>0</x:v>
      </x:c>
      <x:c r="AE12" s="15" t="str">
        <x:v>2026-09-20</x:v>
      </x:c>
      <x:c r="AF12" s="15"/>
    </x:row>
    <x:row r="13">
      <x:c r="A13" s="15" t="str">
        <x:v>V-2012</x:v>
      </x:c>
      <x:c r="B13" s="15" t="str">
        <x:v>USR-2012</x:v>
      </x:c>
      <x:c r="C13" s="15" t="str">
        <x:v>APP-2012</x:v>
      </x:c>
      <x:c r="D13" s="15"/>
      <x:c r="E13" s="15" t="str">
        <x:v>2026-07-02</x:v>
      </x:c>
      <x:c r="F13" s="15" t="str">
        <x:v>Google PMax</x:v>
      </x:c>
      <x:c r="G13" s="15" t="str">
        <x:v>AU_PMax_QualifiedLead</x:v>
      </x:c>
      <x:c r="H13" s="15" t="str">
        <x:v>na</x:v>
      </x:c>
      <x:c r="I13" s="15" t="str">
        <x:v>old</x:v>
      </x:c>
      <x:c r="J13" s="15" t="str">
        <x:v>VIC</x:v>
      </x:c>
      <x:c r="K13" s="15" t="str">
        <x:v>mobile</x:v>
      </x:c>
      <x:c r="L13" s="15" t="str">
        <x:v>fixed</x:v>
      </x:c>
      <x:c r="M13" s="15" t="str">
        <x:v>2026-07-02</x:v>
      </x:c>
      <x:c r="N13" s="15" t="str">
        <x:v>2026-07-03</x:v>
      </x:c>
      <x:c r="O13" s="15" t="str">
        <x:v>2026-07-04</x:v>
      </x:c>
      <x:c r="P13" s="15" t="str">
        <x:v>2026-07-05</x:v>
      </x:c>
      <x:c r="Q13" s="15"/>
      <x:c r="R13" s="15" t="n">
        <x:v>1010</x:v>
      </x:c>
      <x:c r="S13" s="15" t="n">
        <x:v>3</x:v>
      </x:c>
      <x:c r="T13" s="15" t="n">
        <x:v>1</x:v>
      </x:c>
      <x:c r="U13" s="18" t="n">
        <x:v>0</x:v>
      </x:c>
      <x:c r="V13" s="18" t="n">
        <x:v>0</x:v>
      </x:c>
      <x:c r="W13" s="18" t="n">
        <x:v>0</x:v>
      </x:c>
      <x:c r="X13" s="18" t="n">
        <x:v>0</x:v>
      </x:c>
      <x:c r="Y13" s="18" t="n">
        <x:v>0</x:v>
      </x:c>
      <x:c r="Z13" s="18" t="n">
        <x:v>0</x:v>
      </x:c>
      <x:c r="AA13" s="18" t="n">
        <x:v>0</x:v>
      </x:c>
      <x:c r="AB13" s="16" t="b">
        <x:v>0</x:v>
      </x:c>
      <x:c r="AC13" s="15"/>
      <x:c r="AD13" s="15"/>
      <x:c r="AE13" s="15"/>
      <x:c r="AF13" s="15"/>
    </x:row>
    <x:row r="14">
      <x:c r="A14" s="15" t="str">
        <x:v>V-2013</x:v>
      </x:c>
      <x:c r="B14" s="15" t="str">
        <x:v>USR-2013</x:v>
      </x:c>
      <x:c r="C14" s="15" t="str">
        <x:v>APP-2013</x:v>
      </x:c>
      <x:c r="D14" s="15" t="str">
        <x:v>LN-2013</x:v>
      </x:c>
      <x:c r="E14" s="15" t="str">
        <x:v>2026-08-08</x:v>
      </x:c>
      <x:c r="F14" s="15" t="str">
        <x:v>Google PMax</x:v>
      </x:c>
      <x:c r="G14" s="15" t="str">
        <x:v>AU_PMax_QualifiedLead</x:v>
      </x:c>
      <x:c r="H14" s="15" t="str">
        <x:v>na</x:v>
      </x:c>
      <x:c r="I14" s="15" t="str">
        <x:v>new</x:v>
      </x:c>
      <x:c r="J14" s="15" t="str">
        <x:v>QLD</x:v>
      </x:c>
      <x:c r="K14" s="15" t="str">
        <x:v>desktop</x:v>
      </x:c>
      <x:c r="L14" s="15" t="str">
        <x:v>fixed</x:v>
      </x:c>
      <x:c r="M14" s="15" t="str">
        <x:v>2026-08-08</x:v>
      </x:c>
      <x:c r="N14" s="15" t="str">
        <x:v>2026-08-09</x:v>
      </x:c>
      <x:c r="O14" s="15" t="str">
        <x:v>2026-08-10</x:v>
      </x:c>
      <x:c r="P14" s="15" t="str">
        <x:v>2026-08-11</x:v>
      </x:c>
      <x:c r="Q14" s="15" t="str">
        <x:v>2026-08-13</x:v>
      </x:c>
      <x:c r="R14" s="15" t="n">
        <x:v>1370</x:v>
      </x:c>
      <x:c r="S14" s="15" t="n">
        <x:v>4</x:v>
      </x:c>
      <x:c r="T14" s="15" t="n">
        <x:v>1</x:v>
      </x:c>
      <x:c r="U14" s="18" t="n">
        <x:v>12500</x:v>
      </x:c>
      <x:c r="V14" s="18" t="n">
        <x:v>3000</x:v>
      </x:c>
      <x:c r="W14" s="18" t="n">
        <x:v>112.5</x:v>
      </x:c>
      <x:c r="X14" s="18" t="n">
        <x:v>887.5</x:v>
      </x:c>
      <x:c r="Y14" s="18" t="n">
        <x:v>210</x:v>
      </x:c>
      <x:c r="Z14" s="18" t="n">
        <x:v>1100</x:v>
      </x:c>
      <x:c r="AA14" s="18" t="n">
        <x:v>1098</x:v>
      </x:c>
      <x:c r="AB14" s="16" t="b">
        <x:v>0</x:v>
      </x:c>
      <x:c r="AC14" s="15" t="str">
        <x:v>2026-09-13</x:v>
      </x:c>
      <x:c r="AD14" s="15"/>
      <x:c r="AE14" s="15" t="str">
        <x:v>2026-11-13</x:v>
      </x:c>
      <x:c r="AF14" s="15"/>
    </x:row>
    <x:row r="15">
      <x:c r="A15" s="15" t="str">
        <x:v>V-2014</x:v>
      </x:c>
      <x:c r="B15" s="15" t="str">
        <x:v>USR-2014</x:v>
      </x:c>
      <x:c r="C15" s="15" t="str">
        <x:v>APP-2014</x:v>
      </x:c>
      <x:c r="D15" s="15"/>
      <x:c r="E15" s="15" t="str">
        <x:v>2026-09-02</x:v>
      </x:c>
      <x:c r="F15" s="15" t="str">
        <x:v>Google PMax</x:v>
      </x:c>
      <x:c r="G15" s="15" t="str">
        <x:v>AU_PMax_QualifiedLead</x:v>
      </x:c>
      <x:c r="H15" s="15" t="str">
        <x:v>na</x:v>
      </x:c>
      <x:c r="I15" s="15" t="str">
        <x:v>new</x:v>
      </x:c>
      <x:c r="J15" s="15" t="str">
        <x:v>VIC</x:v>
      </x:c>
      <x:c r="K15" s="15" t="str">
        <x:v>mobile</x:v>
      </x:c>
      <x:c r="L15" s="15" t="str">
        <x:v>fixed</x:v>
      </x:c>
      <x:c r="M15" s="15" t="str">
        <x:v>2026-09-02</x:v>
      </x:c>
      <x:c r="N15" s="15" t="str">
        <x:v>2026-09-03</x:v>
      </x:c>
      <x:c r="O15" s="15"/>
      <x:c r="P15" s="15"/>
      <x:c r="Q15" s="15"/>
      <x:c r="R15" s="15" t="n">
        <x:v>890</x:v>
      </x:c>
      <x:c r="S15" s="15" t="n">
        <x:v>2</x:v>
      </x:c>
      <x:c r="T15" s="15" t="n">
        <x:v>1</x:v>
      </x:c>
      <x:c r="U15" s="18" t="n">
        <x:v>0</x:v>
      </x:c>
      <x:c r="V15" s="18" t="n">
        <x:v>0</x:v>
      </x:c>
      <x:c r="W15" s="18" t="n">
        <x:v>0</x:v>
      </x:c>
      <x:c r="X15" s="18" t="n">
        <x:v>0</x:v>
      </x:c>
      <x:c r="Y15" s="18" t="n">
        <x:v>0</x:v>
      </x:c>
      <x:c r="Z15" s="18" t="n">
        <x:v>0</x:v>
      </x:c>
      <x:c r="AA15" s="18" t="n">
        <x:v>0</x:v>
      </x:c>
      <x:c r="AB15" s="16" t="b">
        <x:v>0</x:v>
      </x:c>
      <x:c r="AC15" s="15"/>
      <x:c r="AD15" s="15"/>
      <x:c r="AE15" s="15"/>
      <x:c r="AF15" s="15"/>
    </x:row>
    <x:row r="16">
      <x:c r="A16" s="15" t="str">
        <x:v>V-2015</x:v>
      </x:c>
      <x:c r="B16" s="15" t="str">
        <x:v>USR-2015</x:v>
      </x:c>
      <x:c r="C16" s="15" t="str">
        <x:v>APP-2015</x:v>
      </x:c>
      <x:c r="D16" s="15" t="str">
        <x:v>LN-2015</x:v>
      </x:c>
      <x:c r="E16" s="15" t="str">
        <x:v>2026-05-04</x:v>
      </x:c>
      <x:c r="F16" s="15" t="str">
        <x:v>Meta</x:v>
      </x:c>
      <x:c r="G16" s="15" t="str">
        <x:v>AU_Meta_Prospecting</x:v>
      </x:c>
      <x:c r="H16" s="15" t="str">
        <x:v>na</x:v>
      </x:c>
      <x:c r="I16" s="15" t="str">
        <x:v>new</x:v>
      </x:c>
      <x:c r="J16" s="15" t="str">
        <x:v>NSW</x:v>
      </x:c>
      <x:c r="K16" s="15" t="str">
        <x:v>mobile</x:v>
      </x:c>
      <x:c r="L16" s="15" t="str">
        <x:v>fixed</x:v>
      </x:c>
      <x:c r="M16" s="15" t="str">
        <x:v>2026-05-04</x:v>
      </x:c>
      <x:c r="N16" s="15" t="str">
        <x:v>2026-05-05</x:v>
      </x:c>
      <x:c r="O16" s="15" t="str">
        <x:v>2026-05-06</x:v>
      </x:c>
      <x:c r="P16" s="15" t="str">
        <x:v>2026-05-07</x:v>
      </x:c>
      <x:c r="Q16" s="15" t="str">
        <x:v>2026-05-08</x:v>
      </x:c>
      <x:c r="R16" s="15" t="n">
        <x:v>980</x:v>
      </x:c>
      <x:c r="S16" s="15" t="n">
        <x:v>3</x:v>
      </x:c>
      <x:c r="T16" s="15" t="n">
        <x:v>1</x:v>
      </x:c>
      <x:c r="U16" s="18" t="n">
        <x:v>6600</x:v>
      </x:c>
      <x:c r="V16" s="18" t="n">
        <x:v>1584</x:v>
      </x:c>
      <x:c r="W16" s="18" t="n">
        <x:v>59.4</x:v>
      </x:c>
      <x:c r="X16" s="18" t="n">
        <x:v>468.6</x:v>
      </x:c>
      <x:c r="Y16" s="18" t="n">
        <x:v>210</x:v>
      </x:c>
      <x:c r="Z16" s="18" t="n">
        <x:v>343.2</x:v>
      </x:c>
      <x:c r="AA16" s="18" t="n">
        <x:v>745.92</x:v>
      </x:c>
      <x:c r="AB16" s="16" t="b">
        <x:v>0</x:v>
      </x:c>
      <x:c r="AC16" s="15" t="str">
        <x:v>2026-06-08</x:v>
      </x:c>
      <x:c r="AD16" s="16" t="b">
        <x:v>0</x:v>
      </x:c>
      <x:c r="AE16" s="15" t="str">
        <x:v>2026-08-08</x:v>
      </x:c>
      <x:c r="AF16" s="16" t="b">
        <x:v>0</x:v>
      </x:c>
    </x:row>
    <x:row r="17">
      <x:c r="A17" s="15" t="str">
        <x:v>V-2016</x:v>
      </x:c>
      <x:c r="B17" s="15" t="str">
        <x:v>USR-2016</x:v>
      </x:c>
      <x:c r="C17" s="15" t="str">
        <x:v>APP-2016</x:v>
      </x:c>
      <x:c r="D17" s="15" t="str">
        <x:v>LN-2016</x:v>
      </x:c>
      <x:c r="E17" s="15" t="str">
        <x:v>2026-06-05</x:v>
      </x:c>
      <x:c r="F17" s="15" t="str">
        <x:v>Meta</x:v>
      </x:c>
      <x:c r="G17" s="15" t="str">
        <x:v>AU_Meta_Retargeting</x:v>
      </x:c>
      <x:c r="H17" s="15" t="str">
        <x:v>na</x:v>
      </x:c>
      <x:c r="I17" s="15" t="str">
        <x:v>old</x:v>
      </x:c>
      <x:c r="J17" s="15" t="str">
        <x:v>VIC</x:v>
      </x:c>
      <x:c r="K17" s="15" t="str">
        <x:v>desktop</x:v>
      </x:c>
      <x:c r="L17" s="15" t="str">
        <x:v>loc</x:v>
      </x:c>
      <x:c r="M17" s="15" t="str">
        <x:v>2026-06-05</x:v>
      </x:c>
      <x:c r="N17" s="15" t="str">
        <x:v>2026-06-06</x:v>
      </x:c>
      <x:c r="O17" s="15" t="str">
        <x:v>2026-06-07</x:v>
      </x:c>
      <x:c r="P17" s="15" t="str">
        <x:v>2026-06-08</x:v>
      </x:c>
      <x:c r="Q17" s="15" t="str">
        <x:v>2026-06-10</x:v>
      </x:c>
      <x:c r="R17" s="15" t="n">
        <x:v>870</x:v>
      </x:c>
      <x:c r="S17" s="15" t="n">
        <x:v>3</x:v>
      </x:c>
      <x:c r="T17" s="15" t="n">
        <x:v>1</x:v>
      </x:c>
      <x:c r="U17" s="18" t="n">
        <x:v>12100</x:v>
      </x:c>
      <x:c r="V17" s="18" t="n">
        <x:v>2904</x:v>
      </x:c>
      <x:c r="W17" s="18" t="n">
        <x:v>108.9</x:v>
      </x:c>
      <x:c r="X17" s="18" t="n">
        <x:v>859.1</x:v>
      </x:c>
      <x:c r="Y17" s="18" t="n">
        <x:v>210</x:v>
      </x:c>
      <x:c r="Z17" s="18" t="n">
        <x:v>484</x:v>
      </x:c>
      <x:c r="AA17" s="18" t="n">
        <x:v>1459.8</x:v>
      </x:c>
      <x:c r="AB17" s="16" t="b">
        <x:v>0</x:v>
      </x:c>
      <x:c r="AC17" s="15" t="str">
        <x:v>2026-07-10</x:v>
      </x:c>
      <x:c r="AD17" s="16" t="b">
        <x:v>0</x:v>
      </x:c>
      <x:c r="AE17" s="15" t="str">
        <x:v>2026-09-10</x:v>
      </x:c>
      <x:c r="AF17" s="15"/>
    </x:row>
    <x:row r="18">
      <x:c r="A18" s="15" t="str">
        <x:v>V-2017</x:v>
      </x:c>
      <x:c r="B18" s="15" t="str">
        <x:v>USR-2017</x:v>
      </x:c>
      <x:c r="C18" s="15" t="str">
        <x:v>APP-2017</x:v>
      </x:c>
      <x:c r="D18" s="15" t="str">
        <x:v>LN-2017</x:v>
      </x:c>
      <x:c r="E18" s="15" t="str">
        <x:v>2026-07-04</x:v>
      </x:c>
      <x:c r="F18" s="15" t="str">
        <x:v>Meta</x:v>
      </x:c>
      <x:c r="G18" s="15" t="str">
        <x:v>AU_Meta_Prospecting</x:v>
      </x:c>
      <x:c r="H18" s="15" t="str">
        <x:v>na</x:v>
      </x:c>
      <x:c r="I18" s="15" t="str">
        <x:v>new</x:v>
      </x:c>
      <x:c r="J18" s="15" t="str">
        <x:v>QLD</x:v>
      </x:c>
      <x:c r="K18" s="15" t="str">
        <x:v>mobile</x:v>
      </x:c>
      <x:c r="L18" s="15" t="str">
        <x:v>fixed</x:v>
      </x:c>
      <x:c r="M18" s="15" t="str">
        <x:v>2026-07-04</x:v>
      </x:c>
      <x:c r="N18" s="15" t="str">
        <x:v>2026-07-05</x:v>
      </x:c>
      <x:c r="O18" s="15" t="str">
        <x:v>2026-07-06</x:v>
      </x:c>
      <x:c r="P18" s="15" t="str">
        <x:v>2026-07-07</x:v>
      </x:c>
      <x:c r="Q18" s="15" t="str">
        <x:v>2026-07-08</x:v>
      </x:c>
      <x:c r="R18" s="15" t="n">
        <x:v>940</x:v>
      </x:c>
      <x:c r="S18" s="15" t="n">
        <x:v>3</x:v>
      </x:c>
      <x:c r="T18" s="15" t="n">
        <x:v>1</x:v>
      </x:c>
      <x:c r="U18" s="18" t="n">
        <x:v>5400</x:v>
      </x:c>
      <x:c r="V18" s="18" t="n">
        <x:v>1296</x:v>
      </x:c>
      <x:c r="W18" s="18" t="n">
        <x:v>48.6</x:v>
      </x:c>
      <x:c r="X18" s="18" t="n">
        <x:v>383.4</x:v>
      </x:c>
      <x:c r="Y18" s="18" t="n">
        <x:v>210</x:v>
      </x:c>
      <x:c r="Z18" s="18" t="n">
        <x:v>280.8</x:v>
      </x:c>
      <x:c r="AA18" s="18" t="n">
        <x:v>564.48</x:v>
      </x:c>
      <x:c r="AB18" s="16" t="b">
        <x:v>0</x:v>
      </x:c>
      <x:c r="AC18" s="15" t="str">
        <x:v>2026-08-08</x:v>
      </x:c>
      <x:c r="AD18" s="16" t="b">
        <x:v>1</x:v>
      </x:c>
      <x:c r="AE18" s="15" t="str">
        <x:v>2026-10-08</x:v>
      </x:c>
      <x:c r="AF18" s="15"/>
    </x:row>
    <x:row r="19">
      <x:c r="A19" s="15" t="str">
        <x:v>V-2018</x:v>
      </x:c>
      <x:c r="B19" s="15" t="str">
        <x:v>USR-2016</x:v>
      </x:c>
      <x:c r="C19" s="15" t="str">
        <x:v>APP-2018</x:v>
      </x:c>
      <x:c r="D19" s="15"/>
      <x:c r="E19" s="15" t="str">
        <x:v>2026-07-15</x:v>
      </x:c>
      <x:c r="F19" s="15" t="str">
        <x:v>Meta</x:v>
      </x:c>
      <x:c r="G19" s="15" t="str">
        <x:v>AU_Meta_Retargeting</x:v>
      </x:c>
      <x:c r="H19" s="15" t="str">
        <x:v>na</x:v>
      </x:c>
      <x:c r="I19" s="15" t="str">
        <x:v>old</x:v>
      </x:c>
      <x:c r="J19" s="15" t="str">
        <x:v>NSW</x:v>
      </x:c>
      <x:c r="K19" s="15" t="str">
        <x:v>desktop</x:v>
      </x:c>
      <x:c r="L19" s="15" t="str">
        <x:v>fixed</x:v>
      </x:c>
      <x:c r="M19" s="15" t="str">
        <x:v>2026-07-15</x:v>
      </x:c>
      <x:c r="N19" s="15" t="str">
        <x:v>2026-07-16</x:v>
      </x:c>
      <x:c r="O19" s="15" t="str">
        <x:v>2026-07-17</x:v>
      </x:c>
      <x:c r="P19" s="15" t="str">
        <x:v>2026-07-18</x:v>
      </x:c>
      <x:c r="Q19" s="15"/>
      <x:c r="R19" s="15" t="n">
        <x:v>760</x:v>
      </x:c>
      <x:c r="S19" s="15" t="n">
        <x:v>2</x:v>
      </x:c>
      <x:c r="T19" s="15" t="n">
        <x:v>1</x:v>
      </x:c>
      <x:c r="U19" s="18" t="n">
        <x:v>0</x:v>
      </x:c>
      <x:c r="V19" s="18" t="n">
        <x:v>0</x:v>
      </x:c>
      <x:c r="W19" s="18" t="n">
        <x:v>0</x:v>
      </x:c>
      <x:c r="X19" s="18" t="n">
        <x:v>0</x:v>
      </x:c>
      <x:c r="Y19" s="18" t="n">
        <x:v>0</x:v>
      </x:c>
      <x:c r="Z19" s="18" t="n">
        <x:v>0</x:v>
      </x:c>
      <x:c r="AA19" s="18" t="n">
        <x:v>0</x:v>
      </x:c>
      <x:c r="AB19" s="16" t="b">
        <x:v>0</x:v>
      </x:c>
      <x:c r="AC19" s="15"/>
      <x:c r="AD19" s="15"/>
      <x:c r="AE19" s="15"/>
      <x:c r="AF19" s="15"/>
    </x:row>
    <x:row r="20">
      <x:c r="A20" s="15" t="str">
        <x:v>V-2019</x:v>
      </x:c>
      <x:c r="B20" s="15" t="str">
        <x:v>USR-2019</x:v>
      </x:c>
      <x:c r="C20" s="15" t="str">
        <x:v>APP-2019</x:v>
      </x:c>
      <x:c r="D20" s="15" t="str">
        <x:v>LN-2019</x:v>
      </x:c>
      <x:c r="E20" s="15" t="str">
        <x:v>2026-08-05</x:v>
      </x:c>
      <x:c r="F20" s="15" t="str">
        <x:v>Meta</x:v>
      </x:c>
      <x:c r="G20" s="15" t="str">
        <x:v>AU_Meta_Prospecting</x:v>
      </x:c>
      <x:c r="H20" s="15" t="str">
        <x:v>na</x:v>
      </x:c>
      <x:c r="I20" s="15" t="str">
        <x:v>new</x:v>
      </x:c>
      <x:c r="J20" s="15" t="str">
        <x:v>VIC</x:v>
      </x:c>
      <x:c r="K20" s="15" t="str">
        <x:v>mobile</x:v>
      </x:c>
      <x:c r="L20" s="15" t="str">
        <x:v>fixed</x:v>
      </x:c>
      <x:c r="M20" s="15" t="str">
        <x:v>2026-08-05</x:v>
      </x:c>
      <x:c r="N20" s="15" t="str">
        <x:v>2026-08-06</x:v>
      </x:c>
      <x:c r="O20" s="15" t="str">
        <x:v>2026-08-07</x:v>
      </x:c>
      <x:c r="P20" s="15" t="str">
        <x:v>2026-08-08</x:v>
      </x:c>
      <x:c r="Q20" s="15" t="str">
        <x:v>2026-08-10</x:v>
      </x:c>
      <x:c r="R20" s="15" t="n">
        <x:v>1020</x:v>
      </x:c>
      <x:c r="S20" s="15" t="n">
        <x:v>3</x:v>
      </x:c>
      <x:c r="T20" s="15" t="n">
        <x:v>1</x:v>
      </x:c>
      <x:c r="U20" s="18" t="n">
        <x:v>4500</x:v>
      </x:c>
      <x:c r="V20" s="18" t="n">
        <x:v>1080</x:v>
      </x:c>
      <x:c r="W20" s="18" t="n">
        <x:v>40.5</x:v>
      </x:c>
      <x:c r="X20" s="18" t="n">
        <x:v>319.5</x:v>
      </x:c>
      <x:c r="Y20" s="18" t="n">
        <x:v>210</x:v>
      </x:c>
      <x:c r="Z20" s="18" t="n">
        <x:v>234</x:v>
      </x:c>
      <x:c r="AA20" s="18" t="n">
        <x:v>428.4</x:v>
      </x:c>
      <x:c r="AB20" s="16" t="b">
        <x:v>0</x:v>
      </x:c>
      <x:c r="AC20" s="15" t="str">
        <x:v>2026-09-10</x:v>
      </x:c>
      <x:c r="AD20" s="15"/>
      <x:c r="AE20" s="15" t="str">
        <x:v>2026-11-10</x:v>
      </x:c>
      <x:c r="AF20" s="15"/>
    </x:row>
    <x:row r="21">
      <x:c r="A21" s="15" t="str">
        <x:v>V-2020</x:v>
      </x:c>
      <x:c r="B21" s="15" t="str">
        <x:v>USR-2020</x:v>
      </x:c>
      <x:c r="C21" s="15" t="str">
        <x:v>APP-2020</x:v>
      </x:c>
      <x:c r="D21" s="15"/>
      <x:c r="E21" s="15" t="str">
        <x:v>2026-08-25</x:v>
      </x:c>
      <x:c r="F21" s="15" t="str">
        <x:v>Meta</x:v>
      </x:c>
      <x:c r="G21" s="15" t="str">
        <x:v>AU_Meta_Retargeting</x:v>
      </x:c>
      <x:c r="H21" s="15" t="str">
        <x:v>na</x:v>
      </x:c>
      <x:c r="I21" s="15" t="str">
        <x:v>old</x:v>
      </x:c>
      <x:c r="J21" s="15" t="str">
        <x:v>QLD</x:v>
      </x:c>
      <x:c r="K21" s="15" t="str">
        <x:v>desktop</x:v>
      </x:c>
      <x:c r="L21" s="15" t="str">
        <x:v>loc</x:v>
      </x:c>
      <x:c r="M21" s="15" t="str">
        <x:v>2026-08-25</x:v>
      </x:c>
      <x:c r="N21" s="15" t="str">
        <x:v>2026-08-26</x:v>
      </x:c>
      <x:c r="O21" s="15"/>
      <x:c r="P21" s="15"/>
      <x:c r="Q21" s="15"/>
      <x:c r="R21" s="15" t="n">
        <x:v>690</x:v>
      </x:c>
      <x:c r="S21" s="15" t="n">
        <x:v>2</x:v>
      </x:c>
      <x:c r="T21" s="15" t="n">
        <x:v>1</x:v>
      </x:c>
      <x:c r="U21" s="18" t="n">
        <x:v>0</x:v>
      </x:c>
      <x:c r="V21" s="18" t="n">
        <x:v>0</x:v>
      </x:c>
      <x:c r="W21" s="18" t="n">
        <x:v>0</x:v>
      </x:c>
      <x:c r="X21" s="18" t="n">
        <x:v>0</x:v>
      </x:c>
      <x:c r="Y21" s="18" t="n">
        <x:v>0</x:v>
      </x:c>
      <x:c r="Z21" s="18" t="n">
        <x:v>0</x:v>
      </x:c>
      <x:c r="AA21" s="18" t="n">
        <x:v>0</x:v>
      </x:c>
      <x:c r="AB21" s="16" t="b">
        <x:v>0</x:v>
      </x:c>
      <x:c r="AC21" s="15"/>
      <x:c r="AD21" s="15"/>
      <x:c r="AE21" s="15"/>
      <x:c r="AF21" s="15"/>
    </x:row>
    <x:row r="22">
      <x:c r="A22" s="15" t="str">
        <x:v>V-2021</x:v>
      </x:c>
      <x:c r="B22" s="15" t="str">
        <x:v>USR-2021</x:v>
      </x:c>
      <x:c r="C22" s="15" t="str">
        <x:v>APP-2021</x:v>
      </x:c>
      <x:c r="D22" s="15" t="str">
        <x:v>LN-2021</x:v>
      </x:c>
      <x:c r="E22" s="15" t="str">
        <x:v>2026-09-01</x:v>
      </x:c>
      <x:c r="F22" s="15" t="str">
        <x:v>Meta</x:v>
      </x:c>
      <x:c r="G22" s="15" t="str">
        <x:v>AU_Meta_Prospecting</x:v>
      </x:c>
      <x:c r="H22" s="15" t="str">
        <x:v>na</x:v>
      </x:c>
      <x:c r="I22" s="15" t="str">
        <x:v>new</x:v>
      </x:c>
      <x:c r="J22" s="15" t="str">
        <x:v>NSW</x:v>
      </x:c>
      <x:c r="K22" s="15" t="str">
        <x:v>mobile</x:v>
      </x:c>
      <x:c r="L22" s="15" t="str">
        <x:v>fixed</x:v>
      </x:c>
      <x:c r="M22" s="15" t="str">
        <x:v>2026-09-01</x:v>
      </x:c>
      <x:c r="N22" s="15" t="str">
        <x:v>2026-09-02</x:v>
      </x:c>
      <x:c r="O22" s="15" t="str">
        <x:v>2026-09-03</x:v>
      </x:c>
      <x:c r="P22" s="15" t="str">
        <x:v>2026-09-04</x:v>
      </x:c>
      <x:c r="Q22" s="15" t="str">
        <x:v>2026-09-06</x:v>
      </x:c>
      <x:c r="R22" s="15" t="n">
        <x:v>880</x:v>
      </x:c>
      <x:c r="S22" s="15" t="n">
        <x:v>3</x:v>
      </x:c>
      <x:c r="T22" s="15" t="n">
        <x:v>1</x:v>
      </x:c>
      <x:c r="U22" s="18" t="n">
        <x:v>3900</x:v>
      </x:c>
      <x:c r="V22" s="18" t="n">
        <x:v>936</x:v>
      </x:c>
      <x:c r="W22" s="18" t="n">
        <x:v>35.1</x:v>
      </x:c>
      <x:c r="X22" s="18" t="n">
        <x:v>276.9</x:v>
      </x:c>
      <x:c r="Y22" s="18" t="n">
        <x:v>210</x:v>
      </x:c>
      <x:c r="Z22" s="18" t="n">
        <x:v>202.8</x:v>
      </x:c>
      <x:c r="AA22" s="18" t="n">
        <x:v>337.68</x:v>
      </x:c>
      <x:c r="AB22" s="16" t="b">
        <x:v>0</x:v>
      </x:c>
      <x:c r="AC22" s="15" t="str">
        <x:v>2026-10-06</x:v>
      </x:c>
      <x:c r="AD22" s="15"/>
      <x:c r="AE22" s="15" t="str">
        <x:v>2026-12-06</x:v>
      </x:c>
      <x:c r="AF22" s="15"/>
    </x:row>
    <x:row r="23">
      <x:c r="A23" s="15" t="str">
        <x:v>V-2022</x:v>
      </x:c>
      <x:c r="B23" s="15" t="str">
        <x:v>USR-2022</x:v>
      </x:c>
      <x:c r="C23" s="15" t="str">
        <x:v>APP-2022</x:v>
      </x:c>
      <x:c r="D23" s="15" t="str">
        <x:v>LN-2022</x:v>
      </x:c>
      <x:c r="E23" s="15" t="str">
        <x:v>2026-05-02</x:v>
      </x:c>
      <x:c r="F23" s="15" t="str">
        <x:v>TikTok</x:v>
      </x:c>
      <x:c r="G23" s="15" t="str">
        <x:v>AU_TikTok_Video</x:v>
      </x:c>
      <x:c r="H23" s="15" t="str">
        <x:v>na</x:v>
      </x:c>
      <x:c r="I23" s="15" t="str">
        <x:v>new</x:v>
      </x:c>
      <x:c r="J23" s="15" t="str">
        <x:v>QLD</x:v>
      </x:c>
      <x:c r="K23" s="15" t="str">
        <x:v>mobile</x:v>
      </x:c>
      <x:c r="L23" s="15" t="str">
        <x:v>fixed</x:v>
      </x:c>
      <x:c r="M23" s="15" t="str">
        <x:v>2026-05-02</x:v>
      </x:c>
      <x:c r="N23" s="15" t="str">
        <x:v>2026-05-03</x:v>
      </x:c>
      <x:c r="O23" s="15" t="str">
        <x:v>2026-05-04</x:v>
      </x:c>
      <x:c r="P23" s="15" t="str">
        <x:v>2026-05-05</x:v>
      </x:c>
      <x:c r="Q23" s="15" t="str">
        <x:v>2026-05-06</x:v>
      </x:c>
      <x:c r="R23" s="15" t="n">
        <x:v>1060</x:v>
      </x:c>
      <x:c r="S23" s="15" t="n">
        <x:v>3</x:v>
      </x:c>
      <x:c r="T23" s="15" t="n">
        <x:v>1</x:v>
      </x:c>
      <x:c r="U23" s="18" t="n">
        <x:v>5100</x:v>
      </x:c>
      <x:c r="V23" s="18" t="n">
        <x:v>1224</x:v>
      </x:c>
      <x:c r="W23" s="18" t="n">
        <x:v>45.9</x:v>
      </x:c>
      <x:c r="X23" s="18" t="n">
        <x:v>362.1</x:v>
      </x:c>
      <x:c r="Y23" s="18" t="n">
        <x:v>210</x:v>
      </x:c>
      <x:c r="Z23" s="18" t="n">
        <x:v>561</x:v>
      </x:c>
      <x:c r="AA23" s="18" t="n">
        <x:v>164.16</x:v>
      </x:c>
      <x:c r="AB23" s="16" t="b">
        <x:v>0</x:v>
      </x:c>
      <x:c r="AC23" s="15" t="str">
        <x:v>2026-06-06</x:v>
      </x:c>
      <x:c r="AD23" s="16" t="b">
        <x:v>0</x:v>
      </x:c>
      <x:c r="AE23" s="15" t="str">
        <x:v>2026-08-06</x:v>
      </x:c>
      <x:c r="AF23" s="16" t="b">
        <x:v>1</x:v>
      </x:c>
    </x:row>
    <x:row r="24">
      <x:c r="A24" s="15" t="str">
        <x:v>V-2023</x:v>
      </x:c>
      <x:c r="B24" s="15" t="str">
        <x:v>USR-2023</x:v>
      </x:c>
      <x:c r="C24" s="15" t="str">
        <x:v>APP-2023</x:v>
      </x:c>
      <x:c r="D24" s="15" t="str">
        <x:v>LN-2023</x:v>
      </x:c>
      <x:c r="E24" s="15" t="str">
        <x:v>2026-06-10</x:v>
      </x:c>
      <x:c r="F24" s="15" t="str">
        <x:v>TikTok</x:v>
      </x:c>
      <x:c r="G24" s="15" t="str">
        <x:v>AU_TikTok_Video</x:v>
      </x:c>
      <x:c r="H24" s="15" t="str">
        <x:v>na</x:v>
      </x:c>
      <x:c r="I24" s="15" t="str">
        <x:v>new</x:v>
      </x:c>
      <x:c r="J24" s="15" t="str">
        <x:v>VIC</x:v>
      </x:c>
      <x:c r="K24" s="15" t="str">
        <x:v>mobile</x:v>
      </x:c>
      <x:c r="L24" s="15" t="str">
        <x:v>loc</x:v>
      </x:c>
      <x:c r="M24" s="15" t="str">
        <x:v>2026-06-10</x:v>
      </x:c>
      <x:c r="N24" s="15" t="str">
        <x:v>2026-06-11</x:v>
      </x:c>
      <x:c r="O24" s="15" t="str">
        <x:v>2026-06-12</x:v>
      </x:c>
      <x:c r="P24" s="15" t="str">
        <x:v>2026-06-13</x:v>
      </x:c>
      <x:c r="Q24" s="15" t="str">
        <x:v>2026-06-15</x:v>
      </x:c>
      <x:c r="R24" s="15" t="n">
        <x:v>990</x:v>
      </x:c>
      <x:c r="S24" s="15" t="n">
        <x:v>3</x:v>
      </x:c>
      <x:c r="T24" s="15" t="n">
        <x:v>1</x:v>
      </x:c>
      <x:c r="U24" s="18" t="n">
        <x:v>7200</x:v>
      </x:c>
      <x:c r="V24" s="18" t="n">
        <x:v>1728</x:v>
      </x:c>
      <x:c r="W24" s="18" t="n">
        <x:v>64.8</x:v>
      </x:c>
      <x:c r="X24" s="18" t="n">
        <x:v>511.2</x:v>
      </x:c>
      <x:c r="Y24" s="18" t="n">
        <x:v>210</x:v>
      </x:c>
      <x:c r="Z24" s="18" t="n">
        <x:v>792</x:v>
      </x:c>
      <x:c r="AA24" s="18" t="n">
        <x:v>335.52</x:v>
      </x:c>
      <x:c r="AB24" s="16" t="b">
        <x:v>0</x:v>
      </x:c>
      <x:c r="AC24" s="15" t="str">
        <x:v>2026-07-15</x:v>
      </x:c>
      <x:c r="AD24" s="16" t="b">
        <x:v>1</x:v>
      </x:c>
      <x:c r="AE24" s="15" t="str">
        <x:v>2026-09-15</x:v>
      </x:c>
      <x:c r="AF24" s="15"/>
    </x:row>
    <x:row r="25">
      <x:c r="A25" s="15" t="str">
        <x:v>V-2024</x:v>
      </x:c>
      <x:c r="B25" s="15" t="str">
        <x:v>USR-2024</x:v>
      </x:c>
      <x:c r="C25" s="15" t="str">
        <x:v>APP-2024</x:v>
      </x:c>
      <x:c r="D25" s="15" t="str">
        <x:v>LN-2024</x:v>
      </x:c>
      <x:c r="E25" s="15" t="str">
        <x:v>2026-07-05</x:v>
      </x:c>
      <x:c r="F25" s="15" t="str">
        <x:v>TikTok</x:v>
      </x:c>
      <x:c r="G25" s="15" t="str">
        <x:v>AU_TikTok_Video</x:v>
      </x:c>
      <x:c r="H25" s="15" t="str">
        <x:v>na</x:v>
      </x:c>
      <x:c r="I25" s="15" t="str">
        <x:v>new</x:v>
      </x:c>
      <x:c r="J25" s="15" t="str">
        <x:v>NSW</x:v>
      </x:c>
      <x:c r="K25" s="15" t="str">
        <x:v>mobile</x:v>
      </x:c>
      <x:c r="L25" s="15" t="str">
        <x:v>fixed</x:v>
      </x:c>
      <x:c r="M25" s="15" t="str">
        <x:v>2026-07-05</x:v>
      </x:c>
      <x:c r="N25" s="15" t="str">
        <x:v>2026-07-06</x:v>
      </x:c>
      <x:c r="O25" s="15" t="str">
        <x:v>2026-07-07</x:v>
      </x:c>
      <x:c r="P25" s="15" t="str">
        <x:v>2026-07-08</x:v>
      </x:c>
      <x:c r="Q25" s="15" t="str">
        <x:v>2026-07-10</x:v>
      </x:c>
      <x:c r="R25" s="15" t="n">
        <x:v>1130</x:v>
      </x:c>
      <x:c r="S25" s="15" t="n">
        <x:v>4</x:v>
      </x:c>
      <x:c r="T25" s="15" t="n">
        <x:v>1</x:v>
      </x:c>
      <x:c r="U25" s="18" t="n">
        <x:v>8300</x:v>
      </x:c>
      <x:c r="V25" s="18" t="n">
        <x:v>1992</x:v>
      </x:c>
      <x:c r="W25" s="18" t="n">
        <x:v>74.7</x:v>
      </x:c>
      <x:c r="X25" s="18" t="n">
        <x:v>589.3</x:v>
      </x:c>
      <x:c r="Y25" s="18" t="n">
        <x:v>210</x:v>
      </x:c>
      <x:c r="Z25" s="18" t="n">
        <x:v>913</x:v>
      </x:c>
      <x:c r="AA25" s="18" t="n">
        <x:v>425.28</x:v>
      </x:c>
      <x:c r="AB25" s="16" t="b">
        <x:v>0</x:v>
      </x:c>
      <x:c r="AC25" s="15" t="str">
        <x:v>2026-08-10</x:v>
      </x:c>
      <x:c r="AD25" s="15"/>
      <x:c r="AE25" s="15" t="str">
        <x:v>2026-10-10</x:v>
      </x:c>
      <x:c r="AF25" s="15"/>
    </x:row>
    <x:row r="26">
      <x:c r="A26" s="15" t="str">
        <x:v>V-2025</x:v>
      </x:c>
      <x:c r="B26" s="15" t="str">
        <x:v>USR-2025</x:v>
      </x:c>
      <x:c r="C26" s="15" t="str">
        <x:v>APP-2025</x:v>
      </x:c>
      <x:c r="D26" s="15"/>
      <x:c r="E26" s="15" t="str">
        <x:v>2026-08-02</x:v>
      </x:c>
      <x:c r="F26" s="15" t="str">
        <x:v>TikTok</x:v>
      </x:c>
      <x:c r="G26" s="15" t="str">
        <x:v>AU_TikTok_Video</x:v>
      </x:c>
      <x:c r="H26" s="15" t="str">
        <x:v>na</x:v>
      </x:c>
      <x:c r="I26" s="15" t="str">
        <x:v>new</x:v>
      </x:c>
      <x:c r="J26" s="15" t="str">
        <x:v>QLD</x:v>
      </x:c>
      <x:c r="K26" s="15" t="str">
        <x:v>mobile</x:v>
      </x:c>
      <x:c r="L26" s="15" t="str">
        <x:v>fixed</x:v>
      </x:c>
      <x:c r="M26" s="15" t="str">
        <x:v>2026-08-02</x:v>
      </x:c>
      <x:c r="N26" s="15" t="str">
        <x:v>2026-08-03</x:v>
      </x:c>
      <x:c r="O26" s="15"/>
      <x:c r="P26" s="15"/>
      <x:c r="Q26" s="15"/>
      <x:c r="R26" s="15" t="n">
        <x:v>960</x:v>
      </x:c>
      <x:c r="S26" s="15" t="n">
        <x:v>3</x:v>
      </x:c>
      <x:c r="T26" s="15" t="n">
        <x:v>1</x:v>
      </x:c>
      <x:c r="U26" s="18" t="n">
        <x:v>0</x:v>
      </x:c>
      <x:c r="V26" s="18" t="n">
        <x:v>0</x:v>
      </x:c>
      <x:c r="W26" s="18" t="n">
        <x:v>0</x:v>
      </x:c>
      <x:c r="X26" s="18" t="n">
        <x:v>0</x:v>
      </x:c>
      <x:c r="Y26" s="18" t="n">
        <x:v>0</x:v>
      </x:c>
      <x:c r="Z26" s="18" t="n">
        <x:v>0</x:v>
      </x:c>
      <x:c r="AA26" s="18" t="n">
        <x:v>0</x:v>
      </x:c>
      <x:c r="AB26" s="16" t="b">
        <x:v>1</x:v>
      </x:c>
      <x:c r="AC26" s="15"/>
      <x:c r="AD26" s="15"/>
      <x:c r="AE26" s="15"/>
      <x:c r="AF26" s="15"/>
    </x:row>
    <x:row r="27">
      <x:c r="A27" s="15" t="str">
        <x:v>V-2026</x:v>
      </x:c>
      <x:c r="B27" s="15" t="str">
        <x:v>USR-2026</x:v>
      </x:c>
      <x:c r="C27" s="15" t="str">
        <x:v>APP-2026</x:v>
      </x:c>
      <x:c r="D27" s="15"/>
      <x:c r="E27" s="15" t="str">
        <x:v>2026-08-15</x:v>
      </x:c>
      <x:c r="F27" s="15" t="str">
        <x:v>TikTok</x:v>
      </x:c>
      <x:c r="G27" s="15" t="str">
        <x:v>AU_TikTok_Video</x:v>
      </x:c>
      <x:c r="H27" s="15" t="str">
        <x:v>na</x:v>
      </x:c>
      <x:c r="I27" s="15" t="str">
        <x:v>new</x:v>
      </x:c>
      <x:c r="J27" s="15" t="str">
        <x:v>VIC</x:v>
      </x:c>
      <x:c r="K27" s="15" t="str">
        <x:v>desktop</x:v>
      </x:c>
      <x:c r="L27" s="15" t="str">
        <x:v>fixed</x:v>
      </x:c>
      <x:c r="M27" s="15" t="str">
        <x:v>2026-08-15</x:v>
      </x:c>
      <x:c r="N27" s="15" t="str">
        <x:v>2026-08-16</x:v>
      </x:c>
      <x:c r="O27" s="15" t="str">
        <x:v>2026-08-17</x:v>
      </x:c>
      <x:c r="P27" s="15"/>
      <x:c r="Q27" s="15"/>
      <x:c r="R27" s="15" t="n">
        <x:v>840</x:v>
      </x:c>
      <x:c r="S27" s="15" t="n">
        <x:v>2</x:v>
      </x:c>
      <x:c r="T27" s="15" t="n">
        <x:v>1</x:v>
      </x:c>
      <x:c r="U27" s="18" t="n">
        <x:v>0</x:v>
      </x:c>
      <x:c r="V27" s="18" t="n">
        <x:v>0</x:v>
      </x:c>
      <x:c r="W27" s="18" t="n">
        <x:v>0</x:v>
      </x:c>
      <x:c r="X27" s="18" t="n">
        <x:v>0</x:v>
      </x:c>
      <x:c r="Y27" s="18" t="n">
        <x:v>0</x:v>
      </x:c>
      <x:c r="Z27" s="18" t="n">
        <x:v>0</x:v>
      </x:c>
      <x:c r="AA27" s="18" t="n">
        <x:v>0</x:v>
      </x:c>
      <x:c r="AB27" s="16" t="b">
        <x:v>0</x:v>
      </x:c>
      <x:c r="AC27" s="15"/>
      <x:c r="AD27" s="15"/>
      <x:c r="AE27" s="15"/>
      <x:c r="AF27" s="15"/>
    </x:row>
    <x:row r="28">
      <x:c r="A28" s="15" t="str">
        <x:v>V-2027</x:v>
      </x:c>
      <x:c r="B28" s="15" t="str">
        <x:v>USR-2027</x:v>
      </x:c>
      <x:c r="C28" s="15" t="str">
        <x:v>APP-2027</x:v>
      </x:c>
      <x:c r="D28" s="15" t="str">
        <x:v>LN-2027</x:v>
      </x:c>
      <x:c r="E28" s="15" t="str">
        <x:v>2026-06-03</x:v>
      </x:c>
      <x:c r="F28" s="15" t="str">
        <x:v>Affiliate</x:v>
      </x:c>
      <x:c r="G28" s="15" t="str">
        <x:v>AU_Affiliate_AF17</x:v>
      </x:c>
      <x:c r="H28" s="15" t="str">
        <x:v>na</x:v>
      </x:c>
      <x:c r="I28" s="15" t="str">
        <x:v>new</x:v>
      </x:c>
      <x:c r="J28" s="15" t="str">
        <x:v>NSW</x:v>
      </x:c>
      <x:c r="K28" s="15" t="str">
        <x:v>desktop</x:v>
      </x:c>
      <x:c r="L28" s="15" t="str">
        <x:v>fixed</x:v>
      </x:c>
      <x:c r="M28" s="15" t="str">
        <x:v>2026-06-03</x:v>
      </x:c>
      <x:c r="N28" s="15" t="str">
        <x:v>2026-06-04</x:v>
      </x:c>
      <x:c r="O28" s="15" t="str">
        <x:v>2026-06-05</x:v>
      </x:c>
      <x:c r="P28" s="15" t="str">
        <x:v>2026-06-06</x:v>
      </x:c>
      <x:c r="Q28" s="15" t="str">
        <x:v>2026-06-08</x:v>
      </x:c>
      <x:c r="R28" s="15" t="n">
        <x:v>520</x:v>
      </x:c>
      <x:c r="S28" s="15" t="n">
        <x:v>1</x:v>
      </x:c>
      <x:c r="T28" s="15" t="n">
        <x:v>1</x:v>
      </x:c>
      <x:c r="U28" s="18" t="n">
        <x:v>6900</x:v>
      </x:c>
      <x:c r="V28" s="18" t="n">
        <x:v>1656</x:v>
      </x:c>
      <x:c r="W28" s="18" t="n">
        <x:v>62.1</x:v>
      </x:c>
      <x:c r="X28" s="18" t="n">
        <x:v>489.9</x:v>
      </x:c>
      <x:c r="Y28" s="18" t="n">
        <x:v>210</x:v>
      </x:c>
      <x:c r="Z28" s="18" t="n">
        <x:v>358.8</x:v>
      </x:c>
      <x:c r="AA28" s="18" t="n">
        <x:v>791.28</x:v>
      </x:c>
      <x:c r="AB28" s="16" t="b">
        <x:v>0</x:v>
      </x:c>
      <x:c r="AC28" s="15" t="str">
        <x:v>2026-07-08</x:v>
      </x:c>
      <x:c r="AD28" s="16" t="b">
        <x:v>0</x:v>
      </x:c>
      <x:c r="AE28" s="15" t="str">
        <x:v>2026-09-08</x:v>
      </x:c>
      <x:c r="AF28" s="15"/>
    </x:row>
    <x:row r="29">
      <x:c r="A29" s="15" t="str">
        <x:v>V-2028</x:v>
      </x:c>
      <x:c r="B29" s="15" t="str">
        <x:v>USR-2028</x:v>
      </x:c>
      <x:c r="C29" s="15" t="str">
        <x:v>APP-2028</x:v>
      </x:c>
      <x:c r="D29" s="15" t="str">
        <x:v>LN-2028</x:v>
      </x:c>
      <x:c r="E29" s="15" t="str">
        <x:v>2026-07-08</x:v>
      </x:c>
      <x:c r="F29" s="15" t="str">
        <x:v>Affiliate</x:v>
      </x:c>
      <x:c r="G29" s="15" t="str">
        <x:v>AU_Affiliate_AF17</x:v>
      </x:c>
      <x:c r="H29" s="15" t="str">
        <x:v>na</x:v>
      </x:c>
      <x:c r="I29" s="15" t="str">
        <x:v>old</x:v>
      </x:c>
      <x:c r="J29" s="15" t="str">
        <x:v>VIC</x:v>
      </x:c>
      <x:c r="K29" s="15" t="str">
        <x:v>mobile</x:v>
      </x:c>
      <x:c r="L29" s="15" t="str">
        <x:v>loc</x:v>
      </x:c>
      <x:c r="M29" s="15" t="str">
        <x:v>2026-07-08</x:v>
      </x:c>
      <x:c r="N29" s="15" t="str">
        <x:v>2026-07-09</x:v>
      </x:c>
      <x:c r="O29" s="15" t="str">
        <x:v>2026-07-10</x:v>
      </x:c>
      <x:c r="P29" s="15" t="str">
        <x:v>2026-07-11</x:v>
      </x:c>
      <x:c r="Q29" s="15" t="str">
        <x:v>2026-07-14</x:v>
      </x:c>
      <x:c r="R29" s="15" t="n">
        <x:v>610</x:v>
      </x:c>
      <x:c r="S29" s="15" t="n">
        <x:v>1</x:v>
      </x:c>
      <x:c r="T29" s="15" t="n">
        <x:v>1</x:v>
      </x:c>
      <x:c r="U29" s="18" t="n">
        <x:v>10400</x:v>
      </x:c>
      <x:c r="V29" s="18" t="n">
        <x:v>2496</x:v>
      </x:c>
      <x:c r="W29" s="18" t="n">
        <x:v>93.6</x:v>
      </x:c>
      <x:c r="X29" s="18" t="n">
        <x:v>738.4</x:v>
      </x:c>
      <x:c r="Y29" s="18" t="n">
        <x:v>210</x:v>
      </x:c>
      <x:c r="Z29" s="18" t="n">
        <x:v>416</x:v>
      </x:c>
      <x:c r="AA29" s="18" t="n">
        <x:v>1225.2</x:v>
      </x:c>
      <x:c r="AB29" s="16" t="b">
        <x:v>0</x:v>
      </x:c>
      <x:c r="AC29" s="15" t="str">
        <x:v>2026-08-14</x:v>
      </x:c>
      <x:c r="AD29" s="15"/>
      <x:c r="AE29" s="15" t="str">
        <x:v>2026-10-14</x:v>
      </x:c>
      <x:c r="AF29" s="15"/>
    </x:row>
    <x:row r="30">
      <x:c r="A30" s="15" t="str">
        <x:v>V-2029</x:v>
      </x:c>
      <x:c r="B30" s="15" t="str">
        <x:v>USR-2029</x:v>
      </x:c>
      <x:c r="C30" s="15" t="str">
        <x:v>APP-2029</x:v>
      </x:c>
      <x:c r="D30" s="15"/>
      <x:c r="E30" s="15" t="str">
        <x:v>2026-08-10</x:v>
      </x:c>
      <x:c r="F30" s="15" t="str">
        <x:v>Affiliate</x:v>
      </x:c>
      <x:c r="G30" s="15" t="str">
        <x:v>AU_Affiliate_AF17</x:v>
      </x:c>
      <x:c r="H30" s="15" t="str">
        <x:v>na</x:v>
      </x:c>
      <x:c r="I30" s="15" t="str">
        <x:v>new</x:v>
      </x:c>
      <x:c r="J30" s="15" t="str">
        <x:v>QLD</x:v>
      </x:c>
      <x:c r="K30" s="15" t="str">
        <x:v>desktop</x:v>
      </x:c>
      <x:c r="L30" s="15" t="str">
        <x:v>fixed</x:v>
      </x:c>
      <x:c r="M30" s="15" t="str">
        <x:v>2026-08-10</x:v>
      </x:c>
      <x:c r="N30" s="15" t="str">
        <x:v>2026-08-11</x:v>
      </x:c>
      <x:c r="O30" s="15" t="str">
        <x:v>2026-08-12</x:v>
      </x:c>
      <x:c r="P30" s="15"/>
      <x:c r="Q30" s="15"/>
      <x:c r="R30" s="15" t="n">
        <x:v>480</x:v>
      </x:c>
      <x:c r="S30" s="15" t="n">
        <x:v>1</x:v>
      </x:c>
      <x:c r="T30" s="15" t="n">
        <x:v>1</x:v>
      </x:c>
      <x:c r="U30" s="18" t="n">
        <x:v>0</x:v>
      </x:c>
      <x:c r="V30" s="18" t="n">
        <x:v>0</x:v>
      </x:c>
      <x:c r="W30" s="18" t="n">
        <x:v>0</x:v>
      </x:c>
      <x:c r="X30" s="18" t="n">
        <x:v>0</x:v>
      </x:c>
      <x:c r="Y30" s="18" t="n">
        <x:v>0</x:v>
      </x:c>
      <x:c r="Z30" s="18" t="n">
        <x:v>0</x:v>
      </x:c>
      <x:c r="AA30" s="18" t="n">
        <x:v>0</x:v>
      </x:c>
      <x:c r="AB30" s="16" t="b">
        <x:v>0</x:v>
      </x:c>
      <x:c r="AC30" s="15"/>
      <x:c r="AD30" s="15"/>
      <x:c r="AE30" s="15"/>
      <x:c r="AF30" s="15"/>
    </x:row>
    <x:row r="31">
      <x:c r="A31" s="15" t="str">
        <x:v>V-2030</x:v>
      </x:c>
      <x:c r="B31" s="15" t="str">
        <x:v>USR-2030</x:v>
      </x:c>
      <x:c r="C31" s="15"/>
      <x:c r="D31" s="15"/>
      <x:c r="E31" s="15" t="str">
        <x:v>2026-08-22</x:v>
      </x:c>
      <x:c r="F31" s="15" t="str">
        <x:v>Affiliate</x:v>
      </x:c>
      <x:c r="G31" s="15" t="str">
        <x:v>AU_Affiliate_AF17</x:v>
      </x:c>
      <x:c r="H31" s="15" t="str">
        <x:v>na</x:v>
      </x:c>
      <x:c r="I31" s="15" t="str">
        <x:v>new</x:v>
      </x:c>
      <x:c r="J31" s="15" t="str">
        <x:v>NSW</x:v>
      </x:c>
      <x:c r="K31" s="15" t="str">
        <x:v>mobile</x:v>
      </x:c>
      <x:c r="L31" s="15" t="str">
        <x:v>fixed</x:v>
      </x:c>
      <x:c r="M31" s="15" t="str">
        <x:v>2026-08-22</x:v>
      </x:c>
      <x:c r="N31" s="15"/>
      <x:c r="O31" s="15"/>
      <x:c r="P31" s="15"/>
      <x:c r="Q31" s="15"/>
      <x:c r="R31" s="15" t="n">
        <x:v>450</x:v>
      </x:c>
      <x:c r="S31" s="15" t="n">
        <x:v>1</x:v>
      </x:c>
      <x:c r="T31" s="15" t="n">
        <x:v>1</x:v>
      </x:c>
      <x:c r="U31" s="18" t="n">
        <x:v>0</x:v>
      </x:c>
      <x:c r="V31" s="18" t="n">
        <x:v>0</x:v>
      </x:c>
      <x:c r="W31" s="18" t="n">
        <x:v>0</x:v>
      </x:c>
      <x:c r="X31" s="18" t="n">
        <x:v>0</x:v>
      </x:c>
      <x:c r="Y31" s="18" t="n">
        <x:v>0</x:v>
      </x:c>
      <x:c r="Z31" s="18" t="n">
        <x:v>0</x:v>
      </x:c>
      <x:c r="AA31" s="18" t="n">
        <x:v>0</x:v>
      </x:c>
      <x:c r="AB31" s="15"/>
      <x:c r="AC31" s="15"/>
      <x:c r="AD31" s="15"/>
      <x:c r="AE31" s="15"/>
      <x:c r="AF31" s="15"/>
    </x:row>
    <x:row r="32">
      <x:c r="A32" s="15" t="str">
        <x:v>V-2031</x:v>
      </x:c>
      <x:c r="B32" s="15" t="str">
        <x:v>USR-2031</x:v>
      </x:c>
      <x:c r="C32" s="15" t="str">
        <x:v>APP-2031</x:v>
      </x:c>
      <x:c r="D32" s="15" t="str">
        <x:v>LN-2031</x:v>
      </x:c>
      <x:c r="E32" s="15" t="str">
        <x:v>2026-05-03</x:v>
      </x:c>
      <x:c r="F32" s="15" t="str">
        <x:v>CRM</x:v>
      </x:c>
      <x:c r="G32" s="15" t="str">
        <x:v>AU_CRM_Email_SMS</x:v>
      </x:c>
      <x:c r="H32" s="15" t="str">
        <x:v>na</x:v>
      </x:c>
      <x:c r="I32" s="15" t="str">
        <x:v>old</x:v>
      </x:c>
      <x:c r="J32" s="15" t="str">
        <x:v>NSW</x:v>
      </x:c>
      <x:c r="K32" s="15" t="str">
        <x:v>mobile</x:v>
      </x:c>
      <x:c r="L32" s="15" t="str">
        <x:v>loc</x:v>
      </x:c>
      <x:c r="M32" s="15" t="str">
        <x:v>2026-05-03</x:v>
      </x:c>
      <x:c r="N32" s="15" t="str">
        <x:v>2026-05-04</x:v>
      </x:c>
      <x:c r="O32" s="15" t="str">
        <x:v>2026-05-05</x:v>
      </x:c>
      <x:c r="P32" s="15" t="str">
        <x:v>2026-05-06</x:v>
      </x:c>
      <x:c r="Q32" s="15" t="str">
        <x:v>2026-05-07</x:v>
      </x:c>
      <x:c r="R32" s="15" t="n">
        <x:v>0</x:v>
      </x:c>
      <x:c r="S32" s="15" t="n">
        <x:v>0</x:v>
      </x:c>
      <x:c r="T32" s="15" t="n">
        <x:v>1</x:v>
      </x:c>
      <x:c r="U32" s="18" t="n">
        <x:v>4800</x:v>
      </x:c>
      <x:c r="V32" s="18" t="n">
        <x:v>1152</x:v>
      </x:c>
      <x:c r="W32" s="18" t="n">
        <x:v>43.2</x:v>
      </x:c>
      <x:c r="X32" s="18" t="n">
        <x:v>340.8</x:v>
      </x:c>
      <x:c r="Y32" s="18" t="n">
        <x:v>210</x:v>
      </x:c>
      <x:c r="Z32" s="18" t="n">
        <x:v>192</x:v>
      </x:c>
      <x:c r="AA32" s="18" t="n">
        <x:v>452.4</x:v>
      </x:c>
      <x:c r="AB32" s="16" t="b">
        <x:v>0</x:v>
      </x:c>
      <x:c r="AC32" s="15" t="str">
        <x:v>2026-06-07</x:v>
      </x:c>
      <x:c r="AD32" s="16" t="b">
        <x:v>0</x:v>
      </x:c>
      <x:c r="AE32" s="15" t="str">
        <x:v>2026-08-07</x:v>
      </x:c>
      <x:c r="AF32" s="16" t="b">
        <x:v>0</x:v>
      </x:c>
    </x:row>
    <x:row r="33">
      <x:c r="A33" s="15" t="str">
        <x:v>V-2032</x:v>
      </x:c>
      <x:c r="B33" s="15" t="str">
        <x:v>USR-2032</x:v>
      </x:c>
      <x:c r="C33" s="15" t="str">
        <x:v>APP-2032</x:v>
      </x:c>
      <x:c r="D33" s="15" t="str">
        <x:v>LN-2032</x:v>
      </x:c>
      <x:c r="E33" s="15" t="str">
        <x:v>2026-06-12</x:v>
      </x:c>
      <x:c r="F33" s="15" t="str">
        <x:v>CRM</x:v>
      </x:c>
      <x:c r="G33" s="15" t="str">
        <x:v>AU_CRM_Email_SMS</x:v>
      </x:c>
      <x:c r="H33" s="15" t="str">
        <x:v>na</x:v>
      </x:c>
      <x:c r="I33" s="15" t="str">
        <x:v>old</x:v>
      </x:c>
      <x:c r="J33" s="15" t="str">
        <x:v>VIC</x:v>
      </x:c>
      <x:c r="K33" s="15" t="str">
        <x:v>desktop</x:v>
      </x:c>
      <x:c r="L33" s="15" t="str">
        <x:v>fixed</x:v>
      </x:c>
      <x:c r="M33" s="15" t="str">
        <x:v>2026-06-12</x:v>
      </x:c>
      <x:c r="N33" s="15" t="str">
        <x:v>2026-06-13</x:v>
      </x:c>
      <x:c r="O33" s="15" t="str">
        <x:v>2026-06-14</x:v>
      </x:c>
      <x:c r="P33" s="15" t="str">
        <x:v>2026-06-15</x:v>
      </x:c>
      <x:c r="Q33" s="15" t="str">
        <x:v>2026-06-17</x:v>
      </x:c>
      <x:c r="R33" s="15" t="n">
        <x:v>0</x:v>
      </x:c>
      <x:c r="S33" s="15" t="n">
        <x:v>0</x:v>
      </x:c>
      <x:c r="T33" s="15" t="n">
        <x:v>1</x:v>
      </x:c>
      <x:c r="U33" s="18" t="n">
        <x:v>15500</x:v>
      </x:c>
      <x:c r="V33" s="18" t="n">
        <x:v>3720</x:v>
      </x:c>
      <x:c r="W33" s="18" t="n">
        <x:v>139.5</x:v>
      </x:c>
      <x:c r="X33" s="18" t="n">
        <x:v>1100.5</x:v>
      </x:c>
      <x:c r="Y33" s="18" t="n">
        <x:v>210</x:v>
      </x:c>
      <x:c r="Z33" s="18" t="n">
        <x:v>620</x:v>
      </x:c>
      <x:c r="AA33" s="18" t="n">
        <x:v>1929</x:v>
      </x:c>
      <x:c r="AB33" s="16" t="b">
        <x:v>0</x:v>
      </x:c>
      <x:c r="AC33" s="15" t="str">
        <x:v>2026-07-17</x:v>
      </x:c>
      <x:c r="AD33" s="16" t="b">
        <x:v>0</x:v>
      </x:c>
      <x:c r="AE33" s="15" t="str">
        <x:v>2026-09-17</x:v>
      </x:c>
      <x:c r="AF33" s="15"/>
    </x:row>
    <x:row r="34">
      <x:c r="A34" s="15" t="str">
        <x:v>V-2033</x:v>
      </x:c>
      <x:c r="B34" s="15" t="str">
        <x:v>USR-2033</x:v>
      </x:c>
      <x:c r="C34" s="15" t="str">
        <x:v>APP-2033</x:v>
      </x:c>
      <x:c r="D34" s="15"/>
      <x:c r="E34" s="15" t="str">
        <x:v>2026-07-09</x:v>
      </x:c>
      <x:c r="F34" s="15" t="str">
        <x:v>CRM</x:v>
      </x:c>
      <x:c r="G34" s="15" t="str">
        <x:v>AU_CRM_Email_SMS</x:v>
      </x:c>
      <x:c r="H34" s="15" t="str">
        <x:v>na</x:v>
      </x:c>
      <x:c r="I34" s="15" t="str">
        <x:v>old</x:v>
      </x:c>
      <x:c r="J34" s="15" t="str">
        <x:v>QLD</x:v>
      </x:c>
      <x:c r="K34" s="15" t="str">
        <x:v>mobile</x:v>
      </x:c>
      <x:c r="L34" s="15" t="str">
        <x:v>loc</x:v>
      </x:c>
      <x:c r="M34" s="15" t="str">
        <x:v>2026-07-09</x:v>
      </x:c>
      <x:c r="N34" s="15" t="str">
        <x:v>2026-07-10</x:v>
      </x:c>
      <x:c r="O34" s="15" t="str">
        <x:v>2026-07-11</x:v>
      </x:c>
      <x:c r="P34" s="15" t="str">
        <x:v>2026-07-12</x:v>
      </x:c>
      <x:c r="Q34" s="15"/>
      <x:c r="R34" s="15" t="n">
        <x:v>0</x:v>
      </x:c>
      <x:c r="S34" s="15" t="n">
        <x:v>0</x:v>
      </x:c>
      <x:c r="T34" s="15" t="n">
        <x:v>1</x:v>
      </x:c>
      <x:c r="U34" s="18" t="n">
        <x:v>0</x:v>
      </x:c>
      <x:c r="V34" s="18" t="n">
        <x:v>0</x:v>
      </x:c>
      <x:c r="W34" s="18" t="n">
        <x:v>0</x:v>
      </x:c>
      <x:c r="X34" s="18" t="n">
        <x:v>0</x:v>
      </x:c>
      <x:c r="Y34" s="18" t="n">
        <x:v>0</x:v>
      </x:c>
      <x:c r="Z34" s="18" t="n">
        <x:v>0</x:v>
      </x:c>
      <x:c r="AA34" s="18" t="n">
        <x:v>0</x:v>
      </x:c>
      <x:c r="AB34" s="16" t="b">
        <x:v>0</x:v>
      </x:c>
      <x:c r="AC34" s="15"/>
      <x:c r="AD34" s="15"/>
      <x:c r="AE34" s="15"/>
      <x:c r="AF34" s="15"/>
    </x:row>
    <x:row r="35">
      <x:c r="A35" s="15" t="str">
        <x:v>V-2034</x:v>
      </x:c>
      <x:c r="B35" s="15" t="str">
        <x:v>USR-2031</x:v>
      </x:c>
      <x:c r="C35" s="15" t="str">
        <x:v>APP-2034</x:v>
      </x:c>
      <x:c r="D35" s="15"/>
      <x:c r="E35" s="15" t="str">
        <x:v>2026-08-18</x:v>
      </x:c>
      <x:c r="F35" s="15" t="str">
        <x:v>CRM</x:v>
      </x:c>
      <x:c r="G35" s="15" t="str">
        <x:v>AU_CRM_Email_SMS</x:v>
      </x:c>
      <x:c r="H35" s="15" t="str">
        <x:v>na</x:v>
      </x:c>
      <x:c r="I35" s="15" t="str">
        <x:v>old</x:v>
      </x:c>
      <x:c r="J35" s="15" t="str">
        <x:v>NSW</x:v>
      </x:c>
      <x:c r="K35" s="15" t="str">
        <x:v>desktop</x:v>
      </x:c>
      <x:c r="L35" s="15" t="str">
        <x:v>fixed</x:v>
      </x:c>
      <x:c r="M35" s="15" t="str">
        <x:v>2026-08-18</x:v>
      </x:c>
      <x:c r="N35" s="15" t="str">
        <x:v>2026-08-19</x:v>
      </x:c>
      <x:c r="O35" s="15" t="str">
        <x:v>2026-08-20</x:v>
      </x:c>
      <x:c r="P35" s="15"/>
      <x:c r="Q35" s="15"/>
      <x:c r="R35" s="15" t="n">
        <x:v>0</x:v>
      </x:c>
      <x:c r="S35" s="15" t="n">
        <x:v>0</x:v>
      </x:c>
      <x:c r="T35" s="15" t="n">
        <x:v>1</x:v>
      </x:c>
      <x:c r="U35" s="18" t="n">
        <x:v>0</x:v>
      </x:c>
      <x:c r="V35" s="18" t="n">
        <x:v>0</x:v>
      </x:c>
      <x:c r="W35" s="18" t="n">
        <x:v>0</x:v>
      </x:c>
      <x:c r="X35" s="18" t="n">
        <x:v>0</x:v>
      </x:c>
      <x:c r="Y35" s="18" t="n">
        <x:v>0</x:v>
      </x:c>
      <x:c r="Z35" s="18" t="n">
        <x:v>0</x:v>
      </x:c>
      <x:c r="AA35" s="18" t="n">
        <x:v>0</x:v>
      </x:c>
      <x:c r="AB35" s="16" t="b">
        <x:v>0</x:v>
      </x:c>
      <x:c r="AC35" s="15"/>
      <x:c r="AD35" s="15"/>
      <x:c r="AE35" s="15"/>
      <x:c r="AF35" s="15"/>
    </x:row>
    <x:row r="36">
      <x:c r="A36" s="15" t="str">
        <x:v>V-2035</x:v>
      </x:c>
      <x:c r="B36" s="15" t="str">
        <x:v>USR-2035</x:v>
      </x:c>
      <x:c r="C36" s="15"/>
      <x:c r="D36" s="15"/>
      <x:c r="E36" s="15" t="str">
        <x:v>2026-09-03</x:v>
      </x:c>
      <x:c r="F36" s="15" t="str">
        <x:v>CRM</x:v>
      </x:c>
      <x:c r="G36" s="15" t="str">
        <x:v>AU_CRM_Email_SMS</x:v>
      </x:c>
      <x:c r="H36" s="15" t="str">
        <x:v>na</x:v>
      </x:c>
      <x:c r="I36" s="15" t="str">
        <x:v>new</x:v>
      </x:c>
      <x:c r="J36" s="15" t="str">
        <x:v>VIC</x:v>
      </x:c>
      <x:c r="K36" s="15" t="str">
        <x:v>mobile</x:v>
      </x:c>
      <x:c r="L36" s="15" t="str">
        <x:v>fixed</x:v>
      </x:c>
      <x:c r="M36" s="15" t="str">
        <x:v>2026-09-03</x:v>
      </x:c>
      <x:c r="N36" s="15"/>
      <x:c r="O36" s="15"/>
      <x:c r="P36" s="15"/>
      <x:c r="Q36" s="15"/>
      <x:c r="R36" s="15" t="n">
        <x:v>0</x:v>
      </x:c>
      <x:c r="S36" s="15" t="n">
        <x:v>0</x:v>
      </x:c>
      <x:c r="T36" s="15" t="n">
        <x:v>1</x:v>
      </x:c>
      <x:c r="U36" s="18" t="n">
        <x:v>0</x:v>
      </x:c>
      <x:c r="V36" s="18" t="n">
        <x:v>0</x:v>
      </x:c>
      <x:c r="W36" s="18" t="n">
        <x:v>0</x:v>
      </x:c>
      <x:c r="X36" s="18" t="n">
        <x:v>0</x:v>
      </x:c>
      <x:c r="Y36" s="18" t="n">
        <x:v>0</x:v>
      </x:c>
      <x:c r="Z36" s="18" t="n">
        <x:v>0</x:v>
      </x:c>
      <x:c r="AA36" s="18" t="n">
        <x:v>0</x:v>
      </x:c>
      <x:c r="AB36" s="15"/>
      <x:c r="AC36" s="15"/>
      <x:c r="AD36" s="15"/>
      <x:c r="AE36" s="15"/>
      <x:c r="AF36" s="15"/>
    </x:row>
    <x:row r="37">
      <x:c r="A37" s="15" t="str">
        <x:v>V-2036</x:v>
      </x:c>
      <x:c r="B37" s="15" t="str">
        <x:v>USR-2036</x:v>
      </x:c>
      <x:c r="C37" s="15" t="str">
        <x:v>APP-2036</x:v>
      </x:c>
      <x:c r="D37" s="15" t="str">
        <x:v>LN-2036</x:v>
      </x:c>
      <x:c r="E37" s="15" t="str">
        <x:v>2026-05-05</x:v>
      </x:c>
      <x:c r="F37" s="15" t="str">
        <x:v>Organic</x:v>
      </x:c>
      <x:c r="G37" s="15" t="str">
        <x:v>AU_Organic</x:v>
      </x:c>
      <x:c r="H37" s="15" t="str">
        <x:v>na</x:v>
      </x:c>
      <x:c r="I37" s="15" t="str">
        <x:v>new</x:v>
      </x:c>
      <x:c r="J37" s="15" t="str">
        <x:v>NSW</x:v>
      </x:c>
      <x:c r="K37" s="15" t="str">
        <x:v>mobile</x:v>
      </x:c>
      <x:c r="L37" s="15" t="str">
        <x:v>fixed</x:v>
      </x:c>
      <x:c r="M37" s="15" t="str">
        <x:v>2026-05-05</x:v>
      </x:c>
      <x:c r="N37" s="15" t="str">
        <x:v>2026-05-06</x:v>
      </x:c>
      <x:c r="O37" s="15" t="str">
        <x:v>2026-05-07</x:v>
      </x:c>
      <x:c r="P37" s="15" t="str">
        <x:v>2026-05-08</x:v>
      </x:c>
      <x:c r="Q37" s="15" t="str">
        <x:v>2026-05-11</x:v>
      </x:c>
      <x:c r="R37" s="15" t="n">
        <x:v>0</x:v>
      </x:c>
      <x:c r="S37" s="15" t="n">
        <x:v>0</x:v>
      </x:c>
      <x:c r="T37" s="15" t="n">
        <x:v>1</x:v>
      </x:c>
      <x:c r="U37" s="18" t="n">
        <x:v>8500</x:v>
      </x:c>
      <x:c r="V37" s="18" t="n">
        <x:v>2040</x:v>
      </x:c>
      <x:c r="W37" s="18" t="n">
        <x:v>76.5</x:v>
      </x:c>
      <x:c r="X37" s="18" t="n">
        <x:v>603.5</x:v>
      </x:c>
      <x:c r="Y37" s="18" t="n">
        <x:v>210</x:v>
      </x:c>
      <x:c r="Z37" s="18" t="n">
        <x:v>442</x:v>
      </x:c>
      <x:c r="AA37" s="18" t="n">
        <x:v>1033.2</x:v>
      </x:c>
      <x:c r="AB37" s="16" t="b">
        <x:v>0</x:v>
      </x:c>
      <x:c r="AC37" s="15" t="str">
        <x:v>2026-06-11</x:v>
      </x:c>
      <x:c r="AD37" s="16" t="b">
        <x:v>0</x:v>
      </x:c>
      <x:c r="AE37" s="15" t="str">
        <x:v>2026-08-11</x:v>
      </x:c>
      <x:c r="AF37" s="15"/>
    </x:row>
    <x:row r="38">
      <x:c r="A38" s="15" t="str">
        <x:v>V-2037</x:v>
      </x:c>
      <x:c r="B38" s="15" t="str">
        <x:v>USR-2037</x:v>
      </x:c>
      <x:c r="C38" s="15" t="str">
        <x:v>APP-2037</x:v>
      </x:c>
      <x:c r="D38" s="15" t="str">
        <x:v>LN-2037</x:v>
      </x:c>
      <x:c r="E38" s="15" t="str">
        <x:v>2026-06-10</x:v>
      </x:c>
      <x:c r="F38" s="15" t="str">
        <x:v>Organic</x:v>
      </x:c>
      <x:c r="G38" s="15" t="str">
        <x:v>AU_Organic</x:v>
      </x:c>
      <x:c r="H38" s="15" t="str">
        <x:v>na</x:v>
      </x:c>
      <x:c r="I38" s="15" t="str">
        <x:v>new</x:v>
      </x:c>
      <x:c r="J38" s="15" t="str">
        <x:v>VIC</x:v>
      </x:c>
      <x:c r="K38" s="15" t="str">
        <x:v>desktop</x:v>
      </x:c>
      <x:c r="L38" s="15" t="str">
        <x:v>loc</x:v>
      </x:c>
      <x:c r="M38" s="15" t="str">
        <x:v>2026-06-10</x:v>
      </x:c>
      <x:c r="N38" s="15" t="str">
        <x:v>2026-06-11</x:v>
      </x:c>
      <x:c r="O38" s="15" t="str">
        <x:v>2026-06-12</x:v>
      </x:c>
      <x:c r="P38" s="15" t="str">
        <x:v>2026-06-13</x:v>
      </x:c>
      <x:c r="Q38" s="15" t="str">
        <x:v>2026-06-16</x:v>
      </x:c>
      <x:c r="R38" s="15" t="n">
        <x:v>0</x:v>
      </x:c>
      <x:c r="S38" s="15" t="n">
        <x:v>0</x:v>
      </x:c>
      <x:c r="T38" s="15" t="n">
        <x:v>1</x:v>
      </x:c>
      <x:c r="U38" s="18" t="n">
        <x:v>6300</x:v>
      </x:c>
      <x:c r="V38" s="18" t="n">
        <x:v>1512</x:v>
      </x:c>
      <x:c r="W38" s="18" t="n">
        <x:v>56.7</x:v>
      </x:c>
      <x:c r="X38" s="18" t="n">
        <x:v>447.3</x:v>
      </x:c>
      <x:c r="Y38" s="18" t="n">
        <x:v>210</x:v>
      </x:c>
      <x:c r="Z38" s="18" t="n">
        <x:v>327.6</x:v>
      </x:c>
      <x:c r="AA38" s="18" t="n">
        <x:v>700.56</x:v>
      </x:c>
      <x:c r="AB38" s="16" t="b">
        <x:v>0</x:v>
      </x:c>
      <x:c r="AC38" s="15" t="str">
        <x:v>2026-07-16</x:v>
      </x:c>
      <x:c r="AD38" s="16" t="b">
        <x:v>0</x:v>
      </x:c>
      <x:c r="AE38" s="15" t="str">
        <x:v>2026-09-16</x:v>
      </x:c>
      <x:c r="AF38" s="15"/>
    </x:row>
    <x:row r="39">
      <x:c r="A39" s="15" t="str">
        <x:v>V-2038</x:v>
      </x:c>
      <x:c r="B39" s="15" t="str">
        <x:v>USR-2038</x:v>
      </x:c>
      <x:c r="C39" s="15" t="str">
        <x:v>APP-2038</x:v>
      </x:c>
      <x:c r="D39" s="15" t="str">
        <x:v>LN-2038</x:v>
      </x:c>
      <x:c r="E39" s="15" t="str">
        <x:v>2026-07-02</x:v>
      </x:c>
      <x:c r="F39" s="15" t="str">
        <x:v>Organic</x:v>
      </x:c>
      <x:c r="G39" s="15" t="str">
        <x:v>AU_Organic</x:v>
      </x:c>
      <x:c r="H39" s="15" t="str">
        <x:v>na</x:v>
      </x:c>
      <x:c r="I39" s="15" t="str">
        <x:v>old</x:v>
      </x:c>
      <x:c r="J39" s="15" t="str">
        <x:v>QLD</x:v>
      </x:c>
      <x:c r="K39" s="15" t="str">
        <x:v>mobile</x:v>
      </x:c>
      <x:c r="L39" s="15" t="str">
        <x:v>fixed</x:v>
      </x:c>
      <x:c r="M39" s="15" t="str">
        <x:v>2026-07-02</x:v>
      </x:c>
      <x:c r="N39" s="15" t="str">
        <x:v>2026-07-03</x:v>
      </x:c>
      <x:c r="O39" s="15" t="str">
        <x:v>2026-07-04</x:v>
      </x:c>
      <x:c r="P39" s="15" t="str">
        <x:v>2026-07-05</x:v>
      </x:c>
      <x:c r="Q39" s="15" t="str">
        <x:v>2026-07-06</x:v>
      </x:c>
      <x:c r="R39" s="15" t="n">
        <x:v>0</x:v>
      </x:c>
      <x:c r="S39" s="15" t="n">
        <x:v>0</x:v>
      </x:c>
      <x:c r="T39" s="15" t="n">
        <x:v>1</x:v>
      </x:c>
      <x:c r="U39" s="18" t="n">
        <x:v>11200</x:v>
      </x:c>
      <x:c r="V39" s="18" t="n">
        <x:v>2688</x:v>
      </x:c>
      <x:c r="W39" s="18" t="n">
        <x:v>100.8</x:v>
      </x:c>
      <x:c r="X39" s="18" t="n">
        <x:v>795.2</x:v>
      </x:c>
      <x:c r="Y39" s="18" t="n">
        <x:v>210</x:v>
      </x:c>
      <x:c r="Z39" s="18" t="n">
        <x:v>448</x:v>
      </x:c>
      <x:c r="AA39" s="18" t="n">
        <x:v>1335.6</x:v>
      </x:c>
      <x:c r="AB39" s="16" t="b">
        <x:v>0</x:v>
      </x:c>
      <x:c r="AC39" s="15" t="str">
        <x:v>2026-08-06</x:v>
      </x:c>
      <x:c r="AD39" s="16" t="b">
        <x:v>0</x:v>
      </x:c>
      <x:c r="AE39" s="15" t="str">
        <x:v>2026-10-06</x:v>
      </x:c>
      <x:c r="AF39" s="15"/>
    </x:row>
    <x:row r="40">
      <x:c r="A40" s="15" t="str">
        <x:v>V-2039</x:v>
      </x:c>
      <x:c r="B40" s="15" t="str">
        <x:v>USR-2039</x:v>
      </x:c>
      <x:c r="C40" s="15" t="str">
        <x:v>APP-2039</x:v>
      </x:c>
      <x:c r="D40" s="15" t="str">
        <x:v>LN-2039</x:v>
      </x:c>
      <x:c r="E40" s="15" t="str">
        <x:v>2026-08-03</x:v>
      </x:c>
      <x:c r="F40" s="15" t="str">
        <x:v>Organic</x:v>
      </x:c>
      <x:c r="G40" s="15" t="str">
        <x:v>AU_Organic</x:v>
      </x:c>
      <x:c r="H40" s="15" t="str">
        <x:v>na</x:v>
      </x:c>
      <x:c r="I40" s="15" t="str">
        <x:v>new</x:v>
      </x:c>
      <x:c r="J40" s="15" t="str">
        <x:v>NSW</x:v>
      </x:c>
      <x:c r="K40" s="15" t="str">
        <x:v>desktop</x:v>
      </x:c>
      <x:c r="L40" s="15" t="str">
        <x:v>fixed</x:v>
      </x:c>
      <x:c r="M40" s="15" t="str">
        <x:v>2026-08-03</x:v>
      </x:c>
      <x:c r="N40" s="15" t="str">
        <x:v>2026-08-04</x:v>
      </x:c>
      <x:c r="O40" s="15" t="str">
        <x:v>2026-08-05</x:v>
      </x:c>
      <x:c r="P40" s="15" t="str">
        <x:v>2026-08-06</x:v>
      </x:c>
      <x:c r="Q40" s="15" t="str">
        <x:v>2026-08-08</x:v>
      </x:c>
      <x:c r="R40" s="15" t="n">
        <x:v>0</x:v>
      </x:c>
      <x:c r="S40" s="15" t="n">
        <x:v>0</x:v>
      </x:c>
      <x:c r="T40" s="15" t="n">
        <x:v>1</x:v>
      </x:c>
      <x:c r="U40" s="18" t="n">
        <x:v>5800</x:v>
      </x:c>
      <x:c r="V40" s="18" t="n">
        <x:v>1392</x:v>
      </x:c>
      <x:c r="W40" s="18" t="n">
        <x:v>52.2</x:v>
      </x:c>
      <x:c r="X40" s="18" t="n">
        <x:v>411.8</x:v>
      </x:c>
      <x:c r="Y40" s="18" t="n">
        <x:v>210</x:v>
      </x:c>
      <x:c r="Z40" s="18" t="n">
        <x:v>301.6</x:v>
      </x:c>
      <x:c r="AA40" s="18" t="n">
        <x:v>624.96</x:v>
      </x:c>
      <x:c r="AB40" s="16" t="b">
        <x:v>0</x:v>
      </x:c>
      <x:c r="AC40" s="15" t="str">
        <x:v>2026-09-08</x:v>
      </x:c>
      <x:c r="AD40" s="15"/>
      <x:c r="AE40" s="15" t="str">
        <x:v>2026-11-08</x:v>
      </x:c>
      <x:c r="AF40" s="15"/>
    </x:row>
    <x:row r="41">
      <x:c r="A41" s="15" t="str">
        <x:v>V-2040</x:v>
      </x:c>
      <x:c r="B41" s="15" t="str">
        <x:v>USR-2040</x:v>
      </x:c>
      <x:c r="C41" s="15" t="str">
        <x:v>APP-2040</x:v>
      </x:c>
      <x:c r="D41" s="15"/>
      <x:c r="E41" s="15" t="str">
        <x:v>2026-07-18</x:v>
      </x:c>
      <x:c r="F41" s="15" t="str">
        <x:v>Organic</x:v>
      </x:c>
      <x:c r="G41" s="15" t="str">
        <x:v>AU_Organic</x:v>
      </x:c>
      <x:c r="H41" s="15" t="str">
        <x:v>na</x:v>
      </x:c>
      <x:c r="I41" s="15" t="str">
        <x:v>new</x:v>
      </x:c>
      <x:c r="J41" s="15" t="str">
        <x:v>VIC</x:v>
      </x:c>
      <x:c r="K41" s="15" t="str">
        <x:v>mobile</x:v>
      </x:c>
      <x:c r="L41" s="15" t="str">
        <x:v>loc</x:v>
      </x:c>
      <x:c r="M41" s="15" t="str">
        <x:v>2026-07-18</x:v>
      </x:c>
      <x:c r="N41" s="15" t="str">
        <x:v>2026-07-19</x:v>
      </x:c>
      <x:c r="O41" s="15" t="str">
        <x:v>2026-07-20</x:v>
      </x:c>
      <x:c r="P41" s="15"/>
      <x:c r="Q41" s="15"/>
      <x:c r="R41" s="15" t="n">
        <x:v>0</x:v>
      </x:c>
      <x:c r="S41" s="15" t="n">
        <x:v>0</x:v>
      </x:c>
      <x:c r="T41" s="15" t="n">
        <x:v>1</x:v>
      </x:c>
      <x:c r="U41" s="18" t="n">
        <x:v>0</x:v>
      </x:c>
      <x:c r="V41" s="18" t="n">
        <x:v>0</x:v>
      </x:c>
      <x:c r="W41" s="18" t="n">
        <x:v>0</x:v>
      </x:c>
      <x:c r="X41" s="18" t="n">
        <x:v>0</x:v>
      </x:c>
      <x:c r="Y41" s="18" t="n">
        <x:v>0</x:v>
      </x:c>
      <x:c r="Z41" s="18" t="n">
        <x:v>0</x:v>
      </x:c>
      <x:c r="AA41" s="18" t="n">
        <x:v>0</x:v>
      </x:c>
      <x:c r="AB41" s="16" t="b">
        <x:v>0</x:v>
      </x:c>
      <x:c r="AC41" s="15"/>
      <x:c r="AD41" s="15"/>
      <x:c r="AE41" s="15"/>
      <x:c r="AF41" s="15"/>
    </x:row>
    <x:row r="42">
      <x:c r="A42" s="15" t="str">
        <x:v>V-2041</x:v>
      </x:c>
      <x:c r="B42" s="15" t="str">
        <x:v>USR-2041</x:v>
      </x:c>
      <x:c r="C42" s="15" t="str">
        <x:v>APP-2041</x:v>
      </x:c>
      <x:c r="D42" s="15"/>
      <x:c r="E42" s="15" t="str">
        <x:v>2026-08-26</x:v>
      </x:c>
      <x:c r="F42" s="15" t="str">
        <x:v>Organic</x:v>
      </x:c>
      <x:c r="G42" s="15" t="str">
        <x:v>AU_Organic</x:v>
      </x:c>
      <x:c r="H42" s="15" t="str">
        <x:v>na</x:v>
      </x:c>
      <x:c r="I42" s="15" t="str">
        <x:v>new</x:v>
      </x:c>
      <x:c r="J42" s="15" t="str">
        <x:v>QLD</x:v>
      </x:c>
      <x:c r="K42" s="15" t="str">
        <x:v>desktop</x:v>
      </x:c>
      <x:c r="L42" s="15" t="str">
        <x:v>fixed</x:v>
      </x:c>
      <x:c r="M42" s="15" t="str">
        <x:v>2026-08-26</x:v>
      </x:c>
      <x:c r="N42" s="15" t="str">
        <x:v>2026-08-27</x:v>
      </x:c>
      <x:c r="O42" s="15"/>
      <x:c r="P42" s="15"/>
      <x:c r="Q42" s="15"/>
      <x:c r="R42" s="15" t="n">
        <x:v>0</x:v>
      </x:c>
      <x:c r="S42" s="15" t="n">
        <x:v>0</x:v>
      </x:c>
      <x:c r="T42" s="15" t="n">
        <x:v>1</x:v>
      </x:c>
      <x:c r="U42" s="18" t="n">
        <x:v>0</x:v>
      </x:c>
      <x:c r="V42" s="18" t="n">
        <x:v>0</x:v>
      </x:c>
      <x:c r="W42" s="18" t="n">
        <x:v>0</x:v>
      </x:c>
      <x:c r="X42" s="18" t="n">
        <x:v>0</x:v>
      </x:c>
      <x:c r="Y42" s="18" t="n">
        <x:v>0</x:v>
      </x:c>
      <x:c r="Z42" s="18" t="n">
        <x:v>0</x:v>
      </x:c>
      <x:c r="AA42" s="18" t="n">
        <x:v>0</x:v>
      </x:c>
      <x:c r="AB42" s="16" t="b">
        <x:v>0</x:v>
      </x:c>
      <x:c r="AC42" s="15"/>
      <x:c r="AD42" s="15"/>
      <x:c r="AE42" s="15"/>
      <x:c r="AF42" s="15"/>
    </x:row>
    <x:row r="43">
      <x:c r="A43" s="15" t="str">
        <x:v>V-2042</x:v>
      </x:c>
      <x:c r="B43" s="15" t="str">
        <x:v>USR-2042</x:v>
      </x:c>
      <x:c r="C43" s="15"/>
      <x:c r="D43" s="15"/>
      <x:c r="E43" s="15" t="str">
        <x:v>2026-09-02</x:v>
      </x:c>
      <x:c r="F43" s="15" t="str">
        <x:v>Organic</x:v>
      </x:c>
      <x:c r="G43" s="15" t="str">
        <x:v>AU_Organic</x:v>
      </x:c>
      <x:c r="H43" s="15" t="str">
        <x:v>na</x:v>
      </x:c>
      <x:c r="I43" s="15" t="str">
        <x:v>old</x:v>
      </x:c>
      <x:c r="J43" s="15" t="str">
        <x:v>NSW</x:v>
      </x:c>
      <x:c r="K43" s="15" t="str">
        <x:v>mobile</x:v>
      </x:c>
      <x:c r="L43" s="15" t="str">
        <x:v>fixed</x:v>
      </x:c>
      <x:c r="M43" s="15" t="str">
        <x:v>2026-09-02</x:v>
      </x:c>
      <x:c r="N43" s="15"/>
      <x:c r="O43" s="15"/>
      <x:c r="P43" s="15"/>
      <x:c r="Q43" s="15"/>
      <x:c r="R43" s="15" t="n">
        <x:v>0</x:v>
      </x:c>
      <x:c r="S43" s="15" t="n">
        <x:v>0</x:v>
      </x:c>
      <x:c r="T43" s="15" t="n">
        <x:v>1</x:v>
      </x:c>
      <x:c r="U43" s="18" t="n">
        <x:v>0</x:v>
      </x:c>
      <x:c r="V43" s="18" t="n">
        <x:v>0</x:v>
      </x:c>
      <x:c r="W43" s="18" t="n">
        <x:v>0</x:v>
      </x:c>
      <x:c r="X43" s="18" t="n">
        <x:v>0</x:v>
      </x:c>
      <x:c r="Y43" s="18" t="n">
        <x:v>0</x:v>
      </x:c>
      <x:c r="Z43" s="18" t="n">
        <x:v>0</x:v>
      </x:c>
      <x:c r="AA43" s="18" t="n">
        <x:v>0</x:v>
      </x:c>
      <x:c r="AB43" s="15"/>
      <x:c r="AC43" s="15"/>
      <x:c r="AD43" s="15"/>
      <x:c r="AE43" s="15"/>
      <x:c r="AF43" s="15"/>
    </x:row>
    <x:row r="44">
      <x:c r="A44" s="15" t="str">
        <x:v>V-2043</x:v>
      </x:c>
      <x:c r="B44" s="15" t="str">
        <x:v>USR-2043</x:v>
      </x:c>
      <x:c r="C44" s="15" t="str">
        <x:v>APP-2043</x:v>
      </x:c>
      <x:c r="D44" s="15"/>
      <x:c r="E44" s="15" t="str">
        <x:v>2026-09-05</x:v>
      </x:c>
      <x:c r="F44" s="15" t="str">
        <x:v>Organic</x:v>
      </x:c>
      <x:c r="G44" s="15" t="str">
        <x:v>AU_Organic</x:v>
      </x:c>
      <x:c r="H44" s="15" t="str">
        <x:v>na</x:v>
      </x:c>
      <x:c r="I44" s="15" t="str">
        <x:v>new</x:v>
      </x:c>
      <x:c r="J44" s="15" t="str">
        <x:v>VIC</x:v>
      </x:c>
      <x:c r="K44" s="15" t="str">
        <x:v>mobile</x:v>
      </x:c>
      <x:c r="L44" s="15" t="str">
        <x:v>fixed</x:v>
      </x:c>
      <x:c r="M44" s="15" t="str">
        <x:v>2026-09-05</x:v>
      </x:c>
      <x:c r="N44" s="15" t="str">
        <x:v>2026-09-06</x:v>
      </x:c>
      <x:c r="O44" s="15"/>
      <x:c r="P44" s="15"/>
      <x:c r="Q44" s="15"/>
      <x:c r="R44" s="15" t="n">
        <x:v>0</x:v>
      </x:c>
      <x:c r="S44" s="15" t="n">
        <x:v>0</x:v>
      </x:c>
      <x:c r="T44" s="15" t="n">
        <x:v>1</x:v>
      </x:c>
      <x:c r="U44" s="18" t="n">
        <x:v>0</x:v>
      </x:c>
      <x:c r="V44" s="18" t="n">
        <x:v>0</x:v>
      </x:c>
      <x:c r="W44" s="18" t="n">
        <x:v>0</x:v>
      </x:c>
      <x:c r="X44" s="18" t="n">
        <x:v>0</x:v>
      </x:c>
      <x:c r="Y44" s="18" t="n">
        <x:v>0</x:v>
      </x:c>
      <x:c r="Z44" s="18" t="n">
        <x:v>0</x:v>
      </x:c>
      <x:c r="AA44" s="18" t="n">
        <x:v>0</x:v>
      </x:c>
      <x:c r="AB44" s="16" t="b">
        <x:v>0</x:v>
      </x:c>
      <x:c r="AC44" s="15"/>
      <x:c r="AD44" s="15"/>
      <x:c r="AE44" s="15"/>
      <x:c r="AF44" s="15"/>
    </x:row>
    <x:row r="45">
      <x:c r="A45" s="15" t="str">
        <x:v>V-2044</x:v>
      </x:c>
      <x:c r="B45" s="15" t="str">
        <x:v>USR-2044</x:v>
      </x:c>
      <x:c r="C45" s="15" t="str">
        <x:v>APP-2044</x:v>
      </x:c>
      <x:c r="D45" s="15" t="str">
        <x:v>LN-2044</x:v>
      </x:c>
      <x:c r="E45" s="15" t="str">
        <x:v>2026-06-20</x:v>
      </x:c>
      <x:c r="F45" s="15" t="str">
        <x:v>Direct</x:v>
      </x:c>
      <x:c r="G45" s="15" t="str">
        <x:v>AU_Direct</x:v>
      </x:c>
      <x:c r="H45" s="15" t="str">
        <x:v>na</x:v>
      </x:c>
      <x:c r="I45" s="15" t="str">
        <x:v>old</x:v>
      </x:c>
      <x:c r="J45" s="15" t="str">
        <x:v>NSW</x:v>
      </x:c>
      <x:c r="K45" s="15" t="str">
        <x:v>desktop</x:v>
      </x:c>
      <x:c r="L45" s="15" t="str">
        <x:v>loc</x:v>
      </x:c>
      <x:c r="M45" s="15" t="str">
        <x:v>2026-06-20</x:v>
      </x:c>
      <x:c r="N45" s="15" t="str">
        <x:v>2026-06-21</x:v>
      </x:c>
      <x:c r="O45" s="15" t="str">
        <x:v>2026-06-22</x:v>
      </x:c>
      <x:c r="P45" s="15" t="str">
        <x:v>2026-06-23</x:v>
      </x:c>
      <x:c r="Q45" s="15" t="str">
        <x:v>2026-06-25</x:v>
      </x:c>
      <x:c r="R45" s="15" t="n">
        <x:v>0</x:v>
      </x:c>
      <x:c r="S45" s="15" t="n">
        <x:v>0</x:v>
      </x:c>
      <x:c r="T45" s="15" t="n">
        <x:v>1</x:v>
      </x:c>
      <x:c r="U45" s="18" t="n">
        <x:v>9200</x:v>
      </x:c>
      <x:c r="V45" s="18" t="n">
        <x:v>2208</x:v>
      </x:c>
      <x:c r="W45" s="18" t="n">
        <x:v>82.8</x:v>
      </x:c>
      <x:c r="X45" s="18" t="n">
        <x:v>653.2</x:v>
      </x:c>
      <x:c r="Y45" s="18" t="n">
        <x:v>210</x:v>
      </x:c>
      <x:c r="Z45" s="18" t="n">
        <x:v>368</x:v>
      </x:c>
      <x:c r="AA45" s="18" t="n">
        <x:v>1059.6</x:v>
      </x:c>
      <x:c r="AB45" s="16" t="b">
        <x:v>0</x:v>
      </x:c>
      <x:c r="AC45" s="15" t="str">
        <x:v>2026-07-25</x:v>
      </x:c>
      <x:c r="AD45" s="16" t="b">
        <x:v>0</x:v>
      </x:c>
      <x:c r="AE45" s="15" t="str">
        <x:v>2026-09-25</x:v>
      </x:c>
      <x:c r="AF45" s="15"/>
    </x:row>
    <x:row r="46">
      <x:c r="A46" s="15" t="str">
        <x:v>V-2045</x:v>
      </x:c>
      <x:c r="B46" s="15" t="str">
        <x:v>USR-2045</x:v>
      </x:c>
      <x:c r="C46" s="15" t="str">
        <x:v>APP-2045</x:v>
      </x:c>
      <x:c r="D46" s="15" t="str">
        <x:v>LN-2045</x:v>
      </x:c>
      <x:c r="E46" s="15" t="str">
        <x:v>2026-07-06</x:v>
      </x:c>
      <x:c r="F46" s="15" t="str">
        <x:v>Direct</x:v>
      </x:c>
      <x:c r="G46" s="15" t="str">
        <x:v>AU_Direct</x:v>
      </x:c>
      <x:c r="H46" s="15" t="str">
        <x:v>na</x:v>
      </x:c>
      <x:c r="I46" s="15" t="str">
        <x:v>new</x:v>
      </x:c>
      <x:c r="J46" s="15" t="str">
        <x:v>VIC</x:v>
      </x:c>
      <x:c r="K46" s="15" t="str">
        <x:v>mobile</x:v>
      </x:c>
      <x:c r="L46" s="15" t="str">
        <x:v>fixed</x:v>
      </x:c>
      <x:c r="M46" s="15" t="str">
        <x:v>2026-07-06</x:v>
      </x:c>
      <x:c r="N46" s="15" t="str">
        <x:v>2026-07-07</x:v>
      </x:c>
      <x:c r="O46" s="15" t="str">
        <x:v>2026-07-08</x:v>
      </x:c>
      <x:c r="P46" s="15" t="str">
        <x:v>2026-07-09</x:v>
      </x:c>
      <x:c r="Q46" s="15" t="str">
        <x:v>2026-07-11</x:v>
      </x:c>
      <x:c r="R46" s="15" t="n">
        <x:v>0</x:v>
      </x:c>
      <x:c r="S46" s="15" t="n">
        <x:v>0</x:v>
      </x:c>
      <x:c r="T46" s="15" t="n">
        <x:v>1</x:v>
      </x:c>
      <x:c r="U46" s="18" t="n">
        <x:v>4300</x:v>
      </x:c>
      <x:c r="V46" s="18" t="n">
        <x:v>1032</x:v>
      </x:c>
      <x:c r="W46" s="18" t="n">
        <x:v>38.7</x:v>
      </x:c>
      <x:c r="X46" s="18" t="n">
        <x:v>305.3</x:v>
      </x:c>
      <x:c r="Y46" s="18" t="n">
        <x:v>210</x:v>
      </x:c>
      <x:c r="Z46" s="18" t="n">
        <x:v>223.6</x:v>
      </x:c>
      <x:c r="AA46" s="18" t="n">
        <x:v>398.16</x:v>
      </x:c>
      <x:c r="AB46" s="16" t="b">
        <x:v>0</x:v>
      </x:c>
      <x:c r="AC46" s="15" t="str">
        <x:v>2026-08-11</x:v>
      </x:c>
      <x:c r="AD46" s="15"/>
      <x:c r="AE46" s="15" t="str">
        <x:v>2026-10-11</x:v>
      </x:c>
      <x:c r="AF46" s="15"/>
    </x:row>
    <x:row r="47">
      <x:c r="A47" s="15" t="str">
        <x:v>V-2046</x:v>
      </x:c>
      <x:c r="B47" s="15" t="str">
        <x:v>USR-2046</x:v>
      </x:c>
      <x:c r="C47" s="15" t="str">
        <x:v>APP-2046</x:v>
      </x:c>
      <x:c r="D47" s="15"/>
      <x:c r="E47" s="15" t="str">
        <x:v>2026-08-07</x:v>
      </x:c>
      <x:c r="F47" s="15" t="str">
        <x:v>Direct</x:v>
      </x:c>
      <x:c r="G47" s="15" t="str">
        <x:v>AU_Direct</x:v>
      </x:c>
      <x:c r="H47" s="15" t="str">
        <x:v>na</x:v>
      </x:c>
      <x:c r="I47" s="15" t="str">
        <x:v>old</x:v>
      </x:c>
      <x:c r="J47" s="15" t="str">
        <x:v>QLD</x:v>
      </x:c>
      <x:c r="K47" s="15" t="str">
        <x:v>desktop</x:v>
      </x:c>
      <x:c r="L47" s="15" t="str">
        <x:v>loc</x:v>
      </x:c>
      <x:c r="M47" s="15" t="str">
        <x:v>2026-08-07</x:v>
      </x:c>
      <x:c r="N47" s="15" t="str">
        <x:v>2026-08-08</x:v>
      </x:c>
      <x:c r="O47" s="15" t="str">
        <x:v>2026-08-09</x:v>
      </x:c>
      <x:c r="P47" s="15" t="str">
        <x:v>2026-08-10</x:v>
      </x:c>
      <x:c r="Q47" s="15"/>
      <x:c r="R47" s="15" t="n">
        <x:v>0</x:v>
      </x:c>
      <x:c r="S47" s="15" t="n">
        <x:v>0</x:v>
      </x:c>
      <x:c r="T47" s="15" t="n">
        <x:v>1</x:v>
      </x:c>
      <x:c r="U47" s="18" t="n">
        <x:v>0</x:v>
      </x:c>
      <x:c r="V47" s="18" t="n">
        <x:v>0</x:v>
      </x:c>
      <x:c r="W47" s="18" t="n">
        <x:v>0</x:v>
      </x:c>
      <x:c r="X47" s="18" t="n">
        <x:v>0</x:v>
      </x:c>
      <x:c r="Y47" s="18" t="n">
        <x:v>0</x:v>
      </x:c>
      <x:c r="Z47" s="18" t="n">
        <x:v>0</x:v>
      </x:c>
      <x:c r="AA47" s="18" t="n">
        <x:v>0</x:v>
      </x:c>
      <x:c r="AB47" s="16" t="b">
        <x:v>0</x:v>
      </x:c>
      <x:c r="AC47" s="15"/>
      <x:c r="AD47" s="15"/>
      <x:c r="AE47" s="15"/>
      <x:c r="AF47" s="15"/>
    </x:row>
    <x:row r="48">
      <x:c r="A48" s="15" t="str">
        <x:v>V-2047</x:v>
      </x:c>
      <x:c r="B48" s="15" t="str">
        <x:v>USR-2047</x:v>
      </x:c>
      <x:c r="C48" s="15" t="str">
        <x:v>APP-2047</x:v>
      </x:c>
      <x:c r="D48" s="15"/>
      <x:c r="E48" s="15" t="str">
        <x:v>2026-08-28</x:v>
      </x:c>
      <x:c r="F48" s="15" t="str">
        <x:v>Direct</x:v>
      </x:c>
      <x:c r="G48" s="15" t="str">
        <x:v>AU_Direct</x:v>
      </x:c>
      <x:c r="H48" s="15" t="str">
        <x:v>na</x:v>
      </x:c>
      <x:c r="I48" s="15" t="str">
        <x:v>new</x:v>
      </x:c>
      <x:c r="J48" s="15" t="str">
        <x:v>NSW</x:v>
      </x:c>
      <x:c r="K48" s="15" t="str">
        <x:v>mobile</x:v>
      </x:c>
      <x:c r="L48" s="15" t="str">
        <x:v>fixed</x:v>
      </x:c>
      <x:c r="M48" s="15" t="str">
        <x:v>2026-08-28</x:v>
      </x:c>
      <x:c r="N48" s="15" t="str">
        <x:v>2026-08-29</x:v>
      </x:c>
      <x:c r="O48" s="15" t="str">
        <x:v>2026-08-30</x:v>
      </x:c>
      <x:c r="P48" s="15"/>
      <x:c r="Q48" s="15"/>
      <x:c r="R48" s="15" t="n">
        <x:v>0</x:v>
      </x:c>
      <x:c r="S48" s="15" t="n">
        <x:v>0</x:v>
      </x:c>
      <x:c r="T48" s="15" t="n">
        <x:v>1</x:v>
      </x:c>
      <x:c r="U48" s="18" t="n">
        <x:v>0</x:v>
      </x:c>
      <x:c r="V48" s="18" t="n">
        <x:v>0</x:v>
      </x:c>
      <x:c r="W48" s="18" t="n">
        <x:v>0</x:v>
      </x:c>
      <x:c r="X48" s="18" t="n">
        <x:v>0</x:v>
      </x:c>
      <x:c r="Y48" s="18" t="n">
        <x:v>0</x:v>
      </x:c>
      <x:c r="Z48" s="18" t="n">
        <x:v>0</x:v>
      </x:c>
      <x:c r="AA48" s="18" t="n">
        <x:v>0</x:v>
      </x:c>
      <x:c r="AB48" s="16" t="b">
        <x:v>0</x:v>
      </x:c>
      <x:c r="AC48" s="15"/>
      <x:c r="AD48" s="15"/>
      <x:c r="AE48" s="15"/>
      <x:c r="AF48" s="15"/>
    </x:row>
    <x:row r="49">
      <x:c r="A49" s="15" t="str">
        <x:v>V-2048</x:v>
      </x:c>
      <x:c r="B49" s="15" t="str">
        <x:v>USR-2044</x:v>
      </x:c>
      <x:c r="C49" s="15"/>
      <x:c r="D49" s="15"/>
      <x:c r="E49" s="15" t="str">
        <x:v>2026-09-04</x:v>
      </x:c>
      <x:c r="F49" s="15" t="str">
        <x:v>Direct</x:v>
      </x:c>
      <x:c r="G49" s="15" t="str">
        <x:v>AU_Direct</x:v>
      </x:c>
      <x:c r="H49" s="15" t="str">
        <x:v>na</x:v>
      </x:c>
      <x:c r="I49" s="15" t="str">
        <x:v>old</x:v>
      </x:c>
      <x:c r="J49" s="15" t="str">
        <x:v>VIC</x:v>
      </x:c>
      <x:c r="K49" s="15" t="str">
        <x:v>desktop</x:v>
      </x:c>
      <x:c r="L49" s="15" t="str">
        <x:v>fixed</x:v>
      </x:c>
      <x:c r="M49" s="15" t="str">
        <x:v>2026-09-04</x:v>
      </x:c>
      <x:c r="N49" s="15"/>
      <x:c r="O49" s="15"/>
      <x:c r="P49" s="15"/>
      <x:c r="Q49" s="15"/>
      <x:c r="R49" s="15" t="n">
        <x:v>0</x:v>
      </x:c>
      <x:c r="S49" s="15" t="n">
        <x:v>0</x:v>
      </x:c>
      <x:c r="T49" s="15" t="n">
        <x:v>1</x:v>
      </x:c>
      <x:c r="U49" s="18" t="n">
        <x:v>0</x:v>
      </x:c>
      <x:c r="V49" s="18" t="n">
        <x:v>0</x:v>
      </x:c>
      <x:c r="W49" s="18" t="n">
        <x:v>0</x:v>
      </x:c>
      <x:c r="X49" s="18" t="n">
        <x:v>0</x:v>
      </x:c>
      <x:c r="Y49" s="18" t="n">
        <x:v>0</x:v>
      </x:c>
      <x:c r="Z49" s="18" t="n">
        <x:v>0</x:v>
      </x:c>
      <x:c r="AA49" s="18" t="n">
        <x:v>0</x:v>
      </x:c>
      <x:c r="AB49" s="15"/>
      <x:c r="AC49" s="15"/>
      <x:c r="AD49" s="15"/>
      <x:c r="AE49" s="15"/>
      <x:c r="AF49" s="15"/>
    </x:row>
    <x:row r="50">
      <x:c r="A50" s="15" t="str">
        <x:v>V-2049</x:v>
      </x:c>
      <x:c r="B50" s="15" t="str">
        <x:v>USR-2049</x:v>
      </x:c>
      <x:c r="C50" s="15"/>
      <x:c r="D50" s="15"/>
      <x:c r="E50" s="15" t="str">
        <x:v>2026-08-12</x:v>
      </x:c>
      <x:c r="F50" s="15" t="str">
        <x:v>Google Search</x:v>
      </x:c>
      <x:c r="G50" s="15" t="str">
        <x:v>AU_Search_NonBrand_HighIntent</x:v>
      </x:c>
      <x:c r="H50" s="15" t="str">
        <x:v>nonbrand</x:v>
      </x:c>
      <x:c r="I50" s="15" t="str">
        <x:v>new</x:v>
      </x:c>
      <x:c r="J50" s="15" t="str">
        <x:v>NSW</x:v>
      </x:c>
      <x:c r="K50" s="15" t="str">
        <x:v>mobile</x:v>
      </x:c>
      <x:c r="L50" s="15" t="str">
        <x:v>fixed</x:v>
      </x:c>
      <x:c r="M50" s="15" t="str">
        <x:v>2026-08-12</x:v>
      </x:c>
      <x:c r="N50" s="15"/>
      <x:c r="O50" s="15"/>
      <x:c r="P50" s="15"/>
      <x:c r="Q50" s="15"/>
      <x:c r="R50" s="15" t="n">
        <x:v>570</x:v>
      </x:c>
      <x:c r="S50" s="15" t="n">
        <x:v>1</x:v>
      </x:c>
      <x:c r="T50" s="15" t="n">
        <x:v>1</x:v>
      </x:c>
      <x:c r="U50" s="18" t="n">
        <x:v>0</x:v>
      </x:c>
      <x:c r="V50" s="18" t="n">
        <x:v>0</x:v>
      </x:c>
      <x:c r="W50" s="18" t="n">
        <x:v>0</x:v>
      </x:c>
      <x:c r="X50" s="18" t="n">
        <x:v>0</x:v>
      </x:c>
      <x:c r="Y50" s="18" t="n">
        <x:v>0</x:v>
      </x:c>
      <x:c r="Z50" s="18" t="n">
        <x:v>0</x:v>
      </x:c>
      <x:c r="AA50" s="18" t="n">
        <x:v>0</x:v>
      </x:c>
      <x:c r="AB50" s="15"/>
      <x:c r="AC50" s="15"/>
      <x:c r="AD50" s="15"/>
      <x:c r="AE50" s="15"/>
      <x:c r="AF50" s="15"/>
    </x:row>
    <x:row r="51">
      <x:c r="A51" s="15" t="str">
        <x:v>V-2050</x:v>
      </x:c>
      <x:c r="B51" s="15" t="str">
        <x:v>USR-2050</x:v>
      </x:c>
      <x:c r="C51" s="15" t="str">
        <x:v>APP-2050</x:v>
      </x:c>
      <x:c r="D51" s="15"/>
      <x:c r="E51" s="15" t="str">
        <x:v>2026-08-14</x:v>
      </x:c>
      <x:c r="F51" s="15" t="str">
        <x:v>Google Search</x:v>
      </x:c>
      <x:c r="G51" s="15" t="str">
        <x:v>AU_Search_Rates</x:v>
      </x:c>
      <x:c r="H51" s="15" t="str">
        <x:v>nonbrand</x:v>
      </x:c>
      <x:c r="I51" s="15" t="str">
        <x:v>new</x:v>
      </x:c>
      <x:c r="J51" s="15" t="str">
        <x:v>VIC</x:v>
      </x:c>
      <x:c r="K51" s="15" t="str">
        <x:v>desktop</x:v>
      </x:c>
      <x:c r="L51" s="15" t="str">
        <x:v>fixed</x:v>
      </x:c>
      <x:c r="M51" s="15" t="str">
        <x:v>2026-08-14</x:v>
      </x:c>
      <x:c r="N51" s="15" t="str">
        <x:v>2026-08-15</x:v>
      </x:c>
      <x:c r="O51" s="15"/>
      <x:c r="P51" s="15"/>
      <x:c r="Q51" s="15"/>
      <x:c r="R51" s="15" t="n">
        <x:v>620</x:v>
      </x:c>
      <x:c r="S51" s="15" t="n">
        <x:v>2</x:v>
      </x:c>
      <x:c r="T51" s="15" t="n">
        <x:v>1</x:v>
      </x:c>
      <x:c r="U51" s="18" t="n">
        <x:v>0</x:v>
      </x:c>
      <x:c r="V51" s="18" t="n">
        <x:v>0</x:v>
      </x:c>
      <x:c r="W51" s="18" t="n">
        <x:v>0</x:v>
      </x:c>
      <x:c r="X51" s="18" t="n">
        <x:v>0</x:v>
      </x:c>
      <x:c r="Y51" s="18" t="n">
        <x:v>0</x:v>
      </x:c>
      <x:c r="Z51" s="18" t="n">
        <x:v>0</x:v>
      </x:c>
      <x:c r="AA51" s="18" t="n">
        <x:v>0</x:v>
      </x:c>
      <x:c r="AB51" s="16" t="b">
        <x:v>0</x:v>
      </x:c>
      <x:c r="AC51" s="15"/>
      <x:c r="AD51" s="15"/>
      <x:c r="AE51" s="15"/>
      <x:c r="AF51" s="15"/>
    </x:row>
    <x:row r="52">
      <x:c r="A52" s="15" t="str">
        <x:v>V-2051</x:v>
      </x:c>
      <x:c r="B52" s="15" t="str">
        <x:v>USR-2051</x:v>
      </x:c>
      <x:c r="C52" s="15"/>
      <x:c r="D52" s="15"/>
      <x:c r="E52" s="15" t="str">
        <x:v>2026-08-01</x:v>
      </x:c>
      <x:c r="F52" s="15" t="str">
        <x:v>Google PMax</x:v>
      </x:c>
      <x:c r="G52" s="15" t="str">
        <x:v>AU_PMax_QualifiedLead</x:v>
      </x:c>
      <x:c r="H52" s="15" t="str">
        <x:v>na</x:v>
      </x:c>
      <x:c r="I52" s="15" t="str">
        <x:v>new</x:v>
      </x:c>
      <x:c r="J52" s="15" t="str">
        <x:v>QLD</x:v>
      </x:c>
      <x:c r="K52" s="15" t="str">
        <x:v>mobile</x:v>
      </x:c>
      <x:c r="L52" s="15" t="str">
        <x:v>loc</x:v>
      </x:c>
      <x:c r="M52" s="15" t="str">
        <x:v>2026-08-01</x:v>
      </x:c>
      <x:c r="N52" s="15"/>
      <x:c r="O52" s="15"/>
      <x:c r="P52" s="15"/>
      <x:c r="Q52" s="15"/>
      <x:c r="R52" s="15" t="n">
        <x:v>1150</x:v>
      </x:c>
      <x:c r="S52" s="15" t="n">
        <x:v>3</x:v>
      </x:c>
      <x:c r="T52" s="15" t="n">
        <x:v>1</x:v>
      </x:c>
      <x:c r="U52" s="18" t="n">
        <x:v>0</x:v>
      </x:c>
      <x:c r="V52" s="18" t="n">
        <x:v>0</x:v>
      </x:c>
      <x:c r="W52" s="18" t="n">
        <x:v>0</x:v>
      </x:c>
      <x:c r="X52" s="18" t="n">
        <x:v>0</x:v>
      </x:c>
      <x:c r="Y52" s="18" t="n">
        <x:v>0</x:v>
      </x:c>
      <x:c r="Z52" s="18" t="n">
        <x:v>0</x:v>
      </x:c>
      <x:c r="AA52" s="18" t="n">
        <x:v>0</x:v>
      </x:c>
      <x:c r="AB52" s="15"/>
      <x:c r="AC52" s="15"/>
      <x:c r="AD52" s="15"/>
      <x:c r="AE52" s="15"/>
      <x:c r="AF52" s="15"/>
    </x:row>
    <x:row r="53">
      <x:c r="A53" s="15" t="str">
        <x:v>V-2052</x:v>
      </x:c>
      <x:c r="B53" s="15" t="str">
        <x:v>USR-2052</x:v>
      </x:c>
      <x:c r="C53" s="15" t="str">
        <x:v>APP-2052</x:v>
      </x:c>
      <x:c r="D53" s="15"/>
      <x:c r="E53" s="15" t="str">
        <x:v>2026-08-03</x:v>
      </x:c>
      <x:c r="F53" s="15" t="str">
        <x:v>Google PMax</x:v>
      </x:c>
      <x:c r="G53" s="15" t="str">
        <x:v>AU_PMax_QualifiedLead</x:v>
      </x:c>
      <x:c r="H53" s="15" t="str">
        <x:v>na</x:v>
      </x:c>
      <x:c r="I53" s="15" t="str">
        <x:v>new</x:v>
      </x:c>
      <x:c r="J53" s="15" t="str">
        <x:v>NSW</x:v>
      </x:c>
      <x:c r="K53" s="15" t="str">
        <x:v>mobile</x:v>
      </x:c>
      <x:c r="L53" s="15" t="str">
        <x:v>fixed</x:v>
      </x:c>
      <x:c r="M53" s="15" t="str">
        <x:v>2026-08-03</x:v>
      </x:c>
      <x:c r="N53" s="15" t="str">
        <x:v>2026-08-04</x:v>
      </x:c>
      <x:c r="O53" s="15"/>
      <x:c r="P53" s="15"/>
      <x:c r="Q53" s="15"/>
      <x:c r="R53" s="15" t="n">
        <x:v>1090</x:v>
      </x:c>
      <x:c r="S53" s="15" t="n">
        <x:v>3</x:v>
      </x:c>
      <x:c r="T53" s="15" t="n">
        <x:v>1</x:v>
      </x:c>
      <x:c r="U53" s="18" t="n">
        <x:v>0</x:v>
      </x:c>
      <x:c r="V53" s="18" t="n">
        <x:v>0</x:v>
      </x:c>
      <x:c r="W53" s="18" t="n">
        <x:v>0</x:v>
      </x:c>
      <x:c r="X53" s="18" t="n">
        <x:v>0</x:v>
      </x:c>
      <x:c r="Y53" s="18" t="n">
        <x:v>0</x:v>
      </x:c>
      <x:c r="Z53" s="18" t="n">
        <x:v>0</x:v>
      </x:c>
      <x:c r="AA53" s="18" t="n">
        <x:v>0</x:v>
      </x:c>
      <x:c r="AB53" s="16" t="b">
        <x:v>1</x:v>
      </x:c>
      <x:c r="AC53" s="15"/>
      <x:c r="AD53" s="15"/>
      <x:c r="AE53" s="15"/>
      <x:c r="AF53" s="15"/>
    </x:row>
    <x:row r="54">
      <x:c r="A54" s="15" t="str">
        <x:v>V-2053</x:v>
      </x:c>
      <x:c r="B54" s="15" t="str">
        <x:v>USR-2053</x:v>
      </x:c>
      <x:c r="C54" s="15"/>
      <x:c r="D54" s="15"/>
      <x:c r="E54" s="15" t="str">
        <x:v>2026-07-20</x:v>
      </x:c>
      <x:c r="F54" s="15" t="str">
        <x:v>Meta</x:v>
      </x:c>
      <x:c r="G54" s="15" t="str">
        <x:v>AU_Meta_Prospecting</x:v>
      </x:c>
      <x:c r="H54" s="15" t="str">
        <x:v>na</x:v>
      </x:c>
      <x:c r="I54" s="15" t="str">
        <x:v>new</x:v>
      </x:c>
      <x:c r="J54" s="15" t="str">
        <x:v>VIC</x:v>
      </x:c>
      <x:c r="K54" s="15" t="str">
        <x:v>mobile</x:v>
      </x:c>
      <x:c r="L54" s="15" t="str">
        <x:v>fixed</x:v>
      </x:c>
      <x:c r="M54" s="15" t="str">
        <x:v>2026-07-20</x:v>
      </x:c>
      <x:c r="N54" s="15"/>
      <x:c r="O54" s="15"/>
      <x:c r="P54" s="15"/>
      <x:c r="Q54" s="15"/>
      <x:c r="R54" s="15" t="n">
        <x:v>810</x:v>
      </x:c>
      <x:c r="S54" s="15" t="n">
        <x:v>2</x:v>
      </x:c>
      <x:c r="T54" s="15" t="n">
        <x:v>1</x:v>
      </x:c>
      <x:c r="U54" s="18" t="n">
        <x:v>0</x:v>
      </x:c>
      <x:c r="V54" s="18" t="n">
        <x:v>0</x:v>
      </x:c>
      <x:c r="W54" s="18" t="n">
        <x:v>0</x:v>
      </x:c>
      <x:c r="X54" s="18" t="n">
        <x:v>0</x:v>
      </x:c>
      <x:c r="Y54" s="18" t="n">
        <x:v>0</x:v>
      </x:c>
      <x:c r="Z54" s="18" t="n">
        <x:v>0</x:v>
      </x:c>
      <x:c r="AA54" s="18" t="n">
        <x:v>0</x:v>
      </x:c>
      <x:c r="AB54" s="15"/>
      <x:c r="AC54" s="15"/>
      <x:c r="AD54" s="15"/>
      <x:c r="AE54" s="15"/>
      <x:c r="AF54" s="15"/>
    </x:row>
    <x:row r="55">
      <x:c r="A55" s="15" t="str">
        <x:v>V-2054</x:v>
      </x:c>
      <x:c r="B55" s="15" t="str">
        <x:v>USR-2054</x:v>
      </x:c>
      <x:c r="C55" s="15" t="str">
        <x:v>APP-2054</x:v>
      </x:c>
      <x:c r="D55" s="15"/>
      <x:c r="E55" s="15" t="str">
        <x:v>2026-07-25</x:v>
      </x:c>
      <x:c r="F55" s="15" t="str">
        <x:v>Meta</x:v>
      </x:c>
      <x:c r="G55" s="15" t="str">
        <x:v>AU_Meta_Retargeting</x:v>
      </x:c>
      <x:c r="H55" s="15" t="str">
        <x:v>na</x:v>
      </x:c>
      <x:c r="I55" s="15" t="str">
        <x:v>old</x:v>
      </x:c>
      <x:c r="J55" s="15" t="str">
        <x:v>NSW</x:v>
      </x:c>
      <x:c r="K55" s="15" t="str">
        <x:v>desktop</x:v>
      </x:c>
      <x:c r="L55" s="15" t="str">
        <x:v>loc</x:v>
      </x:c>
      <x:c r="M55" s="15" t="str">
        <x:v>2026-07-25</x:v>
      </x:c>
      <x:c r="N55" s="15" t="str">
        <x:v>2026-07-26</x:v>
      </x:c>
      <x:c r="O55" s="15" t="str">
        <x:v>2026-07-27</x:v>
      </x:c>
      <x:c r="P55" s="15"/>
      <x:c r="Q55" s="15"/>
      <x:c r="R55" s="15" t="n">
        <x:v>720</x:v>
      </x:c>
      <x:c r="S55" s="15" t="n">
        <x:v>2</x:v>
      </x:c>
      <x:c r="T55" s="15" t="n">
        <x:v>1</x:v>
      </x:c>
      <x:c r="U55" s="18" t="n">
        <x:v>0</x:v>
      </x:c>
      <x:c r="V55" s="18" t="n">
        <x:v>0</x:v>
      </x:c>
      <x:c r="W55" s="18" t="n">
        <x:v>0</x:v>
      </x:c>
      <x:c r="X55" s="18" t="n">
        <x:v>0</x:v>
      </x:c>
      <x:c r="Y55" s="18" t="n">
        <x:v>0</x:v>
      </x:c>
      <x:c r="Z55" s="18" t="n">
        <x:v>0</x:v>
      </x:c>
      <x:c r="AA55" s="18" t="n">
        <x:v>0</x:v>
      </x:c>
      <x:c r="AB55" s="16" t="b">
        <x:v>0</x:v>
      </x:c>
      <x:c r="AC55" s="15"/>
      <x:c r="AD55" s="15"/>
      <x:c r="AE55" s="15"/>
      <x:c r="AF55" s="15"/>
    </x:row>
    <x:row r="56">
      <x:c r="A56" s="15" t="str">
        <x:v>V-2055</x:v>
      </x:c>
      <x:c r="B56" s="15" t="str">
        <x:v>USR-2055</x:v>
      </x:c>
      <x:c r="C56" s="15"/>
      <x:c r="D56" s="15"/>
      <x:c r="E56" s="15" t="str">
        <x:v>2026-07-22</x:v>
      </x:c>
      <x:c r="F56" s="15" t="str">
        <x:v>TikTok</x:v>
      </x:c>
      <x:c r="G56" s="15" t="str">
        <x:v>AU_TikTok_Video</x:v>
      </x:c>
      <x:c r="H56" s="15" t="str">
        <x:v>na</x:v>
      </x:c>
      <x:c r="I56" s="15" t="str">
        <x:v>new</x:v>
      </x:c>
      <x:c r="J56" s="15" t="str">
        <x:v>QLD</x:v>
      </x:c>
      <x:c r="K56" s="15" t="str">
        <x:v>mobile</x:v>
      </x:c>
      <x:c r="L56" s="15" t="str">
        <x:v>fixed</x:v>
      </x:c>
      <x:c r="M56" s="15" t="str">
        <x:v>2026-07-22</x:v>
      </x:c>
      <x:c r="N56" s="15"/>
      <x:c r="O56" s="15"/>
      <x:c r="P56" s="15"/>
      <x:c r="Q56" s="15"/>
      <x:c r="R56" s="15" t="n">
        <x:v>920</x:v>
      </x:c>
      <x:c r="S56" s="15" t="n">
        <x:v>3</x:v>
      </x:c>
      <x:c r="T56" s="15" t="n">
        <x:v>1</x:v>
      </x:c>
      <x:c r="U56" s="18" t="n">
        <x:v>0</x:v>
      </x:c>
      <x:c r="V56" s="18" t="n">
        <x:v>0</x:v>
      </x:c>
      <x:c r="W56" s="18" t="n">
        <x:v>0</x:v>
      </x:c>
      <x:c r="X56" s="18" t="n">
        <x:v>0</x:v>
      </x:c>
      <x:c r="Y56" s="18" t="n">
        <x:v>0</x:v>
      </x:c>
      <x:c r="Z56" s="18" t="n">
        <x:v>0</x:v>
      </x:c>
      <x:c r="AA56" s="18" t="n">
        <x:v>0</x:v>
      </x:c>
      <x:c r="AB56" s="15"/>
      <x:c r="AC56" s="15"/>
      <x:c r="AD56" s="15"/>
      <x:c r="AE56" s="15"/>
      <x:c r="AF56" s="15"/>
    </x:row>
    <x:row r="57">
      <x:c r="A57" s="15" t="str">
        <x:v>V-2056</x:v>
      </x:c>
      <x:c r="B57" s="15" t="str">
        <x:v>USR-2056</x:v>
      </x:c>
      <x:c r="C57" s="15" t="str">
        <x:v>APP-2056</x:v>
      </x:c>
      <x:c r="D57" s="15"/>
      <x:c r="E57" s="15" t="str">
        <x:v>2026-07-12</x:v>
      </x:c>
      <x:c r="F57" s="15" t="str">
        <x:v>Affiliate</x:v>
      </x:c>
      <x:c r="G57" s="15" t="str">
        <x:v>AU_Affiliate_AF17</x:v>
      </x:c>
      <x:c r="H57" s="15" t="str">
        <x:v>na</x:v>
      </x:c>
      <x:c r="I57" s="15" t="str">
        <x:v>new</x:v>
      </x:c>
      <x:c r="J57" s="15" t="str">
        <x:v>NSW</x:v>
      </x:c>
      <x:c r="K57" s="15" t="str">
        <x:v>mobile</x:v>
      </x:c>
      <x:c r="L57" s="15" t="str">
        <x:v>fixed</x:v>
      </x:c>
      <x:c r="M57" s="15" t="str">
        <x:v>2026-07-12</x:v>
      </x:c>
      <x:c r="N57" s="15" t="str">
        <x:v>2026-07-13</x:v>
      </x:c>
      <x:c r="O57" s="15"/>
      <x:c r="P57" s="15"/>
      <x:c r="Q57" s="15"/>
      <x:c r="R57" s="15" t="n">
        <x:v>430</x:v>
      </x:c>
      <x:c r="S57" s="15" t="n">
        <x:v>1</x:v>
      </x:c>
      <x:c r="T57" s="15" t="n">
        <x:v>1</x:v>
      </x:c>
      <x:c r="U57" s="18" t="n">
        <x:v>0</x:v>
      </x:c>
      <x:c r="V57" s="18" t="n">
        <x:v>0</x:v>
      </x:c>
      <x:c r="W57" s="18" t="n">
        <x:v>0</x:v>
      </x:c>
      <x:c r="X57" s="18" t="n">
        <x:v>0</x:v>
      </x:c>
      <x:c r="Y57" s="18" t="n">
        <x:v>0</x:v>
      </x:c>
      <x:c r="Z57" s="18" t="n">
        <x:v>0</x:v>
      </x:c>
      <x:c r="AA57" s="18" t="n">
        <x:v>0</x:v>
      </x:c>
      <x:c r="AB57" s="16" t="b">
        <x:v>0</x:v>
      </x:c>
      <x:c r="AC57" s="15"/>
      <x:c r="AD57" s="15"/>
      <x:c r="AE57" s="15"/>
      <x:c r="AF57" s="15"/>
    </x:row>
    <x:row r="58">
      <x:c r="A58" s="15" t="str">
        <x:v>V-2057</x:v>
      </x:c>
      <x:c r="B58" s="15" t="str">
        <x:v>USR-2057</x:v>
      </x:c>
      <x:c r="C58" s="15" t="str">
        <x:v>APP-2057</x:v>
      </x:c>
      <x:c r="D58" s="15"/>
      <x:c r="E58" s="15" t="str">
        <x:v>2026-06-25</x:v>
      </x:c>
      <x:c r="F58" s="15" t="str">
        <x:v>Organic</x:v>
      </x:c>
      <x:c r="G58" s="15" t="str">
        <x:v>AU_Organic</x:v>
      </x:c>
      <x:c r="H58" s="15" t="str">
        <x:v>na</x:v>
      </x:c>
      <x:c r="I58" s="15" t="str">
        <x:v>old</x:v>
      </x:c>
      <x:c r="J58" s="15" t="str">
        <x:v>VIC</x:v>
      </x:c>
      <x:c r="K58" s="15" t="str">
        <x:v>desktop</x:v>
      </x:c>
      <x:c r="L58" s="15" t="str">
        <x:v>fixed</x:v>
      </x:c>
      <x:c r="M58" s="15" t="str">
        <x:v>2026-06-25</x:v>
      </x:c>
      <x:c r="N58" s="15" t="str">
        <x:v>2026-06-26</x:v>
      </x:c>
      <x:c r="O58" s="15" t="str">
        <x:v>2026-06-27</x:v>
      </x:c>
      <x:c r="P58" s="15" t="str">
        <x:v>2026-06-28</x:v>
      </x:c>
      <x:c r="Q58" s="15"/>
      <x:c r="R58" s="15" t="n">
        <x:v>0</x:v>
      </x:c>
      <x:c r="S58" s="15" t="n">
        <x:v>0</x:v>
      </x:c>
      <x:c r="T58" s="15" t="n">
        <x:v>1</x:v>
      </x:c>
      <x:c r="U58" s="18" t="n">
        <x:v>0</x:v>
      </x:c>
      <x:c r="V58" s="18" t="n">
        <x:v>0</x:v>
      </x:c>
      <x:c r="W58" s="18" t="n">
        <x:v>0</x:v>
      </x:c>
      <x:c r="X58" s="18" t="n">
        <x:v>0</x:v>
      </x:c>
      <x:c r="Y58" s="18" t="n">
        <x:v>0</x:v>
      </x:c>
      <x:c r="Z58" s="18" t="n">
        <x:v>0</x:v>
      </x:c>
      <x:c r="AA58" s="18" t="n">
        <x:v>0</x:v>
      </x:c>
      <x:c r="AB58" s="16" t="b">
        <x:v>0</x:v>
      </x:c>
      <x:c r="AC58" s="15"/>
      <x:c r="AD58" s="15"/>
      <x:c r="AE58" s="15"/>
      <x:c r="AF58" s="15"/>
    </x:row>
    <x:row r="59">
      <x:c r="A59" s="15" t="str">
        <x:v>V-2058</x:v>
      </x:c>
      <x:c r="B59" s="15" t="str">
        <x:v>USR-2058</x:v>
      </x:c>
      <x:c r="C59" s="15"/>
      <x:c r="D59" s="15"/>
      <x:c r="E59" s="15" t="str">
        <x:v>2026-07-30</x:v>
      </x:c>
      <x:c r="F59" s="15" t="str">
        <x:v>Organic</x:v>
      </x:c>
      <x:c r="G59" s="15" t="str">
        <x:v>AU_Organic</x:v>
      </x:c>
      <x:c r="H59" s="15" t="str">
        <x:v>na</x:v>
      </x:c>
      <x:c r="I59" s="15" t="str">
        <x:v>new</x:v>
      </x:c>
      <x:c r="J59" s="15" t="str">
        <x:v>QLD</x:v>
      </x:c>
      <x:c r="K59" s="15" t="str">
        <x:v>mobile</x:v>
      </x:c>
      <x:c r="L59" s="15" t="str">
        <x:v>fixed</x:v>
      </x:c>
      <x:c r="M59" s="15" t="str">
        <x:v>2026-07-30</x:v>
      </x:c>
      <x:c r="N59" s="15"/>
      <x:c r="O59" s="15"/>
      <x:c r="P59" s="15"/>
      <x:c r="Q59" s="15"/>
      <x:c r="R59" s="15" t="n">
        <x:v>0</x:v>
      </x:c>
      <x:c r="S59" s="15" t="n">
        <x:v>0</x:v>
      </x:c>
      <x:c r="T59" s="15" t="n">
        <x:v>1</x:v>
      </x:c>
      <x:c r="U59" s="18" t="n">
        <x:v>0</x:v>
      </x:c>
      <x:c r="V59" s="18" t="n">
        <x:v>0</x:v>
      </x:c>
      <x:c r="W59" s="18" t="n">
        <x:v>0</x:v>
      </x:c>
      <x:c r="X59" s="18" t="n">
        <x:v>0</x:v>
      </x:c>
      <x:c r="Y59" s="18" t="n">
        <x:v>0</x:v>
      </x:c>
      <x:c r="Z59" s="18" t="n">
        <x:v>0</x:v>
      </x:c>
      <x:c r="AA59" s="18" t="n">
        <x:v>0</x:v>
      </x:c>
      <x:c r="AB59" s="15"/>
      <x:c r="AC59" s="15"/>
      <x:c r="AD59" s="15"/>
      <x:c r="AE59" s="15"/>
      <x:c r="AF59" s="15"/>
    </x:row>
    <x:row r="60">
      <x:c r="A60" s="15" t="str">
        <x:v>V-2059</x:v>
      </x:c>
      <x:c r="B60" s="15" t="str">
        <x:v>USR-2059</x:v>
      </x:c>
      <x:c r="C60" s="15" t="str">
        <x:v>APP-2059</x:v>
      </x:c>
      <x:c r="D60" s="15"/>
      <x:c r="E60" s="15" t="str">
        <x:v>2026-07-21</x:v>
      </x:c>
      <x:c r="F60" s="15" t="str">
        <x:v>Direct</x:v>
      </x:c>
      <x:c r="G60" s="15" t="str">
        <x:v>AU_Direct</x:v>
      </x:c>
      <x:c r="H60" s="15" t="str">
        <x:v>na</x:v>
      </x:c>
      <x:c r="I60" s="15" t="str">
        <x:v>new</x:v>
      </x:c>
      <x:c r="J60" s="15" t="str">
        <x:v>NSW</x:v>
      </x:c>
      <x:c r="K60" s="15" t="str">
        <x:v>mobile</x:v>
      </x:c>
      <x:c r="L60" s="15" t="str">
        <x:v>fixed</x:v>
      </x:c>
      <x:c r="M60" s="15" t="str">
        <x:v>2026-07-21</x:v>
      </x:c>
      <x:c r="N60" s="15" t="str">
        <x:v>2026-07-22</x:v>
      </x:c>
      <x:c r="O60" s="15"/>
      <x:c r="P60" s="15"/>
      <x:c r="Q60" s="15"/>
      <x:c r="R60" s="15" t="n">
        <x:v>0</x:v>
      </x:c>
      <x:c r="S60" s="15" t="n">
        <x:v>0</x:v>
      </x:c>
      <x:c r="T60" s="15" t="n">
        <x:v>1</x:v>
      </x:c>
      <x:c r="U60" s="18" t="n">
        <x:v>0</x:v>
      </x:c>
      <x:c r="V60" s="18" t="n">
        <x:v>0</x:v>
      </x:c>
      <x:c r="W60" s="18" t="n">
        <x:v>0</x:v>
      </x:c>
      <x:c r="X60" s="18" t="n">
        <x:v>0</x:v>
      </x:c>
      <x:c r="Y60" s="18" t="n">
        <x:v>0</x:v>
      </x:c>
      <x:c r="Z60" s="18" t="n">
        <x:v>0</x:v>
      </x:c>
      <x:c r="AA60" s="18" t="n">
        <x:v>0</x:v>
      </x:c>
      <x:c r="AB60" s="16" t="b">
        <x:v>0</x:v>
      </x:c>
      <x:c r="AC60" s="15"/>
      <x:c r="AD60" s="15"/>
      <x:c r="AE60" s="15"/>
      <x:c r="AF60" s="15"/>
    </x:row>
    <x:row r="61">
      <x:c r="A61" s="15" t="str">
        <x:v>V-2060</x:v>
      </x:c>
      <x:c r="B61" s="15" t="str">
        <x:v>USR-2060</x:v>
      </x:c>
      <x:c r="C61" s="15" t="str">
        <x:v>APP-2060</x:v>
      </x:c>
      <x:c r="D61" s="15"/>
      <x:c r="E61" s="15" t="str">
        <x:v>2026-08-09</x:v>
      </x:c>
      <x:c r="F61" s="15" t="str">
        <x:v>CRM</x:v>
      </x:c>
      <x:c r="G61" s="15" t="str">
        <x:v>AU_CRM_Email_SMS</x:v>
      </x:c>
      <x:c r="H61" s="15" t="str">
        <x:v>na</x:v>
      </x:c>
      <x:c r="I61" s="15" t="str">
        <x:v>old</x:v>
      </x:c>
      <x:c r="J61" s="15" t="str">
        <x:v>QLD</x:v>
      </x:c>
      <x:c r="K61" s="15" t="str">
        <x:v>mobile</x:v>
      </x:c>
      <x:c r="L61" s="15" t="str">
        <x:v>loc</x:v>
      </x:c>
      <x:c r="M61" s="15" t="str">
        <x:v>2026-08-09</x:v>
      </x:c>
      <x:c r="N61" s="15" t="str">
        <x:v>2026-08-10</x:v>
      </x:c>
      <x:c r="O61" s="15" t="str">
        <x:v>2026-08-11</x:v>
      </x:c>
      <x:c r="P61" s="15"/>
      <x:c r="Q61" s="15"/>
      <x:c r="R61" s="15" t="n">
        <x:v>0</x:v>
      </x:c>
      <x:c r="S61" s="15" t="n">
        <x:v>0</x:v>
      </x:c>
      <x:c r="T61" s="15" t="n">
        <x:v>1</x:v>
      </x:c>
      <x:c r="U61" s="18" t="n">
        <x:v>0</x:v>
      </x:c>
      <x:c r="V61" s="18" t="n">
        <x:v>0</x:v>
      </x:c>
      <x:c r="W61" s="18" t="n">
        <x:v>0</x:v>
      </x:c>
      <x:c r="X61" s="18" t="n">
        <x:v>0</x:v>
      </x:c>
      <x:c r="Y61" s="18" t="n">
        <x:v>0</x:v>
      </x:c>
      <x:c r="Z61" s="18" t="n">
        <x:v>0</x:v>
      </x:c>
      <x:c r="AA61" s="18" t="n">
        <x:v>0</x:v>
      </x:c>
      <x:c r="AB61" s="16" t="b">
        <x:v>0</x:v>
      </x:c>
      <x:c r="AC61" s="15"/>
      <x:c r="AD61" s="15"/>
      <x:c r="AE61" s="15"/>
      <x:c r="AF61" s="15"/>
    </x:row>
  </x:sheetData>
  <x:pageMargins left="0.7" right="0.7" top="0.75" bottom="0.75" header="0.3" footer="0.3"/>
  <x:tableParts count="1">
    <x:tablePart xmlns:r="http://schemas.openxmlformats.org/officeDocument/2006/relationships" r:id="Rffac46a0ddda4121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4" hidden="0" customWidth="1"/>
    <x:col min="4" max="4" width="22" hidden="0" customWidth="1"/>
    <x:col min="5" max="5" width="22" hidden="0" customWidth="1"/>
    <x:col min="6" max="6" width="14" hidden="0" customWidth="1"/>
    <x:col min="7" max="7" width="14" hidden="0" customWidth="1"/>
    <x:col min="8" max="8" width="14" hidden="0" customWidth="1"/>
  </x:cols>
  <x:sheetData>
    <x:row r="1">
      <x:c r="A1" s="9" t="str">
        <x:v>recordId</x:v>
      </x:c>
      <x:c r="B1" s="9" t="str">
        <x:v>id</x:v>
      </x:c>
      <x:c r="C1" s="9" t="str">
        <x:v>day</x:v>
      </x:c>
      <x:c r="D1" s="9" t="str">
        <x:v>channel</x:v>
      </x:c>
      <x:c r="E1" s="9" t="str">
        <x:v>campaign</x:v>
      </x:c>
      <x:c r="F1" s="9" t="str">
        <x:v>brand</x:v>
      </x:c>
      <x:c r="G1" s="9" t="str">
        <x:v>kind</x:v>
      </x:c>
      <x:c r="H1" s="9" t="str">
        <x:v>consent</x:v>
      </x:c>
    </x:row>
    <x:row r="2">
      <x:c r="A2" s="15" t="str">
        <x:v>V-2001</x:v>
      </x:c>
      <x:c r="B2" s="15" t="str">
        <x:v>V-2001-T1</x:v>
      </x:c>
      <x:c r="C2" s="15" t="str">
        <x:v>2026-05-01</x:v>
      </x:c>
      <x:c r="D2" s="15" t="str">
        <x:v>Google Search</x:v>
      </x:c>
      <x:c r="E2" s="15" t="str">
        <x:v>AU_Search_Brand</x:v>
      </x:c>
      <x:c r="F2" s="15" t="str">
        <x:v>brand</x:v>
      </x:c>
      <x:c r="G2" s="15" t="str">
        <x:v>click</x:v>
      </x:c>
      <x:c r="H2" s="16" t="b">
        <x:v>1</x:v>
      </x:c>
    </x:row>
    <x:row r="3">
      <x:c r="A3" s="15" t="str">
        <x:v>V-2001</x:v>
      </x:c>
      <x:c r="B3" s="15" t="str">
        <x:v>V-2001-T2</x:v>
      </x:c>
      <x:c r="C3" s="15" t="str">
        <x:v>2026-05-05</x:v>
      </x:c>
      <x:c r="D3" s="15" t="str">
        <x:v>Direct</x:v>
      </x:c>
      <x:c r="E3" s="15" t="str">
        <x:v>AU_Direct</x:v>
      </x:c>
      <x:c r="F3" s="15" t="str">
        <x:v>na</x:v>
      </x:c>
      <x:c r="G3" s="15" t="str">
        <x:v>session</x:v>
      </x:c>
      <x:c r="H3" s="16" t="b">
        <x:v>1</x:v>
      </x:c>
    </x:row>
    <x:row r="4">
      <x:c r="A4" s="15" t="str">
        <x:v>V-2002</x:v>
      </x:c>
      <x:c r="B4" s="15" t="str">
        <x:v>V-2002-T1</x:v>
      </x:c>
      <x:c r="C4" s="15" t="str">
        <x:v>2026-05-02</x:v>
      </x:c>
      <x:c r="D4" s="15" t="str">
        <x:v>Google Search</x:v>
      </x:c>
      <x:c r="E4" s="15" t="str">
        <x:v>AU_Search_NonBrand_HighIntent</x:v>
      </x:c>
      <x:c r="F4" s="15" t="str">
        <x:v>nonbrand</x:v>
      </x:c>
      <x:c r="G4" s="15" t="str">
        <x:v>click</x:v>
      </x:c>
      <x:c r="H4" s="16" t="b">
        <x:v>1</x:v>
      </x:c>
    </x:row>
    <x:row r="5">
      <x:c r="A5" s="15" t="str">
        <x:v>V-2002</x:v>
      </x:c>
      <x:c r="B5" s="15" t="str">
        <x:v>V-2002-T2</x:v>
      </x:c>
      <x:c r="C5" s="15" t="str">
        <x:v>2026-05-05</x:v>
      </x:c>
      <x:c r="D5" s="15" t="str">
        <x:v>CRM</x:v>
      </x:c>
      <x:c r="E5" s="15" t="str">
        <x:v>AU_CRM_Email_SMS</x:v>
      </x:c>
      <x:c r="F5" s="15" t="str">
        <x:v>na</x:v>
      </x:c>
      <x:c r="G5" s="15" t="str">
        <x:v>session</x:v>
      </x:c>
      <x:c r="H5" s="16" t="b">
        <x:v>1</x:v>
      </x:c>
    </x:row>
    <x:row r="6">
      <x:c r="A6" s="15" t="str">
        <x:v>V-2003</x:v>
      </x:c>
      <x:c r="B6" s="15" t="str">
        <x:v>V-2003-T1</x:v>
      </x:c>
      <x:c r="C6" s="15" t="str">
        <x:v>2026-05-05</x:v>
      </x:c>
      <x:c r="D6" s="15" t="str">
        <x:v>Google Search</x:v>
      </x:c>
      <x:c r="E6" s="15" t="str">
        <x:v>AU_Search_Rates</x:v>
      </x:c>
      <x:c r="F6" s="15" t="str">
        <x:v>nonbrand</x:v>
      </x:c>
      <x:c r="G6" s="15" t="str">
        <x:v>click</x:v>
      </x:c>
      <x:c r="H6" s="16" t="b">
        <x:v>1</x:v>
      </x:c>
    </x:row>
    <x:row r="7">
      <x:c r="A7" s="15" t="str">
        <x:v>V-2004</x:v>
      </x:c>
      <x:c r="B7" s="15" t="str">
        <x:v>V-2004-T1</x:v>
      </x:c>
      <x:c r="C7" s="15" t="str">
        <x:v>2026-06-08</x:v>
      </x:c>
      <x:c r="D7" s="15" t="str">
        <x:v>Google Search</x:v>
      </x:c>
      <x:c r="E7" s="15" t="str">
        <x:v>AU_Search_NonBrand_HighIntent</x:v>
      </x:c>
      <x:c r="F7" s="15" t="str">
        <x:v>nonbrand</x:v>
      </x:c>
      <x:c r="G7" s="15" t="str">
        <x:v>click</x:v>
      </x:c>
      <x:c r="H7" s="16" t="b">
        <x:v>1</x:v>
      </x:c>
    </x:row>
    <x:row r="8">
      <x:c r="A8" s="15" t="str">
        <x:v>V-2004</x:v>
      </x:c>
      <x:c r="B8" s="15" t="str">
        <x:v>V-2004-T2</x:v>
      </x:c>
      <x:c r="C8" s="15" t="str">
        <x:v>2026-06-13</x:v>
      </x:c>
      <x:c r="D8" s="15" t="str">
        <x:v>Direct</x:v>
      </x:c>
      <x:c r="E8" s="15" t="str">
        <x:v>AU_Direct</x:v>
      </x:c>
      <x:c r="F8" s="15" t="str">
        <x:v>na</x:v>
      </x:c>
      <x:c r="G8" s="15" t="str">
        <x:v>session</x:v>
      </x:c>
      <x:c r="H8" s="16" t="b">
        <x:v>1</x:v>
      </x:c>
    </x:row>
    <x:row r="9">
      <x:c r="A9" s="15" t="str">
        <x:v>V-2005</x:v>
      </x:c>
      <x:c r="B9" s="15" t="str">
        <x:v>V-2005-T1</x:v>
      </x:c>
      <x:c r="C9" s="15" t="str">
        <x:v>2026-07-03</x:v>
      </x:c>
      <x:c r="D9" s="15" t="str">
        <x:v>Google Search</x:v>
      </x:c>
      <x:c r="E9" s="15" t="str">
        <x:v>AU_Search_Brand</x:v>
      </x:c>
      <x:c r="F9" s="15" t="str">
        <x:v>brand</x:v>
      </x:c>
      <x:c r="G9" s="15" t="str">
        <x:v>click</x:v>
      </x:c>
      <x:c r="H9" s="16" t="b">
        <x:v>1</x:v>
      </x:c>
    </x:row>
    <x:row r="10">
      <x:c r="A10" s="15" t="str">
        <x:v>V-2006</x:v>
      </x:c>
      <x:c r="B10" s="15" t="str">
        <x:v>V-2006-T1</x:v>
      </x:c>
      <x:c r="C10" s="15" t="str">
        <x:v>2026-07-10</x:v>
      </x:c>
      <x:c r="D10" s="15" t="str">
        <x:v>Google Search</x:v>
      </x:c>
      <x:c r="E10" s="15" t="str">
        <x:v>AU_Search_Rates</x:v>
      </x:c>
      <x:c r="F10" s="15" t="str">
        <x:v>nonbrand</x:v>
      </x:c>
      <x:c r="G10" s="15" t="str">
        <x:v>click</x:v>
      </x:c>
      <x:c r="H10" s="16" t="b">
        <x:v>1</x:v>
      </x:c>
    </x:row>
    <x:row r="11">
      <x:c r="A11" s="15" t="str">
        <x:v>V-2007</x:v>
      </x:c>
      <x:c r="B11" s="15" t="str">
        <x:v>V-2007-T1</x:v>
      </x:c>
      <x:c r="C11" s="15" t="str">
        <x:v>2026-08-20</x:v>
      </x:c>
      <x:c r="D11" s="15" t="str">
        <x:v>Google Search</x:v>
      </x:c>
      <x:c r="E11" s="15" t="str">
        <x:v>AU_Search_NonBrand_HighIntent</x:v>
      </x:c>
      <x:c r="F11" s="15" t="str">
        <x:v>nonbrand</x:v>
      </x:c>
      <x:c r="G11" s="15" t="str">
        <x:v>click</x:v>
      </x:c>
      <x:c r="H11" s="16" t="b">
        <x:v>1</x:v>
      </x:c>
    </x:row>
    <x:row r="12">
      <x:c r="A12" s="15" t="str">
        <x:v>V-2008</x:v>
      </x:c>
      <x:c r="B12" s="15" t="str">
        <x:v>V-2008-T1</x:v>
      </x:c>
      <x:c r="C12" s="15" t="str">
        <x:v>2026-09-04</x:v>
      </x:c>
      <x:c r="D12" s="15" t="str">
        <x:v>Google Search</x:v>
      </x:c>
      <x:c r="E12" s="15" t="str">
        <x:v>AU_Search_Brand</x:v>
      </x:c>
      <x:c r="F12" s="15" t="str">
        <x:v>brand</x:v>
      </x:c>
      <x:c r="G12" s="15" t="str">
        <x:v>click</x:v>
      </x:c>
      <x:c r="H12" s="16" t="b">
        <x:v>1</x:v>
      </x:c>
    </x:row>
    <x:row r="13">
      <x:c r="A13" s="15" t="str">
        <x:v>V-2009</x:v>
      </x:c>
      <x:c r="B13" s="15" t="str">
        <x:v>V-2009-T1</x:v>
      </x:c>
      <x:c r="C13" s="15" t="str">
        <x:v>2026-05-03</x:v>
      </x:c>
      <x:c r="D13" s="15" t="str">
        <x:v>Google PMax</x:v>
      </x:c>
      <x:c r="E13" s="15" t="str">
        <x:v>AU_PMax_QualifiedLead</x:v>
      </x:c>
      <x:c r="F13" s="15" t="str">
        <x:v>na</x:v>
      </x:c>
      <x:c r="G13" s="15" t="str">
        <x:v>click</x:v>
      </x:c>
      <x:c r="H13" s="16" t="b">
        <x:v>1</x:v>
      </x:c>
    </x:row>
    <x:row r="14">
      <x:c r="A14" s="15" t="str">
        <x:v>V-2009</x:v>
      </x:c>
      <x:c r="B14" s="15" t="str">
        <x:v>V-2009-T2</x:v>
      </x:c>
      <x:c r="C14" s="15" t="str">
        <x:v>2026-05-06</x:v>
      </x:c>
      <x:c r="D14" s="15" t="str">
        <x:v>Google Search</x:v>
      </x:c>
      <x:c r="E14" s="15" t="str">
        <x:v>AU_Search_Brand</x:v>
      </x:c>
      <x:c r="F14" s="15" t="str">
        <x:v>brand</x:v>
      </x:c>
      <x:c r="G14" s="15" t="str">
        <x:v>click</x:v>
      </x:c>
      <x:c r="H14" s="16" t="b">
        <x:v>1</x:v>
      </x:c>
    </x:row>
    <x:row r="15">
      <x:c r="A15" s="15" t="str">
        <x:v>V-2009</x:v>
      </x:c>
      <x:c r="B15" s="15" t="str">
        <x:v>V-2009-T3</x:v>
      </x:c>
      <x:c r="C15" s="15" t="str">
        <x:v>2026-05-07</x:v>
      </x:c>
      <x:c r="D15" s="15" t="str">
        <x:v>Direct</x:v>
      </x:c>
      <x:c r="E15" s="15" t="str">
        <x:v>AU_Direct</x:v>
      </x:c>
      <x:c r="F15" s="15" t="str">
        <x:v>na</x:v>
      </x:c>
      <x:c r="G15" s="15" t="str">
        <x:v>session</x:v>
      </x:c>
      <x:c r="H15" s="16" t="b">
        <x:v>1</x:v>
      </x:c>
    </x:row>
    <x:row r="16">
      <x:c r="A16" s="15" t="str">
        <x:v>V-2010</x:v>
      </x:c>
      <x:c r="B16" s="15" t="str">
        <x:v>V-2010-T1</x:v>
      </x:c>
      <x:c r="C16" s="15" t="str">
        <x:v>2026-05-05</x:v>
      </x:c>
      <x:c r="D16" s="15" t="str">
        <x:v>Google PMax</x:v>
      </x:c>
      <x:c r="E16" s="15" t="str">
        <x:v>AU_PMax_QualifiedLead</x:v>
      </x:c>
      <x:c r="F16" s="15" t="str">
        <x:v>na</x:v>
      </x:c>
      <x:c r="G16" s="15" t="str">
        <x:v>click</x:v>
      </x:c>
      <x:c r="H16" s="16" t="b">
        <x:v>1</x:v>
      </x:c>
    </x:row>
    <x:row r="17">
      <x:c r="A17" s="15" t="str">
        <x:v>V-2011</x:v>
      </x:c>
      <x:c r="B17" s="15" t="str">
        <x:v>V-2011-T1</x:v>
      </x:c>
      <x:c r="C17" s="15" t="str">
        <x:v>2026-06-15</x:v>
      </x:c>
      <x:c r="D17" s="15" t="str">
        <x:v>Google PMax</x:v>
      </x:c>
      <x:c r="E17" s="15" t="str">
        <x:v>AU_PMax_QualifiedLead</x:v>
      </x:c>
      <x:c r="F17" s="15" t="str">
        <x:v>na</x:v>
      </x:c>
      <x:c r="G17" s="15" t="str">
        <x:v>click</x:v>
      </x:c>
      <x:c r="H17" s="16" t="b">
        <x:v>1</x:v>
      </x:c>
    </x:row>
    <x:row r="18">
      <x:c r="A18" s="15" t="str">
        <x:v>V-2011</x:v>
      </x:c>
      <x:c r="B18" s="15" t="str">
        <x:v>V-2011-T2</x:v>
      </x:c>
      <x:c r="C18" s="15" t="str">
        <x:v>2026-06-19</x:v>
      </x:c>
      <x:c r="D18" s="15" t="str">
        <x:v>Google Search</x:v>
      </x:c>
      <x:c r="E18" s="15" t="str">
        <x:v>AU_Search_Brand</x:v>
      </x:c>
      <x:c r="F18" s="15" t="str">
        <x:v>brand</x:v>
      </x:c>
      <x:c r="G18" s="15" t="str">
        <x:v>click</x:v>
      </x:c>
      <x:c r="H18" s="16" t="b">
        <x:v>1</x:v>
      </x:c>
    </x:row>
    <x:row r="19">
      <x:c r="A19" s="15" t="str">
        <x:v>V-2012</x:v>
      </x:c>
      <x:c r="B19" s="15" t="str">
        <x:v>V-2012-T1</x:v>
      </x:c>
      <x:c r="C19" s="15" t="str">
        <x:v>2026-07-02</x:v>
      </x:c>
      <x:c r="D19" s="15" t="str">
        <x:v>Google PMax</x:v>
      </x:c>
      <x:c r="E19" s="15" t="str">
        <x:v>AU_PMax_QualifiedLead</x:v>
      </x:c>
      <x:c r="F19" s="15" t="str">
        <x:v>na</x:v>
      </x:c>
      <x:c r="G19" s="15" t="str">
        <x:v>click</x:v>
      </x:c>
      <x:c r="H19" s="16" t="b">
        <x:v>1</x:v>
      </x:c>
    </x:row>
    <x:row r="20">
      <x:c r="A20" s="15" t="str">
        <x:v>V-2013</x:v>
      </x:c>
      <x:c r="B20" s="15" t="str">
        <x:v>V-2013-T1</x:v>
      </x:c>
      <x:c r="C20" s="15" t="str">
        <x:v>2026-08-08</x:v>
      </x:c>
      <x:c r="D20" s="15" t="str">
        <x:v>Google PMax</x:v>
      </x:c>
      <x:c r="E20" s="15" t="str">
        <x:v>AU_PMax_QualifiedLead</x:v>
      </x:c>
      <x:c r="F20" s="15" t="str">
        <x:v>na</x:v>
      </x:c>
      <x:c r="G20" s="15" t="str">
        <x:v>click</x:v>
      </x:c>
      <x:c r="H20" s="16" t="b">
        <x:v>1</x:v>
      </x:c>
    </x:row>
    <x:row r="21">
      <x:c r="A21" s="15" t="str">
        <x:v>V-2013</x:v>
      </x:c>
      <x:c r="B21" s="15" t="str">
        <x:v>V-2013-T2</x:v>
      </x:c>
      <x:c r="C21" s="15" t="str">
        <x:v>2026-08-12</x:v>
      </x:c>
      <x:c r="D21" s="15" t="str">
        <x:v>Google Search</x:v>
      </x:c>
      <x:c r="E21" s="15" t="str">
        <x:v>AU_Search_Brand</x:v>
      </x:c>
      <x:c r="F21" s="15" t="str">
        <x:v>brand</x:v>
      </x:c>
      <x:c r="G21" s="15" t="str">
        <x:v>click</x:v>
      </x:c>
      <x:c r="H21" s="16" t="b">
        <x:v>1</x:v>
      </x:c>
    </x:row>
    <x:row r="22">
      <x:c r="A22" s="15" t="str">
        <x:v>V-2014</x:v>
      </x:c>
      <x:c r="B22" s="15" t="str">
        <x:v>V-2014-T1</x:v>
      </x:c>
      <x:c r="C22" s="15" t="str">
        <x:v>2026-09-02</x:v>
      </x:c>
      <x:c r="D22" s="15" t="str">
        <x:v>Google PMax</x:v>
      </x:c>
      <x:c r="E22" s="15" t="str">
        <x:v>AU_PMax_QualifiedLead</x:v>
      </x:c>
      <x:c r="F22" s="15" t="str">
        <x:v>na</x:v>
      </x:c>
      <x:c r="G22" s="15" t="str">
        <x:v>click</x:v>
      </x:c>
      <x:c r="H22" s="16" t="b">
        <x:v>1</x:v>
      </x:c>
    </x:row>
    <x:row r="23">
      <x:c r="A23" s="15" t="str">
        <x:v>V-2015</x:v>
      </x:c>
      <x:c r="B23" s="15" t="str">
        <x:v>V-2015-T1</x:v>
      </x:c>
      <x:c r="C23" s="15" t="str">
        <x:v>2026-05-04</x:v>
      </x:c>
      <x:c r="D23" s="15" t="str">
        <x:v>Meta</x:v>
      </x:c>
      <x:c r="E23" s="15" t="str">
        <x:v>AU_Meta_Prospecting</x:v>
      </x:c>
      <x:c r="F23" s="15" t="str">
        <x:v>na</x:v>
      </x:c>
      <x:c r="G23" s="15" t="str">
        <x:v>click</x:v>
      </x:c>
      <x:c r="H23" s="16" t="b">
        <x:v>1</x:v>
      </x:c>
    </x:row>
    <x:row r="24">
      <x:c r="A24" s="15" t="str">
        <x:v>V-2015</x:v>
      </x:c>
      <x:c r="B24" s="15" t="str">
        <x:v>V-2015-T2</x:v>
      </x:c>
      <x:c r="C24" s="15" t="str">
        <x:v>2026-05-07</x:v>
      </x:c>
      <x:c r="D24" s="15" t="str">
        <x:v>Google Search</x:v>
      </x:c>
      <x:c r="E24" s="15" t="str">
        <x:v>AU_Search_Brand</x:v>
      </x:c>
      <x:c r="F24" s="15" t="str">
        <x:v>brand</x:v>
      </x:c>
      <x:c r="G24" s="15" t="str">
        <x:v>click</x:v>
      </x:c>
      <x:c r="H24" s="16" t="b">
        <x:v>0</x:v>
      </x:c>
    </x:row>
    <x:row r="25">
      <x:c r="A25" s="15" t="str">
        <x:v>V-2015</x:v>
      </x:c>
      <x:c r="B25" s="15" t="str">
        <x:v>V-2015-T3</x:v>
      </x:c>
      <x:c r="C25" s="15" t="str">
        <x:v>2026-05-08</x:v>
      </x:c>
      <x:c r="D25" s="15" t="str">
        <x:v>Direct</x:v>
      </x:c>
      <x:c r="E25" s="15" t="str">
        <x:v>AU_Direct</x:v>
      </x:c>
      <x:c r="F25" s="15" t="str">
        <x:v>na</x:v>
      </x:c>
      <x:c r="G25" s="15" t="str">
        <x:v>session</x:v>
      </x:c>
      <x:c r="H25" s="16" t="b">
        <x:v>1</x:v>
      </x:c>
    </x:row>
    <x:row r="26">
      <x:c r="A26" s="15" t="str">
        <x:v>V-2016</x:v>
      </x:c>
      <x:c r="B26" s="15" t="str">
        <x:v>V-2016-T1</x:v>
      </x:c>
      <x:c r="C26" s="15" t="str">
        <x:v>2026-06-05</x:v>
      </x:c>
      <x:c r="D26" s="15" t="str">
        <x:v>Meta</x:v>
      </x:c>
      <x:c r="E26" s="15" t="str">
        <x:v>AU_Meta_Retargeting</x:v>
      </x:c>
      <x:c r="F26" s="15" t="str">
        <x:v>na</x:v>
      </x:c>
      <x:c r="G26" s="15" t="str">
        <x:v>click</x:v>
      </x:c>
      <x:c r="H26" s="16" t="b">
        <x:v>1</x:v>
      </x:c>
    </x:row>
    <x:row r="27">
      <x:c r="A27" s="15" t="str">
        <x:v>V-2016</x:v>
      </x:c>
      <x:c r="B27" s="15" t="str">
        <x:v>V-2016-T2</x:v>
      </x:c>
      <x:c r="C27" s="15" t="str">
        <x:v>2026-06-09</x:v>
      </x:c>
      <x:c r="D27" s="15" t="str">
        <x:v>CRM</x:v>
      </x:c>
      <x:c r="E27" s="15" t="str">
        <x:v>AU_CRM_Email_SMS</x:v>
      </x:c>
      <x:c r="F27" s="15" t="str">
        <x:v>na</x:v>
      </x:c>
      <x:c r="G27" s="15" t="str">
        <x:v>session</x:v>
      </x:c>
      <x:c r="H27" s="16" t="b">
        <x:v>1</x:v>
      </x:c>
    </x:row>
    <x:row r="28">
      <x:c r="A28" s="15" t="str">
        <x:v>V-2017</x:v>
      </x:c>
      <x:c r="B28" s="15" t="str">
        <x:v>V-2017-T1</x:v>
      </x:c>
      <x:c r="C28" s="15" t="str">
        <x:v>2026-07-04</x:v>
      </x:c>
      <x:c r="D28" s="15" t="str">
        <x:v>Meta</x:v>
      </x:c>
      <x:c r="E28" s="15" t="str">
        <x:v>AU_Meta_Prospecting</x:v>
      </x:c>
      <x:c r="F28" s="15" t="str">
        <x:v>na</x:v>
      </x:c>
      <x:c r="G28" s="15" t="str">
        <x:v>click</x:v>
      </x:c>
      <x:c r="H28" s="16" t="b">
        <x:v>1</x:v>
      </x:c>
    </x:row>
    <x:row r="29">
      <x:c r="A29" s="15" t="str">
        <x:v>V-2017</x:v>
      </x:c>
      <x:c r="B29" s="15" t="str">
        <x:v>V-2017-T2</x:v>
      </x:c>
      <x:c r="C29" s="15" t="str">
        <x:v>2026-07-07</x:v>
      </x:c>
      <x:c r="D29" s="15" t="str">
        <x:v>Google Search</x:v>
      </x:c>
      <x:c r="E29" s="15" t="str">
        <x:v>AU_Search_Brand</x:v>
      </x:c>
      <x:c r="F29" s="15" t="str">
        <x:v>brand</x:v>
      </x:c>
      <x:c r="G29" s="15" t="str">
        <x:v>click</x:v>
      </x:c>
      <x:c r="H29" s="16" t="b">
        <x:v>1</x:v>
      </x:c>
    </x:row>
    <x:row r="30">
      <x:c r="A30" s="15" t="str">
        <x:v>V-2018</x:v>
      </x:c>
      <x:c r="B30" s="15" t="str">
        <x:v>V-2018-T1</x:v>
      </x:c>
      <x:c r="C30" s="15" t="str">
        <x:v>2026-07-15</x:v>
      </x:c>
      <x:c r="D30" s="15" t="str">
        <x:v>Meta</x:v>
      </x:c>
      <x:c r="E30" s="15" t="str">
        <x:v>AU_Meta_Retargeting</x:v>
      </x:c>
      <x:c r="F30" s="15" t="str">
        <x:v>na</x:v>
      </x:c>
      <x:c r="G30" s="15" t="str">
        <x:v>click</x:v>
      </x:c>
      <x:c r="H30" s="16" t="b">
        <x:v>1</x:v>
      </x:c>
    </x:row>
    <x:row r="31">
      <x:c r="A31" s="15" t="str">
        <x:v>V-2019</x:v>
      </x:c>
      <x:c r="B31" s="15" t="str">
        <x:v>V-2019-T1</x:v>
      </x:c>
      <x:c r="C31" s="15" t="str">
        <x:v>2026-08-05</x:v>
      </x:c>
      <x:c r="D31" s="15" t="str">
        <x:v>Meta</x:v>
      </x:c>
      <x:c r="E31" s="15" t="str">
        <x:v>AU_Meta_Prospecting</x:v>
      </x:c>
      <x:c r="F31" s="15" t="str">
        <x:v>na</x:v>
      </x:c>
      <x:c r="G31" s="15" t="str">
        <x:v>click</x:v>
      </x:c>
      <x:c r="H31" s="16" t="b">
        <x:v>1</x:v>
      </x:c>
    </x:row>
    <x:row r="32">
      <x:c r="A32" s="15" t="str">
        <x:v>V-2020</x:v>
      </x:c>
      <x:c r="B32" s="15" t="str">
        <x:v>V-2020-T1</x:v>
      </x:c>
      <x:c r="C32" s="15" t="str">
        <x:v>2026-08-25</x:v>
      </x:c>
      <x:c r="D32" s="15" t="str">
        <x:v>Meta</x:v>
      </x:c>
      <x:c r="E32" s="15" t="str">
        <x:v>AU_Meta_Retargeting</x:v>
      </x:c>
      <x:c r="F32" s="15" t="str">
        <x:v>na</x:v>
      </x:c>
      <x:c r="G32" s="15" t="str">
        <x:v>click</x:v>
      </x:c>
      <x:c r="H32" s="16" t="b">
        <x:v>1</x:v>
      </x:c>
    </x:row>
    <x:row r="33">
      <x:c r="A33" s="15" t="str">
        <x:v>V-2021</x:v>
      </x:c>
      <x:c r="B33" s="15" t="str">
        <x:v>V-2021-T1</x:v>
      </x:c>
      <x:c r="C33" s="15" t="str">
        <x:v>2026-09-01</x:v>
      </x:c>
      <x:c r="D33" s="15" t="str">
        <x:v>Meta</x:v>
      </x:c>
      <x:c r="E33" s="15" t="str">
        <x:v>AU_Meta_Prospecting</x:v>
      </x:c>
      <x:c r="F33" s="15" t="str">
        <x:v>na</x:v>
      </x:c>
      <x:c r="G33" s="15" t="str">
        <x:v>click</x:v>
      </x:c>
      <x:c r="H33" s="16" t="b">
        <x:v>1</x:v>
      </x:c>
    </x:row>
    <x:row r="34">
      <x:c r="A34" s="15" t="str">
        <x:v>V-2022</x:v>
      </x:c>
      <x:c r="B34" s="15" t="str">
        <x:v>V-2022-T1</x:v>
      </x:c>
      <x:c r="C34" s="15" t="str">
        <x:v>2026-05-02</x:v>
      </x:c>
      <x:c r="D34" s="15" t="str">
        <x:v>TikTok</x:v>
      </x:c>
      <x:c r="E34" s="15" t="str">
        <x:v>AU_TikTok_Video</x:v>
      </x:c>
      <x:c r="F34" s="15" t="str">
        <x:v>na</x:v>
      </x:c>
      <x:c r="G34" s="15" t="str">
        <x:v>click</x:v>
      </x:c>
      <x:c r="H34" s="16" t="b">
        <x:v>1</x:v>
      </x:c>
    </x:row>
    <x:row r="35">
      <x:c r="A35" s="15" t="str">
        <x:v>V-2023</x:v>
      </x:c>
      <x:c r="B35" s="15" t="str">
        <x:v>V-2023-T1</x:v>
      </x:c>
      <x:c r="C35" s="15" t="str">
        <x:v>2026-06-10</x:v>
      </x:c>
      <x:c r="D35" s="15" t="str">
        <x:v>TikTok</x:v>
      </x:c>
      <x:c r="E35" s="15" t="str">
        <x:v>AU_TikTok_Video</x:v>
      </x:c>
      <x:c r="F35" s="15" t="str">
        <x:v>na</x:v>
      </x:c>
      <x:c r="G35" s="15" t="str">
        <x:v>click</x:v>
      </x:c>
      <x:c r="H35" s="16" t="b">
        <x:v>0</x:v>
      </x:c>
    </x:row>
    <x:row r="36">
      <x:c r="A36" s="15" t="str">
        <x:v>V-2024</x:v>
      </x:c>
      <x:c r="B36" s="15" t="str">
        <x:v>V-2024-T1</x:v>
      </x:c>
      <x:c r="C36" s="15" t="str">
        <x:v>2026-07-05</x:v>
      </x:c>
      <x:c r="D36" s="15" t="str">
        <x:v>TikTok</x:v>
      </x:c>
      <x:c r="E36" s="15" t="str">
        <x:v>AU_TikTok_Video</x:v>
      </x:c>
      <x:c r="F36" s="15" t="str">
        <x:v>na</x:v>
      </x:c>
      <x:c r="G36" s="15" t="str">
        <x:v>click</x:v>
      </x:c>
      <x:c r="H36" s="16" t="b">
        <x:v>1</x:v>
      </x:c>
    </x:row>
    <x:row r="37">
      <x:c r="A37" s="15" t="str">
        <x:v>V-2024</x:v>
      </x:c>
      <x:c r="B37" s="15" t="str">
        <x:v>V-2024-T2</x:v>
      </x:c>
      <x:c r="C37" s="15" t="str">
        <x:v>2026-07-09</x:v>
      </x:c>
      <x:c r="D37" s="15" t="str">
        <x:v>Google Search</x:v>
      </x:c>
      <x:c r="E37" s="15" t="str">
        <x:v>AU_Search_Brand</x:v>
      </x:c>
      <x:c r="F37" s="15" t="str">
        <x:v>brand</x:v>
      </x:c>
      <x:c r="G37" s="15" t="str">
        <x:v>click</x:v>
      </x:c>
      <x:c r="H37" s="16" t="b">
        <x:v>1</x:v>
      </x:c>
    </x:row>
    <x:row r="38">
      <x:c r="A38" s="15" t="str">
        <x:v>V-2025</x:v>
      </x:c>
      <x:c r="B38" s="15" t="str">
        <x:v>V-2025-T1</x:v>
      </x:c>
      <x:c r="C38" s="15" t="str">
        <x:v>2026-08-02</x:v>
      </x:c>
      <x:c r="D38" s="15" t="str">
        <x:v>TikTok</x:v>
      </x:c>
      <x:c r="E38" s="15" t="str">
        <x:v>AU_TikTok_Video</x:v>
      </x:c>
      <x:c r="F38" s="15" t="str">
        <x:v>na</x:v>
      </x:c>
      <x:c r="G38" s="15" t="str">
        <x:v>click</x:v>
      </x:c>
      <x:c r="H38" s="16" t="b">
        <x:v>1</x:v>
      </x:c>
    </x:row>
    <x:row r="39">
      <x:c r="A39" s="15" t="str">
        <x:v>V-2026</x:v>
      </x:c>
      <x:c r="B39" s="15" t="str">
        <x:v>V-2026-T1</x:v>
      </x:c>
      <x:c r="C39" s="15" t="str">
        <x:v>2026-08-15</x:v>
      </x:c>
      <x:c r="D39" s="15" t="str">
        <x:v>TikTok</x:v>
      </x:c>
      <x:c r="E39" s="15" t="str">
        <x:v>AU_TikTok_Video</x:v>
      </x:c>
      <x:c r="F39" s="15" t="str">
        <x:v>na</x:v>
      </x:c>
      <x:c r="G39" s="15" t="str">
        <x:v>click</x:v>
      </x:c>
      <x:c r="H39" s="16" t="b">
        <x:v>1</x:v>
      </x:c>
    </x:row>
    <x:row r="40">
      <x:c r="A40" s="15" t="str">
        <x:v>V-2027</x:v>
      </x:c>
      <x:c r="B40" s="15" t="str">
        <x:v>V-2027-T1</x:v>
      </x:c>
      <x:c r="C40" s="15" t="str">
        <x:v>2026-06-03</x:v>
      </x:c>
      <x:c r="D40" s="15" t="str">
        <x:v>Affiliate</x:v>
      </x:c>
      <x:c r="E40" s="15" t="str">
        <x:v>AU_Affiliate_AF17</x:v>
      </x:c>
      <x:c r="F40" s="15" t="str">
        <x:v>na</x:v>
      </x:c>
      <x:c r="G40" s="15" t="str">
        <x:v>click</x:v>
      </x:c>
      <x:c r="H40" s="16" t="b">
        <x:v>1</x:v>
      </x:c>
    </x:row>
    <x:row r="41">
      <x:c r="A41" s="15" t="str">
        <x:v>V-2027</x:v>
      </x:c>
      <x:c r="B41" s="15" t="str">
        <x:v>V-2027-T2</x:v>
      </x:c>
      <x:c r="C41" s="15" t="str">
        <x:v>2026-06-04</x:v>
      </x:c>
      <x:c r="D41" s="15" t="str">
        <x:v>Google Search</x:v>
      </x:c>
      <x:c r="E41" s="15" t="str">
        <x:v>AU_Search_NonBrand_HighIntent</x:v>
      </x:c>
      <x:c r="F41" s="15" t="str">
        <x:v>nonbrand</x:v>
      </x:c>
      <x:c r="G41" s="15" t="str">
        <x:v>click</x:v>
      </x:c>
      <x:c r="H41" s="16" t="b">
        <x:v>1</x:v>
      </x:c>
    </x:row>
    <x:row r="42">
      <x:c r="A42" s="15" t="str">
        <x:v>V-2028</x:v>
      </x:c>
      <x:c r="B42" s="15" t="str">
        <x:v>V-2028-T1</x:v>
      </x:c>
      <x:c r="C42" s="15" t="str">
        <x:v>2026-07-08</x:v>
      </x:c>
      <x:c r="D42" s="15" t="str">
        <x:v>Affiliate</x:v>
      </x:c>
      <x:c r="E42" s="15" t="str">
        <x:v>AU_Affiliate_AF17</x:v>
      </x:c>
      <x:c r="F42" s="15" t="str">
        <x:v>na</x:v>
      </x:c>
      <x:c r="G42" s="15" t="str">
        <x:v>click</x:v>
      </x:c>
      <x:c r="H42" s="16" t="b">
        <x:v>1</x:v>
      </x:c>
    </x:row>
    <x:row r="43">
      <x:c r="A43" s="15" t="str">
        <x:v>V-2028</x:v>
      </x:c>
      <x:c r="B43" s="15" t="str">
        <x:v>V-2028-T1</x:v>
      </x:c>
      <x:c r="C43" s="15" t="str">
        <x:v>2026-07-08</x:v>
      </x:c>
      <x:c r="D43" s="15" t="str">
        <x:v>Affiliate</x:v>
      </x:c>
      <x:c r="E43" s="15" t="str">
        <x:v>AU_Affiliate_AF17</x:v>
      </x:c>
      <x:c r="F43" s="15" t="str">
        <x:v>na</x:v>
      </x:c>
      <x:c r="G43" s="15" t="str">
        <x:v>click</x:v>
      </x:c>
      <x:c r="H43" s="16" t="b">
        <x:v>1</x:v>
      </x:c>
    </x:row>
    <x:row r="44">
      <x:c r="A44" s="15" t="str">
        <x:v>V-2029</x:v>
      </x:c>
      <x:c r="B44" s="15" t="str">
        <x:v>V-2029-T1</x:v>
      </x:c>
      <x:c r="C44" s="15" t="str">
        <x:v>2026-08-10</x:v>
      </x:c>
      <x:c r="D44" s="15" t="str">
        <x:v>Affiliate</x:v>
      </x:c>
      <x:c r="E44" s="15" t="str">
        <x:v>AU_Affiliate_AF17</x:v>
      </x:c>
      <x:c r="F44" s="15" t="str">
        <x:v>na</x:v>
      </x:c>
      <x:c r="G44" s="15" t="str">
        <x:v>click</x:v>
      </x:c>
      <x:c r="H44" s="16" t="b">
        <x:v>1</x:v>
      </x:c>
    </x:row>
    <x:row r="45">
      <x:c r="A45" s="15" t="str">
        <x:v>V-2030</x:v>
      </x:c>
      <x:c r="B45" s="15" t="str">
        <x:v>V-2030-T1</x:v>
      </x:c>
      <x:c r="C45" s="15" t="str">
        <x:v>2026-08-22</x:v>
      </x:c>
      <x:c r="D45" s="15" t="str">
        <x:v>Affiliate</x:v>
      </x:c>
      <x:c r="E45" s="15" t="str">
        <x:v>AU_Affiliate_AF17</x:v>
      </x:c>
      <x:c r="F45" s="15" t="str">
        <x:v>na</x:v>
      </x:c>
      <x:c r="G45" s="15" t="str">
        <x:v>click</x:v>
      </x:c>
      <x:c r="H45" s="16" t="b">
        <x:v>1</x:v>
      </x:c>
    </x:row>
    <x:row r="46">
      <x:c r="A46" s="15" t="str">
        <x:v>V-2031</x:v>
      </x:c>
      <x:c r="B46" s="15" t="str">
        <x:v>V-2031-T1</x:v>
      </x:c>
      <x:c r="C46" s="15" t="str">
        <x:v>2026-05-03</x:v>
      </x:c>
      <x:c r="D46" s="15" t="str">
        <x:v>CRM</x:v>
      </x:c>
      <x:c r="E46" s="15" t="str">
        <x:v>AU_CRM_Email_SMS</x:v>
      </x:c>
      <x:c r="F46" s="15" t="str">
        <x:v>na</x:v>
      </x:c>
      <x:c r="G46" s="15" t="str">
        <x:v>session</x:v>
      </x:c>
      <x:c r="H46" s="16" t="b">
        <x:v>1</x:v>
      </x:c>
    </x:row>
    <x:row r="47">
      <x:c r="A47" s="15" t="str">
        <x:v>V-2032</x:v>
      </x:c>
      <x:c r="B47" s="15" t="str">
        <x:v>V-2032-T1</x:v>
      </x:c>
      <x:c r="C47" s="15" t="str">
        <x:v>2026-06-12</x:v>
      </x:c>
      <x:c r="D47" s="15" t="str">
        <x:v>CRM</x:v>
      </x:c>
      <x:c r="E47" s="15" t="str">
        <x:v>AU_CRM_Email_SMS</x:v>
      </x:c>
      <x:c r="F47" s="15" t="str">
        <x:v>na</x:v>
      </x:c>
      <x:c r="G47" s="15" t="str">
        <x:v>session</x:v>
      </x:c>
      <x:c r="H47" s="16" t="b">
        <x:v>1</x:v>
      </x:c>
    </x:row>
    <x:row r="48">
      <x:c r="A48" s="15" t="str">
        <x:v>V-2033</x:v>
      </x:c>
      <x:c r="B48" s="15" t="str">
        <x:v>V-2033-T1</x:v>
      </x:c>
      <x:c r="C48" s="15" t="str">
        <x:v>2026-07-09</x:v>
      </x:c>
      <x:c r="D48" s="15" t="str">
        <x:v>CRM</x:v>
      </x:c>
      <x:c r="E48" s="15" t="str">
        <x:v>AU_CRM_Email_SMS</x:v>
      </x:c>
      <x:c r="F48" s="15" t="str">
        <x:v>na</x:v>
      </x:c>
      <x:c r="G48" s="15" t="str">
        <x:v>session</x:v>
      </x:c>
      <x:c r="H48" s="16" t="b">
        <x:v>1</x:v>
      </x:c>
    </x:row>
    <x:row r="49">
      <x:c r="A49" s="15" t="str">
        <x:v>V-2034</x:v>
      </x:c>
      <x:c r="B49" s="15" t="str">
        <x:v>V-2034-T1</x:v>
      </x:c>
      <x:c r="C49" s="15" t="str">
        <x:v>2026-08-18</x:v>
      </x:c>
      <x:c r="D49" s="15" t="str">
        <x:v>CRM</x:v>
      </x:c>
      <x:c r="E49" s="15" t="str">
        <x:v>AU_CRM_Email_SMS</x:v>
      </x:c>
      <x:c r="F49" s="15" t="str">
        <x:v>na</x:v>
      </x:c>
      <x:c r="G49" s="15" t="str">
        <x:v>session</x:v>
      </x:c>
      <x:c r="H49" s="16" t="b">
        <x:v>1</x:v>
      </x:c>
    </x:row>
    <x:row r="50">
      <x:c r="A50" s="15" t="str">
        <x:v>V-2035</x:v>
      </x:c>
      <x:c r="B50" s="15" t="str">
        <x:v>V-2035-T1</x:v>
      </x:c>
      <x:c r="C50" s="15" t="str">
        <x:v>2026-09-03</x:v>
      </x:c>
      <x:c r="D50" s="15" t="str">
        <x:v>CRM</x:v>
      </x:c>
      <x:c r="E50" s="15" t="str">
        <x:v>AU_CRM_Email_SMS</x:v>
      </x:c>
      <x:c r="F50" s="15" t="str">
        <x:v>na</x:v>
      </x:c>
      <x:c r="G50" s="15" t="str">
        <x:v>session</x:v>
      </x:c>
      <x:c r="H50" s="16" t="b">
        <x:v>1</x:v>
      </x:c>
    </x:row>
    <x:row r="51">
      <x:c r="A51" s="15" t="str">
        <x:v>V-2036</x:v>
      </x:c>
      <x:c r="B51" s="15" t="str">
        <x:v>V-2036-T1</x:v>
      </x:c>
      <x:c r="C51" s="15" t="str">
        <x:v>2026-05-05</x:v>
      </x:c>
      <x:c r="D51" s="15" t="str">
        <x:v>Organic</x:v>
      </x:c>
      <x:c r="E51" s="15" t="str">
        <x:v>AU_Organic</x:v>
      </x:c>
      <x:c r="F51" s="15" t="str">
        <x:v>na</x:v>
      </x:c>
      <x:c r="G51" s="15" t="str">
        <x:v>session</x:v>
      </x:c>
      <x:c r="H51" s="16" t="b">
        <x:v>1</x:v>
      </x:c>
    </x:row>
    <x:row r="52">
      <x:c r="A52" s="15" t="str">
        <x:v>V-2036</x:v>
      </x:c>
      <x:c r="B52" s="15" t="str">
        <x:v>V-2036-T2</x:v>
      </x:c>
      <x:c r="C52" s="15" t="str">
        <x:v>2026-05-11</x:v>
      </x:c>
      <x:c r="D52" s="15" t="str">
        <x:v>Direct</x:v>
      </x:c>
      <x:c r="E52" s="15" t="str">
        <x:v>AU_Direct</x:v>
      </x:c>
      <x:c r="F52" s="15" t="str">
        <x:v>na</x:v>
      </x:c>
      <x:c r="G52" s="15" t="str">
        <x:v>session</x:v>
      </x:c>
      <x:c r="H52" s="16" t="b">
        <x:v>1</x:v>
      </x:c>
    </x:row>
    <x:row r="53">
      <x:c r="A53" s="15" t="str">
        <x:v>V-2037</x:v>
      </x:c>
      <x:c r="B53" s="15" t="str">
        <x:v>V-2037-T1</x:v>
      </x:c>
      <x:c r="C53" s="15" t="str">
        <x:v>2026-06-10</x:v>
      </x:c>
      <x:c r="D53" s="15" t="str">
        <x:v>Organic</x:v>
      </x:c>
      <x:c r="E53" s="15" t="str">
        <x:v>AU_Organic</x:v>
      </x:c>
      <x:c r="F53" s="15" t="str">
        <x:v>na</x:v>
      </x:c>
      <x:c r="G53" s="15" t="str">
        <x:v>session</x:v>
      </x:c>
      <x:c r="H53" s="16" t="b">
        <x:v>1</x:v>
      </x:c>
    </x:row>
    <x:row r="54">
      <x:c r="A54" s="15" t="str">
        <x:v>V-2037</x:v>
      </x:c>
      <x:c r="B54" s="15" t="str">
        <x:v>V-2037-T2</x:v>
      </x:c>
      <x:c r="C54" s="15" t="str">
        <x:v>2026-06-11</x:v>
      </x:c>
      <x:c r="D54" s="15" t="str">
        <x:v>Google Search</x:v>
      </x:c>
      <x:c r="E54" s="15" t="str">
        <x:v>AU_Search_NonBrand_HighIntent</x:v>
      </x:c>
      <x:c r="F54" s="15" t="str">
        <x:v>nonbrand</x:v>
      </x:c>
      <x:c r="G54" s="15" t="str">
        <x:v>click</x:v>
      </x:c>
      <x:c r="H54" s="16" t="b">
        <x:v>1</x:v>
      </x:c>
    </x:row>
    <x:row r="55">
      <x:c r="A55" s="15" t="str">
        <x:v>V-2037</x:v>
      </x:c>
      <x:c r="B55" s="15" t="str">
        <x:v>V-2037-T3</x:v>
      </x:c>
      <x:c r="C55" s="15" t="str">
        <x:v>2026-06-16</x:v>
      </x:c>
      <x:c r="D55" s="15" t="str">
        <x:v>Organic</x:v>
      </x:c>
      <x:c r="E55" s="15" t="str">
        <x:v>AU_Organic</x:v>
      </x:c>
      <x:c r="F55" s="15" t="str">
        <x:v>na</x:v>
      </x:c>
      <x:c r="G55" s="15" t="str">
        <x:v>session</x:v>
      </x:c>
      <x:c r="H55" s="16" t="b">
        <x:v>1</x:v>
      </x:c>
    </x:row>
    <x:row r="56">
      <x:c r="A56" s="15" t="str">
        <x:v>V-2038</x:v>
      </x:c>
      <x:c r="B56" s="15" t="str">
        <x:v>V-2038-T1</x:v>
      </x:c>
      <x:c r="C56" s="15" t="str">
        <x:v>2026-07-02</x:v>
      </x:c>
      <x:c r="D56" s="15" t="str">
        <x:v>Organic</x:v>
      </x:c>
      <x:c r="E56" s="15" t="str">
        <x:v>AU_Organic</x:v>
      </x:c>
      <x:c r="F56" s="15" t="str">
        <x:v>na</x:v>
      </x:c>
      <x:c r="G56" s="15" t="str">
        <x:v>session</x:v>
      </x:c>
      <x:c r="H56" s="16" t="b">
        <x:v>1</x:v>
      </x:c>
    </x:row>
    <x:row r="57">
      <x:c r="A57" s="15" t="str">
        <x:v>V-2038</x:v>
      </x:c>
      <x:c r="B57" s="15" t="str">
        <x:v>V-2038-T2</x:v>
      </x:c>
      <x:c r="C57" s="15" t="str">
        <x:v>2026-07-06</x:v>
      </x:c>
      <x:c r="D57" s="15" t="str">
        <x:v>Direct</x:v>
      </x:c>
      <x:c r="E57" s="15" t="str">
        <x:v>AU_Direct</x:v>
      </x:c>
      <x:c r="F57" s="15" t="str">
        <x:v>na</x:v>
      </x:c>
      <x:c r="G57" s="15" t="str">
        <x:v>session</x:v>
      </x:c>
      <x:c r="H57" s="16" t="b">
        <x:v>1</x:v>
      </x:c>
    </x:row>
    <x:row r="58">
      <x:c r="A58" s="15" t="str">
        <x:v>V-2039</x:v>
      </x:c>
      <x:c r="B58" s="15" t="str">
        <x:v>V-2039-T1</x:v>
      </x:c>
      <x:c r="C58" s="15" t="str">
        <x:v>2026-08-03</x:v>
      </x:c>
      <x:c r="D58" s="15" t="str">
        <x:v>Organic</x:v>
      </x:c>
      <x:c r="E58" s="15" t="str">
        <x:v>AU_Organic</x:v>
      </x:c>
      <x:c r="F58" s="15" t="str">
        <x:v>na</x:v>
      </x:c>
      <x:c r="G58" s="15" t="str">
        <x:v>session</x:v>
      </x:c>
      <x:c r="H58" s="16" t="b">
        <x:v>1</x:v>
      </x:c>
    </x:row>
    <x:row r="59">
      <x:c r="A59" s="15" t="str">
        <x:v>V-2040</x:v>
      </x:c>
      <x:c r="B59" s="15" t="str">
        <x:v>V-2040-T1</x:v>
      </x:c>
      <x:c r="C59" s="15" t="str">
        <x:v>2026-07-18</x:v>
      </x:c>
      <x:c r="D59" s="15" t="str">
        <x:v>Organic</x:v>
      </x:c>
      <x:c r="E59" s="15" t="str">
        <x:v>AU_Organic</x:v>
      </x:c>
      <x:c r="F59" s="15" t="str">
        <x:v>na</x:v>
      </x:c>
      <x:c r="G59" s="15" t="str">
        <x:v>session</x:v>
      </x:c>
      <x:c r="H59" s="16" t="b">
        <x:v>1</x:v>
      </x:c>
    </x:row>
    <x:row r="60">
      <x:c r="A60" s="15" t="str">
        <x:v>V-2041</x:v>
      </x:c>
      <x:c r="B60" s="15" t="str">
        <x:v>V-2041-T1</x:v>
      </x:c>
      <x:c r="C60" s="15" t="str">
        <x:v>2026-08-26</x:v>
      </x:c>
      <x:c r="D60" s="15" t="str">
        <x:v>Organic</x:v>
      </x:c>
      <x:c r="E60" s="15" t="str">
        <x:v>AU_Organic</x:v>
      </x:c>
      <x:c r="F60" s="15" t="str">
        <x:v>na</x:v>
      </x:c>
      <x:c r="G60" s="15" t="str">
        <x:v>session</x:v>
      </x:c>
      <x:c r="H60" s="16" t="b">
        <x:v>1</x:v>
      </x:c>
    </x:row>
    <x:row r="61">
      <x:c r="A61" s="15" t="str">
        <x:v>V-2042</x:v>
      </x:c>
      <x:c r="B61" s="15" t="str">
        <x:v>V-2042-T1</x:v>
      </x:c>
      <x:c r="C61" s="15" t="str">
        <x:v>2026-09-02</x:v>
      </x:c>
      <x:c r="D61" s="15" t="str">
        <x:v>Organic</x:v>
      </x:c>
      <x:c r="E61" s="15" t="str">
        <x:v>AU_Organic</x:v>
      </x:c>
      <x:c r="F61" s="15" t="str">
        <x:v>na</x:v>
      </x:c>
      <x:c r="G61" s="15" t="str">
        <x:v>session</x:v>
      </x:c>
      <x:c r="H61" s="16" t="b">
        <x:v>1</x:v>
      </x:c>
    </x:row>
    <x:row r="62">
      <x:c r="A62" s="15" t="str">
        <x:v>V-2043</x:v>
      </x:c>
      <x:c r="B62" s="15" t="str">
        <x:v>V-2043-T1</x:v>
      </x:c>
      <x:c r="C62" s="15" t="str">
        <x:v>2026-09-05</x:v>
      </x:c>
      <x:c r="D62" s="15" t="str">
        <x:v>Organic</x:v>
      </x:c>
      <x:c r="E62" s="15" t="str">
        <x:v>AU_Organic</x:v>
      </x:c>
      <x:c r="F62" s="15" t="str">
        <x:v>na</x:v>
      </x:c>
      <x:c r="G62" s="15" t="str">
        <x:v>session</x:v>
      </x:c>
      <x:c r="H62" s="16" t="b">
        <x:v>1</x:v>
      </x:c>
    </x:row>
    <x:row r="63">
      <x:c r="A63" s="15" t="str">
        <x:v>V-2044</x:v>
      </x:c>
      <x:c r="B63" s="15" t="str">
        <x:v>V-2044-T1</x:v>
      </x:c>
      <x:c r="C63" s="15" t="str">
        <x:v>2026-06-20</x:v>
      </x:c>
      <x:c r="D63" s="15" t="str">
        <x:v>Direct</x:v>
      </x:c>
      <x:c r="E63" s="15" t="str">
        <x:v>AU_Direct</x:v>
      </x:c>
      <x:c r="F63" s="15" t="str">
        <x:v>na</x:v>
      </x:c>
      <x:c r="G63" s="15" t="str">
        <x:v>session</x:v>
      </x:c>
      <x:c r="H63" s="16" t="b">
        <x:v>1</x:v>
      </x:c>
    </x:row>
    <x:row r="64">
      <x:c r="A64" s="15" t="str">
        <x:v>V-2045</x:v>
      </x:c>
      <x:c r="B64" s="15" t="str">
        <x:v>V-2045-T1</x:v>
      </x:c>
      <x:c r="C64" s="15" t="str">
        <x:v>2026-07-06</x:v>
      </x:c>
      <x:c r="D64" s="15" t="str">
        <x:v>Direct</x:v>
      </x:c>
      <x:c r="E64" s="15" t="str">
        <x:v>AU_Direct</x:v>
      </x:c>
      <x:c r="F64" s="15" t="str">
        <x:v>na</x:v>
      </x:c>
      <x:c r="G64" s="15" t="str">
        <x:v>session</x:v>
      </x:c>
      <x:c r="H64" s="16" t="b">
        <x:v>1</x:v>
      </x:c>
    </x:row>
    <x:row r="65">
      <x:c r="A65" s="15" t="str">
        <x:v>V-2046</x:v>
      </x:c>
      <x:c r="B65" s="15" t="str">
        <x:v>V-2046-T1</x:v>
      </x:c>
      <x:c r="C65" s="15" t="str">
        <x:v>2026-08-07</x:v>
      </x:c>
      <x:c r="D65" s="15" t="str">
        <x:v>Direct</x:v>
      </x:c>
      <x:c r="E65" s="15" t="str">
        <x:v>AU_Direct</x:v>
      </x:c>
      <x:c r="F65" s="15" t="str">
        <x:v>na</x:v>
      </x:c>
      <x:c r="G65" s="15" t="str">
        <x:v>session</x:v>
      </x:c>
      <x:c r="H65" s="16" t="b">
        <x:v>1</x:v>
      </x:c>
    </x:row>
    <x:row r="66">
      <x:c r="A66" s="15" t="str">
        <x:v>V-2047</x:v>
      </x:c>
      <x:c r="B66" s="15" t="str">
        <x:v>V-2047-T1</x:v>
      </x:c>
      <x:c r="C66" s="15" t="str">
        <x:v>2026-08-28</x:v>
      </x:c>
      <x:c r="D66" s="15" t="str">
        <x:v>Direct</x:v>
      </x:c>
      <x:c r="E66" s="15" t="str">
        <x:v>AU_Direct</x:v>
      </x:c>
      <x:c r="F66" s="15" t="str">
        <x:v>na</x:v>
      </x:c>
      <x:c r="G66" s="15" t="str">
        <x:v>session</x:v>
      </x:c>
      <x:c r="H66" s="16" t="b">
        <x:v>1</x:v>
      </x:c>
    </x:row>
    <x:row r="67">
      <x:c r="A67" s="15" t="str">
        <x:v>V-2048</x:v>
      </x:c>
      <x:c r="B67" s="15" t="str">
        <x:v>V-2048-T1</x:v>
      </x:c>
      <x:c r="C67" s="15" t="str">
        <x:v>2026-09-04</x:v>
      </x:c>
      <x:c r="D67" s="15" t="str">
        <x:v>Direct</x:v>
      </x:c>
      <x:c r="E67" s="15" t="str">
        <x:v>AU_Direct</x:v>
      </x:c>
      <x:c r="F67" s="15" t="str">
        <x:v>na</x:v>
      </x:c>
      <x:c r="G67" s="15" t="str">
        <x:v>session</x:v>
      </x:c>
      <x:c r="H67" s="16" t="b">
        <x:v>1</x:v>
      </x:c>
    </x:row>
    <x:row r="68">
      <x:c r="A68" s="15" t="str">
        <x:v>V-2049</x:v>
      </x:c>
      <x:c r="B68" s="15" t="str">
        <x:v>V-2049-T1</x:v>
      </x:c>
      <x:c r="C68" s="15" t="str">
        <x:v>2026-08-12</x:v>
      </x:c>
      <x:c r="D68" s="15" t="str">
        <x:v>Google Search</x:v>
      </x:c>
      <x:c r="E68" s="15" t="str">
        <x:v>AU_Search_NonBrand_HighIntent</x:v>
      </x:c>
      <x:c r="F68" s="15" t="str">
        <x:v>nonbrand</x:v>
      </x:c>
      <x:c r="G68" s="15" t="str">
        <x:v>click</x:v>
      </x:c>
      <x:c r="H68" s="16" t="b">
        <x:v>1</x:v>
      </x:c>
    </x:row>
    <x:row r="69">
      <x:c r="A69" s="15" t="str">
        <x:v>V-2050</x:v>
      </x:c>
      <x:c r="B69" s="15" t="str">
        <x:v>V-2050-T1</x:v>
      </x:c>
      <x:c r="C69" s="15" t="str">
        <x:v>2026-08-14</x:v>
      </x:c>
      <x:c r="D69" s="15" t="str">
        <x:v>Google Search</x:v>
      </x:c>
      <x:c r="E69" s="15" t="str">
        <x:v>AU_Search_Rates</x:v>
      </x:c>
      <x:c r="F69" s="15" t="str">
        <x:v>nonbrand</x:v>
      </x:c>
      <x:c r="G69" s="15" t="str">
        <x:v>click</x:v>
      </x:c>
      <x:c r="H69" s="16" t="b">
        <x:v>1</x:v>
      </x:c>
    </x:row>
    <x:row r="70">
      <x:c r="A70" s="15" t="str">
        <x:v>V-2051</x:v>
      </x:c>
      <x:c r="B70" s="15" t="str">
        <x:v>V-2051-T1</x:v>
      </x:c>
      <x:c r="C70" s="15" t="str">
        <x:v>2026-08-01</x:v>
      </x:c>
      <x:c r="D70" s="15" t="str">
        <x:v>Google PMax</x:v>
      </x:c>
      <x:c r="E70" s="15" t="str">
        <x:v>AU_PMax_QualifiedLead</x:v>
      </x:c>
      <x:c r="F70" s="15" t="str">
        <x:v>na</x:v>
      </x:c>
      <x:c r="G70" s="15" t="str">
        <x:v>click</x:v>
      </x:c>
      <x:c r="H70" s="16" t="b">
        <x:v>1</x:v>
      </x:c>
    </x:row>
    <x:row r="71">
      <x:c r="A71" s="15" t="str">
        <x:v>V-2052</x:v>
      </x:c>
      <x:c r="B71" s="15" t="str">
        <x:v>V-2052-T1</x:v>
      </x:c>
      <x:c r="C71" s="15" t="str">
        <x:v>2026-08-03</x:v>
      </x:c>
      <x:c r="D71" s="15" t="str">
        <x:v>Google PMax</x:v>
      </x:c>
      <x:c r="E71" s="15" t="str">
        <x:v>AU_PMax_QualifiedLead</x:v>
      </x:c>
      <x:c r="F71" s="15" t="str">
        <x:v>na</x:v>
      </x:c>
      <x:c r="G71" s="15" t="str">
        <x:v>click</x:v>
      </x:c>
      <x:c r="H71" s="16" t="b">
        <x:v>1</x:v>
      </x:c>
    </x:row>
    <x:row r="72">
      <x:c r="A72" s="15" t="str">
        <x:v>V-2053</x:v>
      </x:c>
      <x:c r="B72" s="15" t="str">
        <x:v>V-2053-T1</x:v>
      </x:c>
      <x:c r="C72" s="15" t="str">
        <x:v>2026-07-20</x:v>
      </x:c>
      <x:c r="D72" s="15" t="str">
        <x:v>Meta</x:v>
      </x:c>
      <x:c r="E72" s="15" t="str">
        <x:v>AU_Meta_Prospecting</x:v>
      </x:c>
      <x:c r="F72" s="15" t="str">
        <x:v>na</x:v>
      </x:c>
      <x:c r="G72" s="15" t="str">
        <x:v>click</x:v>
      </x:c>
      <x:c r="H72" s="16" t="b">
        <x:v>1</x:v>
      </x:c>
    </x:row>
    <x:row r="73">
      <x:c r="A73" s="15" t="str">
        <x:v>V-2054</x:v>
      </x:c>
      <x:c r="B73" s="15" t="str">
        <x:v>V-2054-T1</x:v>
      </x:c>
      <x:c r="C73" s="15" t="str">
        <x:v>2026-07-25</x:v>
      </x:c>
      <x:c r="D73" s="15" t="str">
        <x:v>Meta</x:v>
      </x:c>
      <x:c r="E73" s="15" t="str">
        <x:v>AU_Meta_Retargeting</x:v>
      </x:c>
      <x:c r="F73" s="15" t="str">
        <x:v>na</x:v>
      </x:c>
      <x:c r="G73" s="15" t="str">
        <x:v>click</x:v>
      </x:c>
      <x:c r="H73" s="16" t="b">
        <x:v>1</x:v>
      </x:c>
    </x:row>
    <x:row r="74">
      <x:c r="A74" s="15" t="str">
        <x:v>V-2055</x:v>
      </x:c>
      <x:c r="B74" s="15" t="str">
        <x:v>V-2055-T1</x:v>
      </x:c>
      <x:c r="C74" s="15" t="str">
        <x:v>2026-07-22</x:v>
      </x:c>
      <x:c r="D74" s="15" t="str">
        <x:v>TikTok</x:v>
      </x:c>
      <x:c r="E74" s="15" t="str">
        <x:v>AU_TikTok_Video</x:v>
      </x:c>
      <x:c r="F74" s="15" t="str">
        <x:v>na</x:v>
      </x:c>
      <x:c r="G74" s="15" t="str">
        <x:v>click</x:v>
      </x:c>
      <x:c r="H74" s="16" t="b">
        <x:v>1</x:v>
      </x:c>
    </x:row>
    <x:row r="75">
      <x:c r="A75" s="15" t="str">
        <x:v>V-2056</x:v>
      </x:c>
      <x:c r="B75" s="15" t="str">
        <x:v>V-2056-T1</x:v>
      </x:c>
      <x:c r="C75" s="15" t="str">
        <x:v>2026-07-12</x:v>
      </x:c>
      <x:c r="D75" s="15" t="str">
        <x:v>Affiliate</x:v>
      </x:c>
      <x:c r="E75" s="15" t="str">
        <x:v>AU_Affiliate_AF17</x:v>
      </x:c>
      <x:c r="F75" s="15" t="str">
        <x:v>na</x:v>
      </x:c>
      <x:c r="G75" s="15" t="str">
        <x:v>click</x:v>
      </x:c>
      <x:c r="H75" s="16" t="b">
        <x:v>1</x:v>
      </x:c>
    </x:row>
    <x:row r="76">
      <x:c r="A76" s="15" t="str">
        <x:v>V-2057</x:v>
      </x:c>
      <x:c r="B76" s="15" t="str">
        <x:v>V-2057-T1</x:v>
      </x:c>
      <x:c r="C76" s="15" t="str">
        <x:v>2026-06-25</x:v>
      </x:c>
      <x:c r="D76" s="15" t="str">
        <x:v>Organic</x:v>
      </x:c>
      <x:c r="E76" s="15" t="str">
        <x:v>AU_Organic</x:v>
      </x:c>
      <x:c r="F76" s="15" t="str">
        <x:v>na</x:v>
      </x:c>
      <x:c r="G76" s="15" t="str">
        <x:v>session</x:v>
      </x:c>
      <x:c r="H76" s="16" t="b">
        <x:v>1</x:v>
      </x:c>
    </x:row>
    <x:row r="77">
      <x:c r="A77" s="15" t="str">
        <x:v>V-2058</x:v>
      </x:c>
      <x:c r="B77" s="15" t="str">
        <x:v>V-2058-T1</x:v>
      </x:c>
      <x:c r="C77" s="15" t="str">
        <x:v>2026-07-30</x:v>
      </x:c>
      <x:c r="D77" s="15" t="str">
        <x:v>Organic</x:v>
      </x:c>
      <x:c r="E77" s="15" t="str">
        <x:v>AU_Organic</x:v>
      </x:c>
      <x:c r="F77" s="15" t="str">
        <x:v>na</x:v>
      </x:c>
      <x:c r="G77" s="15" t="str">
        <x:v>session</x:v>
      </x:c>
      <x:c r="H77" s="16" t="b">
        <x:v>1</x:v>
      </x:c>
    </x:row>
    <x:row r="78">
      <x:c r="A78" s="15" t="str">
        <x:v>V-2059</x:v>
      </x:c>
      <x:c r="B78" s="15" t="str">
        <x:v>V-2059-T1</x:v>
      </x:c>
      <x:c r="C78" s="15" t="str">
        <x:v>2026-07-21</x:v>
      </x:c>
      <x:c r="D78" s="15" t="str">
        <x:v>Direct</x:v>
      </x:c>
      <x:c r="E78" s="15" t="str">
        <x:v>AU_Direct</x:v>
      </x:c>
      <x:c r="F78" s="15" t="str">
        <x:v>na</x:v>
      </x:c>
      <x:c r="G78" s="15" t="str">
        <x:v>session</x:v>
      </x:c>
      <x:c r="H78" s="16" t="b">
        <x:v>1</x:v>
      </x:c>
    </x:row>
    <x:row r="79">
      <x:c r="A79" s="15" t="str">
        <x:v>V-2060</x:v>
      </x:c>
      <x:c r="B79" s="15" t="str">
        <x:v>V-2060-T1</x:v>
      </x:c>
      <x:c r="C79" s="15" t="str">
        <x:v>2026-08-09</x:v>
      </x:c>
      <x:c r="D79" s="15" t="str">
        <x:v>CRM</x:v>
      </x:c>
      <x:c r="E79" s="15" t="str">
        <x:v>AU_CRM_Email_SMS</x:v>
      </x:c>
      <x:c r="F79" s="15" t="str">
        <x:v>na</x:v>
      </x:c>
      <x:c r="G79" s="15" t="str">
        <x:v>session</x:v>
      </x:c>
      <x:c r="H79" s="16" t="b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bda5f1680bce460d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22" hidden="0" customWidth="1"/>
    <x:col min="3" max="3" width="22" hidden="0" customWidth="1"/>
    <x:col min="4" max="4" width="14" hidden="0" customWidth="1"/>
  </x:cols>
  <x:sheetData>
    <x:row r="1">
      <x:c r="A1" s="9" t="str">
        <x:v>recordId</x:v>
      </x:c>
      <x:c r="B1" s="9" t="str">
        <x:v>channel</x:v>
      </x:c>
      <x:c r="C1" s="9" t="str">
        <x:v>campaign</x:v>
      </x:c>
      <x:c r="D1" s="9" t="str">
        <x:v>amount</x:v>
      </x:c>
    </x:row>
    <x:row r="2">
      <x:c r="A2" s="15" t="str">
        <x:v>V-2001</x:v>
      </x:c>
      <x:c r="B2" s="15" t="str">
        <x:v>Google Search</x:v>
      </x:c>
      <x:c r="C2" s="15" t="str">
        <x:v>AU_Search_Brand</x:v>
      </x:c>
      <x:c r="D2" s="18" t="n">
        <x:v>15</x:v>
      </x:c>
    </x:row>
    <x:row r="3">
      <x:c r="A3" s="15" t="str">
        <x:v>V-2001</x:v>
      </x:c>
      <x:c r="B3" s="15" t="str">
        <x:v>Direct</x:v>
      </x:c>
      <x:c r="C3" s="15" t="str">
        <x:v>AU_Direct</x:v>
      </x:c>
      <x:c r="D3" s="18" t="n">
        <x:v>0</x:v>
      </x:c>
    </x:row>
    <x:row r="4">
      <x:c r="A4" s="15" t="str">
        <x:v>V-2002</x:v>
      </x:c>
      <x:c r="B4" s="15" t="str">
        <x:v>Google Search</x:v>
      </x:c>
      <x:c r="C4" s="15" t="str">
        <x:v>AU_Search_NonBrand_HighIntent</x:v>
      </x:c>
      <x:c r="D4" s="18" t="n">
        <x:v>16</x:v>
      </x:c>
    </x:row>
    <x:row r="5">
      <x:c r="A5" s="15" t="str">
        <x:v>V-2002</x:v>
      </x:c>
      <x:c r="B5" s="15" t="str">
        <x:v>CRM</x:v>
      </x:c>
      <x:c r="C5" s="15" t="str">
        <x:v>AU_CRM_Email_SMS</x:v>
      </x:c>
      <x:c r="D5" s="18" t="n">
        <x:v>1.54</x:v>
      </x:c>
    </x:row>
    <x:row r="6">
      <x:c r="A6" s="15" t="str">
        <x:v>V-2003</x:v>
      </x:c>
      <x:c r="B6" s="15" t="str">
        <x:v>Google Search</x:v>
      </x:c>
      <x:c r="C6" s="15" t="str">
        <x:v>AU_Search_Rates</x:v>
      </x:c>
      <x:c r="D6" s="18" t="n">
        <x:v>17</x:v>
      </x:c>
    </x:row>
    <x:row r="7">
      <x:c r="A7" s="15" t="str">
        <x:v>V-2004</x:v>
      </x:c>
      <x:c r="B7" s="15" t="str">
        <x:v>Google Search</x:v>
      </x:c>
      <x:c r="C7" s="15" t="str">
        <x:v>AU_Search_NonBrand_HighIntent</x:v>
      </x:c>
      <x:c r="D7" s="18" t="n">
        <x:v>18</x:v>
      </x:c>
    </x:row>
    <x:row r="8">
      <x:c r="A8" s="15" t="str">
        <x:v>V-2004</x:v>
      </x:c>
      <x:c r="B8" s="15" t="str">
        <x:v>Direct</x:v>
      </x:c>
      <x:c r="C8" s="15" t="str">
        <x:v>AU_Direct</x:v>
      </x:c>
      <x:c r="D8" s="18" t="n">
        <x:v>0</x:v>
      </x:c>
    </x:row>
    <x:row r="9">
      <x:c r="A9" s="15" t="str">
        <x:v>V-2005</x:v>
      </x:c>
      <x:c r="B9" s="15" t="str">
        <x:v>Google Search</x:v>
      </x:c>
      <x:c r="C9" s="15" t="str">
        <x:v>AU_Search_Brand</x:v>
      </x:c>
      <x:c r="D9" s="18" t="n">
        <x:v>19</x:v>
      </x:c>
    </x:row>
    <x:row r="10">
      <x:c r="A10" s="15" t="str">
        <x:v>V-2006</x:v>
      </x:c>
      <x:c r="B10" s="15" t="str">
        <x:v>Google Search</x:v>
      </x:c>
      <x:c r="C10" s="15" t="str">
        <x:v>AU_Search_Rates</x:v>
      </x:c>
      <x:c r="D10" s="18" t="n">
        <x:v>20</x:v>
      </x:c>
    </x:row>
    <x:row r="11">
      <x:c r="A11" s="15" t="str">
        <x:v>V-2007</x:v>
      </x:c>
      <x:c r="B11" s="15" t="str">
        <x:v>Google Search</x:v>
      </x:c>
      <x:c r="C11" s="15" t="str">
        <x:v>AU_Search_NonBrand_HighIntent</x:v>
      </x:c>
      <x:c r="D11" s="18" t="n">
        <x:v>21</x:v>
      </x:c>
    </x:row>
    <x:row r="12">
      <x:c r="A12" s="15" t="str">
        <x:v>V-2008</x:v>
      </x:c>
      <x:c r="B12" s="15" t="str">
        <x:v>Google Search</x:v>
      </x:c>
      <x:c r="C12" s="15" t="str">
        <x:v>AU_Search_Brand</x:v>
      </x:c>
      <x:c r="D12" s="18" t="n">
        <x:v>22</x:v>
      </x:c>
    </x:row>
    <x:row r="13">
      <x:c r="A13" s="15" t="str">
        <x:v>V-2009</x:v>
      </x:c>
      <x:c r="B13" s="15" t="str">
        <x:v>Google PMax</x:v>
      </x:c>
      <x:c r="C13" s="15" t="str">
        <x:v>AU_PMax_QualifiedLead</x:v>
      </x:c>
      <x:c r="D13" s="18" t="n">
        <x:v>44</x:v>
      </x:c>
    </x:row>
    <x:row r="14">
      <x:c r="A14" s="15" t="str">
        <x:v>V-2009</x:v>
      </x:c>
      <x:c r="B14" s="15" t="str">
        <x:v>Google Search</x:v>
      </x:c>
      <x:c r="C14" s="15" t="str">
        <x:v>AU_Search_Brand</x:v>
      </x:c>
      <x:c r="D14" s="18" t="n">
        <x:v>23</x:v>
      </x:c>
    </x:row>
    <x:row r="15">
      <x:c r="A15" s="15" t="str">
        <x:v>V-2009</x:v>
      </x:c>
      <x:c r="B15" s="15" t="str">
        <x:v>Direct</x:v>
      </x:c>
      <x:c r="C15" s="15" t="str">
        <x:v>AU_Direct</x:v>
      </x:c>
      <x:c r="D15" s="18" t="n">
        <x:v>0</x:v>
      </x:c>
    </x:row>
    <x:row r="16">
      <x:c r="A16" s="15" t="str">
        <x:v>V-2010</x:v>
      </x:c>
      <x:c r="B16" s="15" t="str">
        <x:v>Google PMax</x:v>
      </x:c>
      <x:c r="C16" s="15" t="str">
        <x:v>AU_PMax_QualifiedLead</x:v>
      </x:c>
      <x:c r="D16" s="18" t="n">
        <x:v>45</x:v>
      </x:c>
    </x:row>
    <x:row r="17">
      <x:c r="A17" s="15" t="str">
        <x:v>V-2011</x:v>
      </x:c>
      <x:c r="B17" s="15" t="str">
        <x:v>Google PMax</x:v>
      </x:c>
      <x:c r="C17" s="15" t="str">
        <x:v>AU_PMax_QualifiedLead</x:v>
      </x:c>
      <x:c r="D17" s="18" t="n">
        <x:v>46</x:v>
      </x:c>
    </x:row>
    <x:row r="18">
      <x:c r="A18" s="15" t="str">
        <x:v>V-2011</x:v>
      </x:c>
      <x:c r="B18" s="15" t="str">
        <x:v>Google Search</x:v>
      </x:c>
      <x:c r="C18" s="15" t="str">
        <x:v>AU_Search_Brand</x:v>
      </x:c>
      <x:c r="D18" s="18" t="n">
        <x:v>25</x:v>
      </x:c>
    </x:row>
    <x:row r="19">
      <x:c r="A19" s="15" t="str">
        <x:v>V-2012</x:v>
      </x:c>
      <x:c r="B19" s="15" t="str">
        <x:v>Google PMax</x:v>
      </x:c>
      <x:c r="C19" s="15" t="str">
        <x:v>AU_PMax_QualifiedLead</x:v>
      </x:c>
      <x:c r="D19" s="18" t="n">
        <x:v>47</x:v>
      </x:c>
    </x:row>
    <x:row r="20">
      <x:c r="A20" s="15" t="str">
        <x:v>V-2013</x:v>
      </x:c>
      <x:c r="B20" s="15" t="str">
        <x:v>Google PMax</x:v>
      </x:c>
      <x:c r="C20" s="15" t="str">
        <x:v>AU_PMax_QualifiedLead</x:v>
      </x:c>
      <x:c r="D20" s="18" t="n">
        <x:v>15</x:v>
      </x:c>
    </x:row>
    <x:row r="21">
      <x:c r="A21" s="15" t="str">
        <x:v>V-2013</x:v>
      </x:c>
      <x:c r="B21" s="15" t="str">
        <x:v>Google Search</x:v>
      </x:c>
      <x:c r="C21" s="15" t="str">
        <x:v>AU_Search_Brand</x:v>
      </x:c>
      <x:c r="D21" s="18" t="n">
        <x:v>27</x:v>
      </x:c>
    </x:row>
    <x:row r="22">
      <x:c r="A22" s="15" t="str">
        <x:v>V-2014</x:v>
      </x:c>
      <x:c r="B22" s="15" t="str">
        <x:v>Google PMax</x:v>
      </x:c>
      <x:c r="C22" s="15" t="str">
        <x:v>AU_PMax_QualifiedLead</x:v>
      </x:c>
      <x:c r="D22" s="18" t="n">
        <x:v>16</x:v>
      </x:c>
    </x:row>
    <x:row r="23">
      <x:c r="A23" s="15" t="str">
        <x:v>V-2015</x:v>
      </x:c>
      <x:c r="B23" s="15" t="str">
        <x:v>Meta</x:v>
      </x:c>
      <x:c r="C23" s="15" t="str">
        <x:v>AU_Meta_Prospecting</x:v>
      </x:c>
      <x:c r="D23" s="18" t="n">
        <x:v>17</x:v>
      </x:c>
    </x:row>
    <x:row r="24">
      <x:c r="A24" s="15" t="str">
        <x:v>V-2015</x:v>
      </x:c>
      <x:c r="B24" s="15" t="str">
        <x:v>Google Search</x:v>
      </x:c>
      <x:c r="C24" s="15" t="str">
        <x:v>AU_Search_Brand</x:v>
      </x:c>
      <x:c r="D24" s="18" t="n">
        <x:v>10</x:v>
      </x:c>
    </x:row>
    <x:row r="25">
      <x:c r="A25" s="15" t="str">
        <x:v>V-2015</x:v>
      </x:c>
      <x:c r="B25" s="15" t="str">
        <x:v>Direct</x:v>
      </x:c>
      <x:c r="C25" s="15" t="str">
        <x:v>AU_Direct</x:v>
      </x:c>
      <x:c r="D25" s="18" t="n">
        <x:v>0</x:v>
      </x:c>
    </x:row>
    <x:row r="26">
      <x:c r="A26" s="15" t="str">
        <x:v>V-2016</x:v>
      </x:c>
      <x:c r="B26" s="15" t="str">
        <x:v>Meta</x:v>
      </x:c>
      <x:c r="C26" s="15" t="str">
        <x:v>AU_Meta_Retargeting</x:v>
      </x:c>
      <x:c r="D26" s="18" t="n">
        <x:v>18</x:v>
      </x:c>
    </x:row>
    <x:row r="27">
      <x:c r="A27" s="15" t="str">
        <x:v>V-2016</x:v>
      </x:c>
      <x:c r="B27" s="15" t="str">
        <x:v>CRM</x:v>
      </x:c>
      <x:c r="C27" s="15" t="str">
        <x:v>AU_CRM_Email_SMS</x:v>
      </x:c>
      <x:c r="D27" s="18" t="n">
        <x:v>2.62</x:v>
      </x:c>
    </x:row>
    <x:row r="28">
      <x:c r="A28" s="15" t="str">
        <x:v>V-2017</x:v>
      </x:c>
      <x:c r="B28" s="15" t="str">
        <x:v>Meta</x:v>
      </x:c>
      <x:c r="C28" s="15" t="str">
        <x:v>AU_Meta_Prospecting</x:v>
      </x:c>
      <x:c r="D28" s="18" t="n">
        <x:v>19</x:v>
      </x:c>
    </x:row>
    <x:row r="29">
      <x:c r="A29" s="15" t="str">
        <x:v>V-2017</x:v>
      </x:c>
      <x:c r="B29" s="15" t="str">
        <x:v>Google Search</x:v>
      </x:c>
      <x:c r="C29" s="15" t="str">
        <x:v>AU_Search_Brand</x:v>
      </x:c>
      <x:c r="D29" s="18" t="n">
        <x:v>12</x:v>
      </x:c>
    </x:row>
    <x:row r="30">
      <x:c r="A30" s="15" t="str">
        <x:v>V-2018</x:v>
      </x:c>
      <x:c r="B30" s="15" t="str">
        <x:v>Meta</x:v>
      </x:c>
      <x:c r="C30" s="15" t="str">
        <x:v>AU_Meta_Retargeting</x:v>
      </x:c>
      <x:c r="D30" s="18" t="n">
        <x:v>20</x:v>
      </x:c>
    </x:row>
    <x:row r="31">
      <x:c r="A31" s="15" t="str">
        <x:v>V-2019</x:v>
      </x:c>
      <x:c r="B31" s="15" t="str">
        <x:v>Meta</x:v>
      </x:c>
      <x:c r="C31" s="15" t="str">
        <x:v>AU_Meta_Prospecting</x:v>
      </x:c>
      <x:c r="D31" s="18" t="n">
        <x:v>21</x:v>
      </x:c>
    </x:row>
    <x:row r="32">
      <x:c r="A32" s="15" t="str">
        <x:v>V-2020</x:v>
      </x:c>
      <x:c r="B32" s="15" t="str">
        <x:v>Meta</x:v>
      </x:c>
      <x:c r="C32" s="15" t="str">
        <x:v>AU_Meta_Retargeting</x:v>
      </x:c>
      <x:c r="D32" s="18" t="n">
        <x:v>22</x:v>
      </x:c>
    </x:row>
    <x:row r="33">
      <x:c r="A33" s="15" t="str">
        <x:v>V-2021</x:v>
      </x:c>
      <x:c r="B33" s="15" t="str">
        <x:v>Meta</x:v>
      </x:c>
      <x:c r="C33" s="15" t="str">
        <x:v>AU_Meta_Prospecting</x:v>
      </x:c>
      <x:c r="D33" s="18" t="n">
        <x:v>23</x:v>
      </x:c>
    </x:row>
    <x:row r="34">
      <x:c r="A34" s="15" t="str">
        <x:v>V-2022</x:v>
      </x:c>
      <x:c r="B34" s="15" t="str">
        <x:v>TikTok</x:v>
      </x:c>
      <x:c r="C34" s="15" t="str">
        <x:v>AU_TikTok_Video</x:v>
      </x:c>
      <x:c r="D34" s="18" t="n">
        <x:v>24</x:v>
      </x:c>
    </x:row>
    <x:row r="35">
      <x:c r="A35" s="15" t="str">
        <x:v>V-2023</x:v>
      </x:c>
      <x:c r="B35" s="15" t="str">
        <x:v>TikTok</x:v>
      </x:c>
      <x:c r="C35" s="15" t="str">
        <x:v>AU_TikTok_Video</x:v>
      </x:c>
      <x:c r="D35" s="18" t="n">
        <x:v>25</x:v>
      </x:c>
    </x:row>
    <x:row r="36">
      <x:c r="A36" s="15" t="str">
        <x:v>V-2024</x:v>
      </x:c>
      <x:c r="B36" s="15" t="str">
        <x:v>TikTok</x:v>
      </x:c>
      <x:c r="C36" s="15" t="str">
        <x:v>AU_TikTok_Video</x:v>
      </x:c>
      <x:c r="D36" s="18" t="n">
        <x:v>26</x:v>
      </x:c>
    </x:row>
    <x:row r="37">
      <x:c r="A37" s="15" t="str">
        <x:v>V-2024</x:v>
      </x:c>
      <x:c r="B37" s="15" t="str">
        <x:v>Google Search</x:v>
      </x:c>
      <x:c r="C37" s="15" t="str">
        <x:v>AU_Search_Brand</x:v>
      </x:c>
      <x:c r="D37" s="18" t="n">
        <x:v>19</x:v>
      </x:c>
    </x:row>
    <x:row r="38">
      <x:c r="A38" s="15" t="str">
        <x:v>V-2025</x:v>
      </x:c>
      <x:c r="B38" s="15" t="str">
        <x:v>TikTok</x:v>
      </x:c>
      <x:c r="C38" s="15" t="str">
        <x:v>AU_TikTok_Video</x:v>
      </x:c>
      <x:c r="D38" s="18" t="n">
        <x:v>27</x:v>
      </x:c>
    </x:row>
    <x:row r="39">
      <x:c r="A39" s="15" t="str">
        <x:v>V-2026</x:v>
      </x:c>
      <x:c r="B39" s="15" t="str">
        <x:v>TikTok</x:v>
      </x:c>
      <x:c r="C39" s="15" t="str">
        <x:v>AU_TikTok_Video</x:v>
      </x:c>
      <x:c r="D39" s="18" t="n">
        <x:v>28</x:v>
      </x:c>
    </x:row>
    <x:row r="40">
      <x:c r="A40" s="15" t="str">
        <x:v>V-2027</x:v>
      </x:c>
      <x:c r="B40" s="15" t="str">
        <x:v>Affiliate</x:v>
      </x:c>
      <x:c r="C40" s="15" t="str">
        <x:v>AU_Affiliate_AF17</x:v>
      </x:c>
      <x:c r="D40" s="18" t="n">
        <x:v>21</x:v>
      </x:c>
    </x:row>
    <x:row r="41">
      <x:c r="A41" s="15" t="str">
        <x:v>V-2027</x:v>
      </x:c>
      <x:c r="B41" s="15" t="str">
        <x:v>Google Search</x:v>
      </x:c>
      <x:c r="C41" s="15" t="str">
        <x:v>AU_Search_NonBrand_HighIntent</x:v>
      </x:c>
      <x:c r="D41" s="18" t="n">
        <x:v>22</x:v>
      </x:c>
    </x:row>
    <x:row r="42">
      <x:c r="A42" s="15" t="str">
        <x:v>V-2028</x:v>
      </x:c>
      <x:c r="B42" s="15" t="str">
        <x:v>Affiliate</x:v>
      </x:c>
      <x:c r="C42" s="15" t="str">
        <x:v>AU_Affiliate_AF17</x:v>
      </x:c>
      <x:c r="D42" s="18" t="n">
        <x:v>22</x:v>
      </x:c>
    </x:row>
    <x:row r="43">
      <x:c r="A43" s="15" t="str">
        <x:v>V-2029</x:v>
      </x:c>
      <x:c r="B43" s="15" t="str">
        <x:v>Affiliate</x:v>
      </x:c>
      <x:c r="C43" s="15" t="str">
        <x:v>AU_Affiliate_AF17</x:v>
      </x:c>
      <x:c r="D43" s="18" t="n">
        <x:v>23</x:v>
      </x:c>
    </x:row>
    <x:row r="44">
      <x:c r="A44" s="15" t="str">
        <x:v>V-2030</x:v>
      </x:c>
      <x:c r="B44" s="15" t="str">
        <x:v>Affiliate</x:v>
      </x:c>
      <x:c r="C44" s="15" t="str">
        <x:v>AU_Affiliate_AF17</x:v>
      </x:c>
      <x:c r="D44" s="18" t="n">
        <x:v>24</x:v>
      </x:c>
    </x:row>
    <x:row r="45">
      <x:c r="A45" s="15" t="str">
        <x:v>V-2031</x:v>
      </x:c>
      <x:c r="B45" s="15" t="str">
        <x:v>CRM</x:v>
      </x:c>
      <x:c r="C45" s="15" t="str">
        <x:v>AU_CRM_Email_SMS</x:v>
      </x:c>
      <x:c r="D45" s="18" t="n">
        <x:v>1.27</x:v>
      </x:c>
    </x:row>
    <x:row r="46">
      <x:c r="A46" s="15" t="str">
        <x:v>V-2032</x:v>
      </x:c>
      <x:c r="B46" s="15" t="str">
        <x:v>CRM</x:v>
      </x:c>
      <x:c r="C46" s="15" t="str">
        <x:v>AU_CRM_Email_SMS</x:v>
      </x:c>
      <x:c r="D46" s="18" t="n">
        <x:v>1.54</x:v>
      </x:c>
    </x:row>
    <x:row r="47">
      <x:c r="A47" s="15" t="str">
        <x:v>V-2033</x:v>
      </x:c>
      <x:c r="B47" s="15" t="str">
        <x:v>CRM</x:v>
      </x:c>
      <x:c r="C47" s="15" t="str">
        <x:v>AU_CRM_Email_SMS</x:v>
      </x:c>
      <x:c r="D47" s="18" t="n">
        <x:v>1.81</x:v>
      </x:c>
    </x:row>
    <x:row r="48">
      <x:c r="A48" s="15" t="str">
        <x:v>V-2034</x:v>
      </x:c>
      <x:c r="B48" s="15" t="str">
        <x:v>CRM</x:v>
      </x:c>
      <x:c r="C48" s="15" t="str">
        <x:v>AU_CRM_Email_SMS</x:v>
      </x:c>
      <x:c r="D48" s="18" t="n">
        <x:v>2.08</x:v>
      </x:c>
    </x:row>
    <x:row r="49">
      <x:c r="A49" s="15" t="str">
        <x:v>V-2035</x:v>
      </x:c>
      <x:c r="B49" s="15" t="str">
        <x:v>CRM</x:v>
      </x:c>
      <x:c r="C49" s="15" t="str">
        <x:v>AU_CRM_Email_SMS</x:v>
      </x:c>
      <x:c r="D49" s="18" t="n">
        <x:v>2.35</x:v>
      </x:c>
    </x:row>
    <x:row r="50">
      <x:c r="A50" s="15" t="str">
        <x:v>V-2036</x:v>
      </x:c>
      <x:c r="B50" s="15" t="str">
        <x:v>Organic</x:v>
      </x:c>
      <x:c r="C50" s="15" t="str">
        <x:v>AU_Organic</x:v>
      </x:c>
      <x:c r="D50" s="18" t="n">
        <x:v>0</x:v>
      </x:c>
    </x:row>
    <x:row r="51">
      <x:c r="A51" s="15" t="str">
        <x:v>V-2036</x:v>
      </x:c>
      <x:c r="B51" s="15" t="str">
        <x:v>Direct</x:v>
      </x:c>
      <x:c r="C51" s="15" t="str">
        <x:v>AU_Direct</x:v>
      </x:c>
      <x:c r="D51" s="18" t="n">
        <x:v>0</x:v>
      </x:c>
    </x:row>
    <x:row r="52">
      <x:c r="A52" s="15" t="str">
        <x:v>V-2037</x:v>
      </x:c>
      <x:c r="B52" s="15" t="str">
        <x:v>Organic</x:v>
      </x:c>
      <x:c r="C52" s="15" t="str">
        <x:v>AU_Organic</x:v>
      </x:c>
      <x:c r="D52" s="18" t="n">
        <x:v>0</x:v>
      </x:c>
    </x:row>
    <x:row r="53">
      <x:c r="A53" s="15" t="str">
        <x:v>V-2037</x:v>
      </x:c>
      <x:c r="B53" s="15" t="str">
        <x:v>Google Search</x:v>
      </x:c>
      <x:c r="C53" s="15" t="str">
        <x:v>AU_Search_NonBrand_HighIntent</x:v>
      </x:c>
      <x:c r="D53" s="18" t="n">
        <x:v>13</x:v>
      </x:c>
    </x:row>
    <x:row r="54">
      <x:c r="A54" s="15" t="str">
        <x:v>V-2038</x:v>
      </x:c>
      <x:c r="B54" s="15" t="str">
        <x:v>Organic</x:v>
      </x:c>
      <x:c r="C54" s="15" t="str">
        <x:v>AU_Organic</x:v>
      </x:c>
      <x:c r="D54" s="18" t="n">
        <x:v>0</x:v>
      </x:c>
    </x:row>
    <x:row r="55">
      <x:c r="A55" s="15" t="str">
        <x:v>V-2038</x:v>
      </x:c>
      <x:c r="B55" s="15" t="str">
        <x:v>Direct</x:v>
      </x:c>
      <x:c r="C55" s="15" t="str">
        <x:v>AU_Direct</x:v>
      </x:c>
      <x:c r="D55" s="18" t="n">
        <x:v>0</x:v>
      </x:c>
    </x:row>
    <x:row r="56">
      <x:c r="A56" s="15" t="str">
        <x:v>V-2039</x:v>
      </x:c>
      <x:c r="B56" s="15" t="str">
        <x:v>Organic</x:v>
      </x:c>
      <x:c r="C56" s="15" t="str">
        <x:v>AU_Organic</x:v>
      </x:c>
      <x:c r="D56" s="18" t="n">
        <x:v>0</x:v>
      </x:c>
    </x:row>
    <x:row r="57">
      <x:c r="A57" s="15" t="str">
        <x:v>V-2040</x:v>
      </x:c>
      <x:c r="B57" s="15" t="str">
        <x:v>Organic</x:v>
      </x:c>
      <x:c r="C57" s="15" t="str">
        <x:v>AU_Organic</x:v>
      </x:c>
      <x:c r="D57" s="18" t="n">
        <x:v>0</x:v>
      </x:c>
    </x:row>
    <x:row r="58">
      <x:c r="A58" s="15" t="str">
        <x:v>V-2041</x:v>
      </x:c>
      <x:c r="B58" s="15" t="str">
        <x:v>Organic</x:v>
      </x:c>
      <x:c r="C58" s="15" t="str">
        <x:v>AU_Organic</x:v>
      </x:c>
      <x:c r="D58" s="18" t="n">
        <x:v>0</x:v>
      </x:c>
    </x:row>
    <x:row r="59">
      <x:c r="A59" s="15" t="str">
        <x:v>V-2042</x:v>
      </x:c>
      <x:c r="B59" s="15" t="str">
        <x:v>Organic</x:v>
      </x:c>
      <x:c r="C59" s="15" t="str">
        <x:v>AU_Organic</x:v>
      </x:c>
      <x:c r="D59" s="18" t="n">
        <x:v>0</x:v>
      </x:c>
    </x:row>
    <x:row r="60">
      <x:c r="A60" s="15" t="str">
        <x:v>V-2043</x:v>
      </x:c>
      <x:c r="B60" s="15" t="str">
        <x:v>Organic</x:v>
      </x:c>
      <x:c r="C60" s="15" t="str">
        <x:v>AU_Organic</x:v>
      </x:c>
      <x:c r="D60" s="18" t="n">
        <x:v>0</x:v>
      </x:c>
    </x:row>
    <x:row r="61">
      <x:c r="A61" s="15" t="str">
        <x:v>V-2044</x:v>
      </x:c>
      <x:c r="B61" s="15" t="str">
        <x:v>Direct</x:v>
      </x:c>
      <x:c r="C61" s="15" t="str">
        <x:v>AU_Direct</x:v>
      </x:c>
      <x:c r="D61" s="18" t="n">
        <x:v>0</x:v>
      </x:c>
    </x:row>
    <x:row r="62">
      <x:c r="A62" s="15" t="str">
        <x:v>V-2045</x:v>
      </x:c>
      <x:c r="B62" s="15" t="str">
        <x:v>Direct</x:v>
      </x:c>
      <x:c r="C62" s="15" t="str">
        <x:v>AU_Direct</x:v>
      </x:c>
      <x:c r="D62" s="18" t="n">
        <x:v>0</x:v>
      </x:c>
    </x:row>
    <x:row r="63">
      <x:c r="A63" s="15" t="str">
        <x:v>V-2046</x:v>
      </x:c>
      <x:c r="B63" s="15" t="str">
        <x:v>Direct</x:v>
      </x:c>
      <x:c r="C63" s="15" t="str">
        <x:v>AU_Direct</x:v>
      </x:c>
      <x:c r="D63" s="18" t="n">
        <x:v>0</x:v>
      </x:c>
    </x:row>
    <x:row r="64">
      <x:c r="A64" s="15" t="str">
        <x:v>V-2047</x:v>
      </x:c>
      <x:c r="B64" s="15" t="str">
        <x:v>Direct</x:v>
      </x:c>
      <x:c r="C64" s="15" t="str">
        <x:v>AU_Direct</x:v>
      </x:c>
      <x:c r="D64" s="18" t="n">
        <x:v>0</x:v>
      </x:c>
    </x:row>
    <x:row r="65">
      <x:c r="A65" s="15" t="str">
        <x:v>V-2048</x:v>
      </x:c>
      <x:c r="B65" s="15" t="str">
        <x:v>Direct</x:v>
      </x:c>
      <x:c r="C65" s="15" t="str">
        <x:v>AU_Direct</x:v>
      </x:c>
      <x:c r="D65" s="18" t="n">
        <x:v>0</x:v>
      </x:c>
    </x:row>
    <x:row r="66">
      <x:c r="A66" s="15" t="str">
        <x:v>V-2049</x:v>
      </x:c>
      <x:c r="B66" s="15" t="str">
        <x:v>Google Search</x:v>
      </x:c>
      <x:c r="C66" s="15" t="str">
        <x:v>AU_Search_NonBrand_HighIntent</x:v>
      </x:c>
      <x:c r="D66" s="18" t="n">
        <x:v>25</x:v>
      </x:c>
    </x:row>
    <x:row r="67">
      <x:c r="A67" s="15" t="str">
        <x:v>V-2050</x:v>
      </x:c>
      <x:c r="B67" s="15" t="str">
        <x:v>Google Search</x:v>
      </x:c>
      <x:c r="C67" s="15" t="str">
        <x:v>AU_Search_Rates</x:v>
      </x:c>
      <x:c r="D67" s="18" t="n">
        <x:v>26</x:v>
      </x:c>
    </x:row>
    <x:row r="68">
      <x:c r="A68" s="15" t="str">
        <x:v>V-2051</x:v>
      </x:c>
      <x:c r="B68" s="15" t="str">
        <x:v>Google PMax</x:v>
      </x:c>
      <x:c r="C68" s="15" t="str">
        <x:v>AU_PMax_QualifiedLead</x:v>
      </x:c>
      <x:c r="D68" s="18" t="n">
        <x:v>20</x:v>
      </x:c>
    </x:row>
    <x:row r="69">
      <x:c r="A69" s="15" t="str">
        <x:v>V-2052</x:v>
      </x:c>
      <x:c r="B69" s="15" t="str">
        <x:v>Google PMax</x:v>
      </x:c>
      <x:c r="C69" s="15" t="str">
        <x:v>AU_PMax_QualifiedLead</x:v>
      </x:c>
      <x:c r="D69" s="18" t="n">
        <x:v>21</x:v>
      </x:c>
    </x:row>
    <x:row r="70">
      <x:c r="A70" s="15" t="str">
        <x:v>V-2053</x:v>
      </x:c>
      <x:c r="B70" s="15" t="str">
        <x:v>Meta</x:v>
      </x:c>
      <x:c r="C70" s="15" t="str">
        <x:v>AU_Meta_Prospecting</x:v>
      </x:c>
      <x:c r="D70" s="18" t="n">
        <x:v>22</x:v>
      </x:c>
    </x:row>
    <x:row r="71">
      <x:c r="A71" s="15" t="str">
        <x:v>V-2054</x:v>
      </x:c>
      <x:c r="B71" s="15" t="str">
        <x:v>Meta</x:v>
      </x:c>
      <x:c r="C71" s="15" t="str">
        <x:v>AU_Meta_Retargeting</x:v>
      </x:c>
      <x:c r="D71" s="18" t="n">
        <x:v>23</x:v>
      </x:c>
    </x:row>
    <x:row r="72">
      <x:c r="A72" s="15" t="str">
        <x:v>V-2055</x:v>
      </x:c>
      <x:c r="B72" s="15" t="str">
        <x:v>TikTok</x:v>
      </x:c>
      <x:c r="C72" s="15" t="str">
        <x:v>AU_TikTok_Video</x:v>
      </x:c>
      <x:c r="D72" s="18" t="n">
        <x:v>24</x:v>
      </x:c>
    </x:row>
    <x:row r="73">
      <x:c r="A73" s="15" t="str">
        <x:v>V-2056</x:v>
      </x:c>
      <x:c r="B73" s="15" t="str">
        <x:v>Affiliate</x:v>
      </x:c>
      <x:c r="C73" s="15" t="str">
        <x:v>AU_Affiliate_AF17</x:v>
      </x:c>
      <x:c r="D73" s="18" t="n">
        <x:v>29</x:v>
      </x:c>
    </x:row>
    <x:row r="74">
      <x:c r="A74" s="15" t="str">
        <x:v>V-2057</x:v>
      </x:c>
      <x:c r="B74" s="15" t="str">
        <x:v>Organic</x:v>
      </x:c>
      <x:c r="C74" s="15" t="str">
        <x:v>AU_Organic</x:v>
      </x:c>
      <x:c r="D74" s="18" t="n">
        <x:v>0</x:v>
      </x:c>
    </x:row>
    <x:row r="75">
      <x:c r="A75" s="15" t="str">
        <x:v>V-2058</x:v>
      </x:c>
      <x:c r="B75" s="15" t="str">
        <x:v>Organic</x:v>
      </x:c>
      <x:c r="C75" s="15" t="str">
        <x:v>AU_Organic</x:v>
      </x:c>
      <x:c r="D75" s="18" t="n">
        <x:v>0</x:v>
      </x:c>
    </x:row>
    <x:row r="76">
      <x:c r="A76" s="15" t="str">
        <x:v>V-2059</x:v>
      </x:c>
      <x:c r="B76" s="15" t="str">
        <x:v>Direct</x:v>
      </x:c>
      <x:c r="C76" s="15" t="str">
        <x:v>AU_Direct</x:v>
      </x:c>
      <x:c r="D76" s="18" t="n">
        <x:v>0</x:v>
      </x:c>
    </x:row>
    <x:row r="77">
      <x:c r="A77" s="15" t="str">
        <x:v>V-2060</x:v>
      </x:c>
      <x:c r="B77" s="15" t="str">
        <x:v>CRM</x:v>
      </x:c>
      <x:c r="C77" s="15" t="str">
        <x:v>AU_CRM_Email_SMS</x:v>
      </x:c>
      <x:c r="D77" s="18" t="n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0eb5923b12854b90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22" hidden="0" customWidth="1"/>
    <x:col min="3" max="3" width="22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22" hidden="0" customWidth="1"/>
    <x:col min="20" max="20" width="22" hidden="0" customWidth="1"/>
  </x:cols>
  <x:sheetData>
    <x:row r="1">
      <x:c r="A1" s="9" t="str">
        <x:v>recordId</x:v>
      </x:c>
      <x:c r="B1" s="9" t="str">
        <x:v>businessKey</x:v>
      </x:c>
      <x:c r="C1" s="9" t="str">
        <x:v>eventId</x:v>
      </x:c>
      <x:c r="D1" s="9" t="str">
        <x:v>event</x:v>
      </x:c>
      <x:c r="E1" s="9" t="str">
        <x:v>day</x:v>
      </x:c>
      <x:c r="F1" s="9" t="str">
        <x:v>eligible</x:v>
      </x:c>
      <x:c r="G1" s="9" t="str">
        <x:v>matchable</x:v>
      </x:c>
      <x:c r="H1" s="9" t="str">
        <x:v>queued</x:v>
      </x:c>
      <x:c r="I1" s="9" t="str">
        <x:v>sent</x:v>
      </x:c>
      <x:c r="J1" s="9" t="str">
        <x:v>accepted</x:v>
      </x:c>
      <x:c r="K1" s="9" t="str">
        <x:v>processed</x:v>
      </x:c>
      <x:c r="L1" s="9" t="str">
        <x:v>reported</x:v>
      </x:c>
      <x:c r="M1" s="9" t="str">
        <x:v>rawCount</x:v>
      </x:c>
      <x:c r="N1" s="9" t="str">
        <x:v>mmp</x:v>
      </x:c>
      <x:c r="O1" s="9" t="str">
        <x:v>latency</x:v>
      </x:c>
      <x:c r="P1" s="9" t="str">
        <x:v>amountOk</x:v>
      </x:c>
      <x:c r="Q1" s="9" t="str">
        <x:v>statusOk</x:v>
      </x:c>
      <x:c r="R1" s="9" t="str">
        <x:v>timeOk</x:v>
      </x:c>
      <x:c r="S1" s="9" t="str">
        <x:v>eventTime</x:v>
      </x:c>
      <x:c r="T1" s="9" t="str">
        <x:v>firstSentTime</x:v>
      </x:c>
    </x:row>
    <x:row r="2">
      <x:c r="A2" s="15" t="str">
        <x:v>V-2001</x:v>
      </x:c>
      <x:c r="B2" s="15" t="str">
        <x:v>APP-2001:submitted</x:v>
      </x:c>
      <x:c r="C2" s="15" t="str">
        <x:v>EV-2001-submitted</x:v>
      </x:c>
      <x:c r="D2" s="15" t="str">
        <x:v>submitted</x:v>
      </x:c>
      <x:c r="E2" s="15" t="str">
        <x:v>2026-05-02</x:v>
      </x:c>
      <x:c r="F2" s="16" t="b">
        <x:v>1</x:v>
      </x:c>
      <x:c r="G2" s="16" t="b">
        <x:v>1</x:v>
      </x:c>
      <x:c r="H2" s="16" t="b">
        <x:v>1</x:v>
      </x:c>
      <x:c r="I2" s="16" t="b">
        <x:v>1</x:v>
      </x:c>
      <x:c r="J2" s="16" t="b">
        <x:v>1</x:v>
      </x:c>
      <x:c r="K2" s="16" t="b">
        <x:v>1</x:v>
      </x:c>
      <x:c r="L2" s="16" t="b">
        <x:v>1</x:v>
      </x:c>
      <x:c r="M2" s="15" t="n">
        <x:v>1</x:v>
      </x:c>
      <x:c r="N2" s="16" t="b">
        <x:v>1</x:v>
      </x:c>
      <x:c r="O2" s="15" t="n">
        <x:v>8</x:v>
      </x:c>
      <x:c r="P2" s="16" t="b">
        <x:v>1</x:v>
      </x:c>
      <x:c r="Q2" s="16" t="b">
        <x:v>1</x:v>
      </x:c>
      <x:c r="R2" s="16" t="b">
        <x:v>1</x:v>
      </x:c>
      <x:c r="S2" s="15" t="str">
        <x:v>2026-05-02 18:21</x:v>
      </x:c>
      <x:c r="T2" s="15" t="str">
        <x:v>2026-05-02 18:29</x:v>
      </x:c>
    </x:row>
    <x:row r="3">
      <x:c r="A3" s="15" t="str">
        <x:v>V-2001</x:v>
      </x:c>
      <x:c r="B3" s="15" t="str">
        <x:v>APP-2001:qualified</x:v>
      </x:c>
      <x:c r="C3" s="15" t="str">
        <x:v>EV-2001-qualified</x:v>
      </x:c>
      <x:c r="D3" s="15" t="str">
        <x:v>qualified</x:v>
      </x:c>
      <x:c r="E3" s="15" t="str">
        <x:v>2026-05-03</x:v>
      </x:c>
      <x:c r="F3" s="16" t="b">
        <x:v>1</x:v>
      </x:c>
      <x:c r="G3" s="16" t="b">
        <x:v>1</x:v>
      </x:c>
      <x:c r="H3" s="16" t="b">
        <x:v>1</x:v>
      </x:c>
      <x:c r="I3" s="16" t="b">
        <x:v>1</x:v>
      </x:c>
      <x:c r="J3" s="16" t="b">
        <x:v>1</x:v>
      </x:c>
      <x:c r="K3" s="16" t="b">
        <x:v>1</x:v>
      </x:c>
      <x:c r="L3" s="16" t="b">
        <x:v>1</x:v>
      </x:c>
      <x:c r="M3" s="15" t="n">
        <x:v>1</x:v>
      </x:c>
      <x:c r="N3" s="16" t="b">
        <x:v>1</x:v>
      </x:c>
      <x:c r="O3" s="15" t="n">
        <x:v>9</x:v>
      </x:c>
      <x:c r="P3" s="16" t="b">
        <x:v>1</x:v>
      </x:c>
      <x:c r="Q3" s="16" t="b">
        <x:v>1</x:v>
      </x:c>
      <x:c r="R3" s="16" t="b">
        <x:v>1</x:v>
      </x:c>
      <x:c r="S3" s="15" t="str">
        <x:v>2026-05-03 18:21</x:v>
      </x:c>
      <x:c r="T3" s="15" t="str">
        <x:v>2026-05-03 18:30</x:v>
      </x:c>
    </x:row>
    <x:row r="4">
      <x:c r="A4" s="15" t="str">
        <x:v>V-2001</x:v>
      </x:c>
      <x:c r="B4" s="15" t="str">
        <x:v>APP-2001:approved</x:v>
      </x:c>
      <x:c r="C4" s="15" t="str">
        <x:v>EV-2001-approved</x:v>
      </x:c>
      <x:c r="D4" s="15" t="str">
        <x:v>approved</x:v>
      </x:c>
      <x:c r="E4" s="15" t="str">
        <x:v>2026-05-04</x:v>
      </x:c>
      <x:c r="F4" s="16" t="b">
        <x:v>1</x:v>
      </x:c>
      <x:c r="G4" s="16" t="b">
        <x:v>1</x:v>
      </x:c>
      <x:c r="H4" s="16" t="b">
        <x:v>1</x:v>
      </x:c>
      <x:c r="I4" s="16" t="b">
        <x:v>1</x:v>
      </x:c>
      <x:c r="J4" s="16" t="b">
        <x:v>1</x:v>
      </x:c>
      <x:c r="K4" s="16" t="b">
        <x:v>1</x:v>
      </x:c>
      <x:c r="L4" s="16" t="b">
        <x:v>1</x:v>
      </x:c>
      <x:c r="M4" s="15" t="n">
        <x:v>1</x:v>
      </x:c>
      <x:c r="N4" s="16" t="b">
        <x:v>1</x:v>
      </x:c>
      <x:c r="O4" s="15" t="n">
        <x:v>11</x:v>
      </x:c>
      <x:c r="P4" s="16" t="b">
        <x:v>1</x:v>
      </x:c>
      <x:c r="Q4" s="16" t="b">
        <x:v>1</x:v>
      </x:c>
      <x:c r="R4" s="16" t="b">
        <x:v>1</x:v>
      </x:c>
      <x:c r="S4" s="15" t="str">
        <x:v>2026-05-04 18:21</x:v>
      </x:c>
      <x:c r="T4" s="15" t="str">
        <x:v>2026-05-04 18:32</x:v>
      </x:c>
    </x:row>
    <x:row r="5">
      <x:c r="A5" s="15" t="str">
        <x:v>V-2001</x:v>
      </x:c>
      <x:c r="B5" s="15" t="str">
        <x:v>LN-2001:funded</x:v>
      </x:c>
      <x:c r="C5" s="15" t="str">
        <x:v>EV-2001-funded</x:v>
      </x:c>
      <x:c r="D5" s="15" t="str">
        <x:v>funded</x:v>
      </x:c>
      <x:c r="E5" s="15" t="str">
        <x:v>2026-05-05</x:v>
      </x:c>
      <x:c r="F5" s="16" t="b">
        <x:v>1</x:v>
      </x:c>
      <x:c r="G5" s="16" t="b">
        <x:v>1</x:v>
      </x:c>
      <x:c r="H5" s="16" t="b">
        <x:v>1</x:v>
      </x:c>
      <x:c r="I5" s="16" t="b">
        <x:v>1</x:v>
      </x:c>
      <x:c r="J5" s="16" t="b">
        <x:v>1</x:v>
      </x:c>
      <x:c r="K5" s="16" t="b">
        <x:v>1</x:v>
      </x:c>
      <x:c r="L5" s="16" t="b">
        <x:v>1</x:v>
      </x:c>
      <x:c r="M5" s="15" t="n">
        <x:v>1</x:v>
      </x:c>
      <x:c r="N5" s="16" t="b">
        <x:v>1</x:v>
      </x:c>
      <x:c r="O5" s="15" t="n">
        <x:v>37</x:v>
      </x:c>
      <x:c r="P5" s="16" t="b">
        <x:v>1</x:v>
      </x:c>
      <x:c r="Q5" s="16" t="b">
        <x:v>1</x:v>
      </x:c>
      <x:c r="R5" s="16" t="b">
        <x:v>1</x:v>
      </x:c>
      <x:c r="S5" s="15" t="str">
        <x:v>2026-05-05 18:21</x:v>
      </x:c>
      <x:c r="T5" s="15" t="str">
        <x:v>2026-05-05 18:58</x:v>
      </x:c>
    </x:row>
    <x:row r="6">
      <x:c r="A6" s="15" t="str">
        <x:v>V-2002</x:v>
      </x:c>
      <x:c r="B6" s="15" t="str">
        <x:v>APP-2002:submitted</x:v>
      </x:c>
      <x:c r="C6" s="15" t="str">
        <x:v>EV-2002-submitted</x:v>
      </x:c>
      <x:c r="D6" s="15" t="str">
        <x:v>submitted</x:v>
      </x:c>
      <x:c r="E6" s="15" t="str">
        <x:v>2026-05-03</x:v>
      </x:c>
      <x:c r="F6" s="16" t="b">
        <x:v>1</x:v>
      </x:c>
      <x:c r="G6" s="16" t="b">
        <x:v>1</x:v>
      </x:c>
      <x:c r="H6" s="16" t="b">
        <x:v>1</x:v>
      </x:c>
      <x:c r="I6" s="16" t="b">
        <x:v>1</x:v>
      </x:c>
      <x:c r="J6" s="16" t="b">
        <x:v>1</x:v>
      </x:c>
      <x:c r="K6" s="16" t="b">
        <x:v>1</x:v>
      </x:c>
      <x:c r="L6" s="16" t="b">
        <x:v>1</x:v>
      </x:c>
      <x:c r="M6" s="15" t="n">
        <x:v>1</x:v>
      </x:c>
      <x:c r="N6" s="16" t="b">
        <x:v>1</x:v>
      </x:c>
      <x:c r="O6" s="15" t="n">
        <x:v>9</x:v>
      </x:c>
      <x:c r="P6" s="16" t="b">
        <x:v>1</x:v>
      </x:c>
      <x:c r="Q6" s="16" t="b">
        <x:v>1</x:v>
      </x:c>
      <x:c r="R6" s="16" t="b">
        <x:v>1</x:v>
      </x:c>
      <x:c r="S6" s="15" t="str">
        <x:v>2026-05-03 19:22</x:v>
      </x:c>
      <x:c r="T6" s="15" t="str">
        <x:v>2026-05-03 19:31</x:v>
      </x:c>
    </x:row>
    <x:row r="7">
      <x:c r="A7" s="15" t="str">
        <x:v>V-2002</x:v>
      </x:c>
      <x:c r="B7" s="15" t="str">
        <x:v>APP-2002:qualified</x:v>
      </x:c>
      <x:c r="C7" s="15" t="str">
        <x:v>EV-2002-qualified</x:v>
      </x:c>
      <x:c r="D7" s="15" t="str">
        <x:v>qualified</x:v>
      </x:c>
      <x:c r="E7" s="15" t="str">
        <x:v>2026-05-04</x:v>
      </x:c>
      <x:c r="F7" s="16" t="b">
        <x:v>1</x:v>
      </x:c>
      <x:c r="G7" s="16" t="b">
        <x:v>0</x:v>
      </x:c>
      <x:c r="H7" s="16" t="b">
        <x:v>0</x:v>
      </x:c>
      <x:c r="I7" s="16" t="b">
        <x:v>0</x:v>
      </x:c>
      <x:c r="J7" s="16" t="b">
        <x:v>0</x:v>
      </x:c>
      <x:c r="K7" s="16" t="b">
        <x:v>0</x:v>
      </x:c>
      <x:c r="L7" s="16" t="b">
        <x:v>0</x:v>
      </x:c>
      <x:c r="M7" s="15" t="n">
        <x:v>0</x:v>
      </x:c>
      <x:c r="N7" s="16" t="b">
        <x:v>0</x:v>
      </x:c>
      <x:c r="O7" s="15"/>
      <x:c r="P7" s="16" t="b">
        <x:v>1</x:v>
      </x:c>
      <x:c r="Q7" s="16" t="b">
        <x:v>1</x:v>
      </x:c>
      <x:c r="R7" s="16" t="b">
        <x:v>1</x:v>
      </x:c>
      <x:c r="S7" s="15"/>
      <x:c r="T7" s="15"/>
    </x:row>
    <x:row r="8">
      <x:c r="A8" s="15" t="str">
        <x:v>V-2002</x:v>
      </x:c>
      <x:c r="B8" s="15" t="str">
        <x:v>APP-2002:approved</x:v>
      </x:c>
      <x:c r="C8" s="15" t="str">
        <x:v>EV-2002-approved</x:v>
      </x:c>
      <x:c r="D8" s="15" t="str">
        <x:v>approved</x:v>
      </x:c>
      <x:c r="E8" s="15" t="str">
        <x:v>2026-05-05</x:v>
      </x:c>
      <x:c r="F8" s="16" t="b">
        <x:v>1</x:v>
      </x:c>
      <x:c r="G8" s="16" t="b">
        <x:v>1</x:v>
      </x:c>
      <x:c r="H8" s="16" t="b">
        <x:v>1</x:v>
      </x:c>
      <x:c r="I8" s="16" t="b">
        <x:v>1</x:v>
      </x:c>
      <x:c r="J8" s="16" t="b">
        <x:v>1</x:v>
      </x:c>
      <x:c r="K8" s="16" t="b">
        <x:v>1</x:v>
      </x:c>
      <x:c r="L8" s="16" t="b">
        <x:v>1</x:v>
      </x:c>
      <x:c r="M8" s="15" t="n">
        <x:v>1</x:v>
      </x:c>
      <x:c r="N8" s="16" t="b">
        <x:v>1</x:v>
      </x:c>
      <x:c r="O8" s="15" t="n">
        <x:v>12</x:v>
      </x:c>
      <x:c r="P8" s="16" t="b">
        <x:v>1</x:v>
      </x:c>
      <x:c r="Q8" s="16" t="b">
        <x:v>1</x:v>
      </x:c>
      <x:c r="R8" s="16" t="b">
        <x:v>1</x:v>
      </x:c>
      <x:c r="S8" s="15" t="str">
        <x:v>2026-05-05 19:22</x:v>
      </x:c>
      <x:c r="T8" s="15" t="str">
        <x:v>2026-05-05 19:34</x:v>
      </x:c>
    </x:row>
    <x:row r="9">
      <x:c r="A9" s="15" t="str">
        <x:v>V-2002</x:v>
      </x:c>
      <x:c r="B9" s="15" t="str">
        <x:v>LN-2002:funded</x:v>
      </x:c>
      <x:c r="C9" s="15" t="str">
        <x:v>EV-2002-funded</x:v>
      </x:c>
      <x:c r="D9" s="15" t="str">
        <x:v>funded</x:v>
      </x:c>
      <x:c r="E9" s="15" t="str">
        <x:v>2026-05-06</x:v>
      </x:c>
      <x:c r="F9" s="16" t="b">
        <x:v>1</x:v>
      </x:c>
      <x:c r="G9" s="16" t="b">
        <x:v>1</x:v>
      </x:c>
      <x:c r="H9" s="16" t="b">
        <x:v>1</x:v>
      </x:c>
      <x:c r="I9" s="16" t="b">
        <x:v>1</x:v>
      </x:c>
      <x:c r="J9" s="16" t="b">
        <x:v>1</x:v>
      </x:c>
      <x:c r="K9" s="16" t="b">
        <x:v>1</x:v>
      </x:c>
      <x:c r="L9" s="16" t="b">
        <x:v>1</x:v>
      </x:c>
      <x:c r="M9" s="15" t="n">
        <x:v>1</x:v>
      </x:c>
      <x:c r="N9" s="16" t="b">
        <x:v>1</x:v>
      </x:c>
      <x:c r="O9" s="15" t="n">
        <x:v>38</x:v>
      </x:c>
      <x:c r="P9" s="16" t="b">
        <x:v>1</x:v>
      </x:c>
      <x:c r="Q9" s="16" t="b">
        <x:v>1</x:v>
      </x:c>
      <x:c r="R9" s="16" t="b">
        <x:v>1</x:v>
      </x:c>
      <x:c r="S9" s="15" t="str">
        <x:v>2026-05-06 19:22</x:v>
      </x:c>
      <x:c r="T9" s="15" t="str">
        <x:v>2026-05-06 20:00</x:v>
      </x:c>
    </x:row>
    <x:row r="10">
      <x:c r="A10" s="15" t="str">
        <x:v>V-2003</x:v>
      </x:c>
      <x:c r="B10" s="15" t="str">
        <x:v>APP-2003:submitted</x:v>
      </x:c>
      <x:c r="C10" s="15" t="str">
        <x:v>EV-2003-submitted</x:v>
      </x:c>
      <x:c r="D10" s="15" t="str">
        <x:v>submitted</x:v>
      </x:c>
      <x:c r="E10" s="15" t="str">
        <x:v>2026-05-06</x:v>
      </x:c>
      <x:c r="F10" s="16" t="b">
        <x:v>1</x:v>
      </x:c>
      <x:c r="G10" s="16" t="b">
        <x:v>1</x:v>
      </x:c>
      <x:c r="H10" s="16" t="b">
        <x:v>1</x:v>
      </x:c>
      <x:c r="I10" s="16" t="b">
        <x:v>1</x:v>
      </x:c>
      <x:c r="J10" s="16" t="b">
        <x:v>1</x:v>
      </x:c>
      <x:c r="K10" s="16" t="b">
        <x:v>1</x:v>
      </x:c>
      <x:c r="L10" s="16" t="b">
        <x:v>1</x:v>
      </x:c>
      <x:c r="M10" s="15" t="n">
        <x:v>1</x:v>
      </x:c>
      <x:c r="N10" s="16" t="b">
        <x:v>1</x:v>
      </x:c>
      <x:c r="O10" s="15" t="n">
        <x:v>10</x:v>
      </x:c>
      <x:c r="P10" s="16" t="b">
        <x:v>1</x:v>
      </x:c>
      <x:c r="Q10" s="16" t="b">
        <x:v>1</x:v>
      </x:c>
      <x:c r="R10" s="16" t="b">
        <x:v>1</x:v>
      </x:c>
      <x:c r="S10" s="15" t="str">
        <x:v>2026-05-06 20:23</x:v>
      </x:c>
      <x:c r="T10" s="15" t="str">
        <x:v>2026-05-06 20:33</x:v>
      </x:c>
    </x:row>
    <x:row r="11">
      <x:c r="A11" s="15" t="str">
        <x:v>V-2003</x:v>
      </x:c>
      <x:c r="B11" s="15" t="str">
        <x:v>APP-2003:qualified</x:v>
      </x:c>
      <x:c r="C11" s="15" t="str">
        <x:v>EV-2003-qualified</x:v>
      </x:c>
      <x:c r="D11" s="15" t="str">
        <x:v>qualified</x:v>
      </x:c>
      <x:c r="E11" s="15" t="str">
        <x:v>2026-05-07</x:v>
      </x:c>
      <x:c r="F11" s="16" t="b">
        <x:v>1</x:v>
      </x:c>
      <x:c r="G11" s="16" t="b">
        <x:v>1</x:v>
      </x:c>
      <x:c r="H11" s="16" t="b">
        <x:v>1</x:v>
      </x:c>
      <x:c r="I11" s="16" t="b">
        <x:v>1</x:v>
      </x:c>
      <x:c r="J11" s="16" t="b">
        <x:v>1</x:v>
      </x:c>
      <x:c r="K11" s="16" t="b">
        <x:v>1</x:v>
      </x:c>
      <x:c r="L11" s="16" t="b">
        <x:v>1</x:v>
      </x:c>
      <x:c r="M11" s="15" t="n">
        <x:v>1</x:v>
      </x:c>
      <x:c r="N11" s="16" t="b">
        <x:v>1</x:v>
      </x:c>
      <x:c r="O11" s="15" t="n">
        <x:v>11</x:v>
      </x:c>
      <x:c r="P11" s="16" t="b">
        <x:v>1</x:v>
      </x:c>
      <x:c r="Q11" s="16" t="b">
        <x:v>1</x:v>
      </x:c>
      <x:c r="R11" s="16" t="b">
        <x:v>1</x:v>
      </x:c>
      <x:c r="S11" s="15" t="str">
        <x:v>2026-05-07 20:23</x:v>
      </x:c>
      <x:c r="T11" s="15" t="str">
        <x:v>2026-05-07 20:34</x:v>
      </x:c>
    </x:row>
    <x:row r="12">
      <x:c r="A12" s="15" t="str">
        <x:v>V-2003</x:v>
      </x:c>
      <x:c r="B12" s="15" t="str">
        <x:v>APP-2003:approved</x:v>
      </x:c>
      <x:c r="C12" s="15" t="str">
        <x:v>EV-2003-approved</x:v>
      </x:c>
      <x:c r="D12" s="15" t="str">
        <x:v>approved</x:v>
      </x:c>
      <x:c r="E12" s="15" t="str">
        <x:v>2026-05-08</x:v>
      </x:c>
      <x:c r="F12" s="16" t="b">
        <x:v>1</x:v>
      </x:c>
      <x:c r="G12" s="16" t="b">
        <x:v>1</x:v>
      </x:c>
      <x:c r="H12" s="16" t="b">
        <x:v>1</x:v>
      </x:c>
      <x:c r="I12" s="16" t="b">
        <x:v>1</x:v>
      </x:c>
      <x:c r="J12" s="16" t="b">
        <x:v>1</x:v>
      </x:c>
      <x:c r="K12" s="16" t="b">
        <x:v>1</x:v>
      </x:c>
      <x:c r="L12" s="16" t="b">
        <x:v>1</x:v>
      </x:c>
      <x:c r="M12" s="15" t="n">
        <x:v>1</x:v>
      </x:c>
      <x:c r="N12" s="16" t="b">
        <x:v>1</x:v>
      </x:c>
      <x:c r="O12" s="15" t="n">
        <x:v>13</x:v>
      </x:c>
      <x:c r="P12" s="16" t="b">
        <x:v>1</x:v>
      </x:c>
      <x:c r="Q12" s="16" t="b">
        <x:v>1</x:v>
      </x:c>
      <x:c r="R12" s="16" t="b">
        <x:v>1</x:v>
      </x:c>
      <x:c r="S12" s="15" t="str">
        <x:v>2026-05-08 20:23</x:v>
      </x:c>
      <x:c r="T12" s="15" t="str">
        <x:v>2026-05-08 20:36</x:v>
      </x:c>
    </x:row>
    <x:row r="13">
      <x:c r="A13" s="15" t="str">
        <x:v>V-2003</x:v>
      </x:c>
      <x:c r="B13" s="15" t="str">
        <x:v>LN-2003:funded</x:v>
      </x:c>
      <x:c r="C13" s="15" t="str">
        <x:v>EV-2003-funded</x:v>
      </x:c>
      <x:c r="D13" s="15" t="str">
        <x:v>funded</x:v>
      </x:c>
      <x:c r="E13" s="15" t="str">
        <x:v>2026-05-09</x:v>
      </x:c>
      <x:c r="F13" s="16" t="b">
        <x:v>1</x:v>
      </x:c>
      <x:c r="G13" s="16" t="b">
        <x:v>1</x:v>
      </x:c>
      <x:c r="H13" s="16" t="b">
        <x:v>1</x:v>
      </x:c>
      <x:c r="I13" s="16" t="b">
        <x:v>1</x:v>
      </x:c>
      <x:c r="J13" s="16" t="b">
        <x:v>1</x:v>
      </x:c>
      <x:c r="K13" s="16" t="b">
        <x:v>1</x:v>
      </x:c>
      <x:c r="L13" s="16" t="b">
        <x:v>1</x:v>
      </x:c>
      <x:c r="M13" s="15" t="n">
        <x:v>1</x:v>
      </x:c>
      <x:c r="N13" s="16" t="b">
        <x:v>1</x:v>
      </x:c>
      <x:c r="O13" s="15" t="n">
        <x:v>39</x:v>
      </x:c>
      <x:c r="P13" s="16" t="b">
        <x:v>1</x:v>
      </x:c>
      <x:c r="Q13" s="16" t="b">
        <x:v>1</x:v>
      </x:c>
      <x:c r="R13" s="16" t="b">
        <x:v>0</x:v>
      </x:c>
      <x:c r="S13" s="15" t="str">
        <x:v>2026-05-09 20:23</x:v>
      </x:c>
      <x:c r="T13" s="15" t="str">
        <x:v>2026-05-09 21:02</x:v>
      </x:c>
    </x:row>
    <x:row r="14">
      <x:c r="A14" s="15" t="str">
        <x:v>V-2004</x:v>
      </x:c>
      <x:c r="B14" s="15" t="str">
        <x:v>APP-2004:submitted</x:v>
      </x:c>
      <x:c r="C14" s="15" t="str">
        <x:v>EV-2004-submitted</x:v>
      </x:c>
      <x:c r="D14" s="15" t="str">
        <x:v>submitted</x:v>
      </x:c>
      <x:c r="E14" s="15" t="str">
        <x:v>2026-06-09</x:v>
      </x:c>
      <x:c r="F14" s="16" t="b">
        <x:v>1</x:v>
      </x:c>
      <x:c r="G14" s="16" t="b">
        <x:v>0</x:v>
      </x:c>
      <x:c r="H14" s="16" t="b">
        <x:v>0</x:v>
      </x:c>
      <x:c r="I14" s="16" t="b">
        <x:v>0</x:v>
      </x:c>
      <x:c r="J14" s="16" t="b">
        <x:v>0</x:v>
      </x:c>
      <x:c r="K14" s="16" t="b">
        <x:v>0</x:v>
      </x:c>
      <x:c r="L14" s="16" t="b">
        <x:v>0</x:v>
      </x:c>
      <x:c r="M14" s="15" t="n">
        <x:v>0</x:v>
      </x:c>
      <x:c r="N14" s="16" t="b">
        <x:v>0</x:v>
      </x:c>
      <x:c r="O14" s="15"/>
      <x:c r="P14" s="16" t="b">
        <x:v>1</x:v>
      </x:c>
      <x:c r="Q14" s="16" t="b">
        <x:v>1</x:v>
      </x:c>
      <x:c r="R14" s="16" t="b">
        <x:v>1</x:v>
      </x:c>
      <x:c r="S14" s="15"/>
      <x:c r="T14" s="15"/>
    </x:row>
    <x:row r="15">
      <x:c r="A15" s="15" t="str">
        <x:v>V-2004</x:v>
      </x:c>
      <x:c r="B15" s="15" t="str">
        <x:v>APP-2004:qualified</x:v>
      </x:c>
      <x:c r="C15" s="15" t="str">
        <x:v>EV-2004-qualified</x:v>
      </x:c>
      <x:c r="D15" s="15" t="str">
        <x:v>qualified</x:v>
      </x:c>
      <x:c r="E15" s="15" t="str">
        <x:v>2026-06-10</x:v>
      </x:c>
      <x:c r="F15" s="16" t="b">
        <x:v>1</x:v>
      </x:c>
      <x:c r="G15" s="16" t="b">
        <x:v>1</x:v>
      </x:c>
      <x:c r="H15" s="16" t="b">
        <x:v>1</x:v>
      </x:c>
      <x:c r="I15" s="16" t="b">
        <x:v>1</x:v>
      </x:c>
      <x:c r="J15" s="16" t="b">
        <x:v>1</x:v>
      </x:c>
      <x:c r="K15" s="16" t="b">
        <x:v>1</x:v>
      </x:c>
      <x:c r="L15" s="16" t="b">
        <x:v>1</x:v>
      </x:c>
      <x:c r="M15" s="15" t="n">
        <x:v>1</x:v>
      </x:c>
      <x:c r="N15" s="16" t="b">
        <x:v>1</x:v>
      </x:c>
      <x:c r="O15" s="15" t="n">
        <x:v>12</x:v>
      </x:c>
      <x:c r="P15" s="16" t="b">
        <x:v>1</x:v>
      </x:c>
      <x:c r="Q15" s="16" t="b">
        <x:v>1</x:v>
      </x:c>
      <x:c r="R15" s="16" t="b">
        <x:v>1</x:v>
      </x:c>
      <x:c r="S15" s="15" t="str">
        <x:v>2026-06-10 09:24</x:v>
      </x:c>
      <x:c r="T15" s="15" t="str">
        <x:v>2026-06-10 09:36</x:v>
      </x:c>
    </x:row>
    <x:row r="16">
      <x:c r="A16" s="15" t="str">
        <x:v>V-2004</x:v>
      </x:c>
      <x:c r="B16" s="15" t="str">
        <x:v>APP-2004:approved</x:v>
      </x:c>
      <x:c r="C16" s="15" t="str">
        <x:v>EV-2004-approved</x:v>
      </x:c>
      <x:c r="D16" s="15" t="str">
        <x:v>approved</x:v>
      </x:c>
      <x:c r="E16" s="15" t="str">
        <x:v>2026-06-11</x:v>
      </x:c>
      <x:c r="F16" s="16" t="b">
        <x:v>1</x:v>
      </x:c>
      <x:c r="G16" s="16" t="b">
        <x:v>1</x:v>
      </x:c>
      <x:c r="H16" s="16" t="b">
        <x:v>1</x:v>
      </x:c>
      <x:c r="I16" s="16" t="b">
        <x:v>1</x:v>
      </x:c>
      <x:c r="J16" s="16" t="b">
        <x:v>1</x:v>
      </x:c>
      <x:c r="K16" s="16" t="b">
        <x:v>1</x:v>
      </x:c>
      <x:c r="L16" s="16" t="b">
        <x:v>1</x:v>
      </x:c>
      <x:c r="M16" s="15" t="n">
        <x:v>1</x:v>
      </x:c>
      <x:c r="N16" s="16" t="b">
        <x:v>1</x:v>
      </x:c>
      <x:c r="O16" s="15" t="n">
        <x:v>14</x:v>
      </x:c>
      <x:c r="P16" s="16" t="b">
        <x:v>1</x:v>
      </x:c>
      <x:c r="Q16" s="16" t="b">
        <x:v>1</x:v>
      </x:c>
      <x:c r="R16" s="16" t="b">
        <x:v>1</x:v>
      </x:c>
      <x:c r="S16" s="15" t="str">
        <x:v>2026-06-11 09:24</x:v>
      </x:c>
      <x:c r="T16" s="15" t="str">
        <x:v>2026-06-11 09:38</x:v>
      </x:c>
    </x:row>
    <x:row r="17">
      <x:c r="A17" s="15" t="str">
        <x:v>V-2004</x:v>
      </x:c>
      <x:c r="B17" s="15" t="str">
        <x:v>LN-2004:funded</x:v>
      </x:c>
      <x:c r="C17" s="15" t="str">
        <x:v>EV-2004-funded</x:v>
      </x:c>
      <x:c r="D17" s="15" t="str">
        <x:v>funded</x:v>
      </x:c>
      <x:c r="E17" s="15" t="str">
        <x:v>2026-06-13</x:v>
      </x:c>
      <x:c r="F17" s="16" t="b">
        <x:v>1</x:v>
      </x:c>
      <x:c r="G17" s="16" t="b">
        <x:v>1</x:v>
      </x:c>
      <x:c r="H17" s="16" t="b">
        <x:v>1</x:v>
      </x:c>
      <x:c r="I17" s="16" t="b">
        <x:v>1</x:v>
      </x:c>
      <x:c r="J17" s="16" t="b">
        <x:v>1</x:v>
      </x:c>
      <x:c r="K17" s="16" t="b">
        <x:v>1</x:v>
      </x:c>
      <x:c r="L17" s="16" t="b">
        <x:v>1</x:v>
      </x:c>
      <x:c r="M17" s="15" t="n">
        <x:v>1</x:v>
      </x:c>
      <x:c r="N17" s="16" t="b">
        <x:v>1</x:v>
      </x:c>
      <x:c r="O17" s="15" t="n">
        <x:v>40</x:v>
      </x:c>
      <x:c r="P17" s="16" t="b">
        <x:v>1</x:v>
      </x:c>
      <x:c r="Q17" s="16" t="b">
        <x:v>1</x:v>
      </x:c>
      <x:c r="R17" s="16" t="b">
        <x:v>1</x:v>
      </x:c>
      <x:c r="S17" s="15" t="str">
        <x:v>2026-06-13 09:24</x:v>
      </x:c>
      <x:c r="T17" s="15" t="str">
        <x:v>2026-06-13 10:04</x:v>
      </x:c>
    </x:row>
    <x:row r="18">
      <x:c r="A18" s="15" t="str">
        <x:v>V-2005</x:v>
      </x:c>
      <x:c r="B18" s="15" t="str">
        <x:v>APP-2005:submitted</x:v>
      </x:c>
      <x:c r="C18" s="15" t="str">
        <x:v>EV-2005-submitted</x:v>
      </x:c>
      <x:c r="D18" s="15" t="str">
        <x:v>submitted</x:v>
      </x:c>
      <x:c r="E18" s="15" t="str">
        <x:v>2026-07-04</x:v>
      </x:c>
      <x:c r="F18" s="16" t="b">
        <x:v>1</x:v>
      </x:c>
      <x:c r="G18" s="16" t="b">
        <x:v>1</x:v>
      </x:c>
      <x:c r="H18" s="16" t="b">
        <x:v>1</x:v>
      </x:c>
      <x:c r="I18" s="16" t="b">
        <x:v>1</x:v>
      </x:c>
      <x:c r="J18" s="16" t="b">
        <x:v>1</x:v>
      </x:c>
      <x:c r="K18" s="16" t="b">
        <x:v>1</x:v>
      </x:c>
      <x:c r="L18" s="16" t="b">
        <x:v>1</x:v>
      </x:c>
      <x:c r="M18" s="15" t="n">
        <x:v>1</x:v>
      </x:c>
      <x:c r="N18" s="16" t="b">
        <x:v>1</x:v>
      </x:c>
      <x:c r="O18" s="15" t="n">
        <x:v>12</x:v>
      </x:c>
      <x:c r="P18" s="16" t="b">
        <x:v>1</x:v>
      </x:c>
      <x:c r="Q18" s="16" t="b">
        <x:v>1</x:v>
      </x:c>
      <x:c r="R18" s="16" t="b">
        <x:v>1</x:v>
      </x:c>
      <x:c r="S18" s="15" t="str">
        <x:v>2026-07-04 10:25</x:v>
      </x:c>
      <x:c r="T18" s="15" t="str">
        <x:v>2026-07-04 10:37</x:v>
      </x:c>
    </x:row>
    <x:row r="19">
      <x:c r="A19" s="15" t="str">
        <x:v>V-2005</x:v>
      </x:c>
      <x:c r="B19" s="15" t="str">
        <x:v>APP-2005:qualified</x:v>
      </x:c>
      <x:c r="C19" s="15" t="str">
        <x:v>EV-2005-qualified</x:v>
      </x:c>
      <x:c r="D19" s="15" t="str">
        <x:v>qualified</x:v>
      </x:c>
      <x:c r="E19" s="15" t="str">
        <x:v>2026-07-05</x:v>
      </x:c>
      <x:c r="F19" s="16" t="b">
        <x:v>1</x:v>
      </x:c>
      <x:c r="G19" s="16" t="b">
        <x:v>1</x:v>
      </x:c>
      <x:c r="H19" s="16" t="b">
        <x:v>1</x:v>
      </x:c>
      <x:c r="I19" s="16" t="b">
        <x:v>1</x:v>
      </x:c>
      <x:c r="J19" s="16" t="b">
        <x:v>1</x:v>
      </x:c>
      <x:c r="K19" s="16" t="b">
        <x:v>1</x:v>
      </x:c>
      <x:c r="L19" s="16" t="b">
        <x:v>1</x:v>
      </x:c>
      <x:c r="M19" s="15" t="n">
        <x:v>1</x:v>
      </x:c>
      <x:c r="N19" s="16" t="b">
        <x:v>1</x:v>
      </x:c>
      <x:c r="O19" s="15" t="n">
        <x:v>13</x:v>
      </x:c>
      <x:c r="P19" s="16" t="b">
        <x:v>1</x:v>
      </x:c>
      <x:c r="Q19" s="16" t="b">
        <x:v>1</x:v>
      </x:c>
      <x:c r="R19" s="16" t="b">
        <x:v>1</x:v>
      </x:c>
      <x:c r="S19" s="15" t="str">
        <x:v>2026-07-05 10:25</x:v>
      </x:c>
      <x:c r="T19" s="15" t="str">
        <x:v>2026-07-05 10:38</x:v>
      </x:c>
    </x:row>
    <x:row r="20">
      <x:c r="A20" s="15" t="str">
        <x:v>V-2005</x:v>
      </x:c>
      <x:c r="B20" s="15" t="str">
        <x:v>APP-2005:approved</x:v>
      </x:c>
      <x:c r="C20" s="15" t="str">
        <x:v>EV-2005-approved</x:v>
      </x:c>
      <x:c r="D20" s="15" t="str">
        <x:v>approved</x:v>
      </x:c>
      <x:c r="E20" s="15" t="str">
        <x:v>2026-07-06</x:v>
      </x:c>
      <x:c r="F20" s="16" t="b">
        <x:v>1</x:v>
      </x:c>
      <x:c r="G20" s="16" t="b">
        <x:v>1</x:v>
      </x:c>
      <x:c r="H20" s="16" t="b">
        <x:v>1</x:v>
      </x:c>
      <x:c r="I20" s="16" t="b">
        <x:v>1</x:v>
      </x:c>
      <x:c r="J20" s="16" t="b">
        <x:v>1</x:v>
      </x:c>
      <x:c r="K20" s="16" t="b">
        <x:v>1</x:v>
      </x:c>
      <x:c r="L20" s="16" t="b">
        <x:v>1</x:v>
      </x:c>
      <x:c r="M20" s="15" t="n">
        <x:v>1</x:v>
      </x:c>
      <x:c r="N20" s="16" t="b">
        <x:v>1</x:v>
      </x:c>
      <x:c r="O20" s="15" t="n">
        <x:v>15</x:v>
      </x:c>
      <x:c r="P20" s="16" t="b">
        <x:v>1</x:v>
      </x:c>
      <x:c r="Q20" s="16" t="b">
        <x:v>1</x:v>
      </x:c>
      <x:c r="R20" s="16" t="b">
        <x:v>1</x:v>
      </x:c>
      <x:c r="S20" s="15" t="str">
        <x:v>2026-07-06 10:25</x:v>
      </x:c>
      <x:c r="T20" s="15" t="str">
        <x:v>2026-07-06 10:40</x:v>
      </x:c>
    </x:row>
    <x:row r="21">
      <x:c r="A21" s="15" t="str">
        <x:v>V-2005</x:v>
      </x:c>
      <x:c r="B21" s="15" t="str">
        <x:v>LN-2005:funded</x:v>
      </x:c>
      <x:c r="C21" s="15" t="str">
        <x:v>EV-2005-funded</x:v>
      </x:c>
      <x:c r="D21" s="15" t="str">
        <x:v>funded</x:v>
      </x:c>
      <x:c r="E21" s="15" t="str">
        <x:v>2026-07-07</x:v>
      </x:c>
      <x:c r="F21" s="16" t="b">
        <x:v>1</x:v>
      </x:c>
      <x:c r="G21" s="16" t="b">
        <x:v>1</x:v>
      </x:c>
      <x:c r="H21" s="16" t="b">
        <x:v>1</x:v>
      </x:c>
      <x:c r="I21" s="16" t="b">
        <x:v>1</x:v>
      </x:c>
      <x:c r="J21" s="16" t="b">
        <x:v>1</x:v>
      </x:c>
      <x:c r="K21" s="16" t="b">
        <x:v>1</x:v>
      </x:c>
      <x:c r="L21" s="16" t="b">
        <x:v>1</x:v>
      </x:c>
      <x:c r="M21" s="15" t="n">
        <x:v>1</x:v>
      </x:c>
      <x:c r="N21" s="16" t="b">
        <x:v>1</x:v>
      </x:c>
      <x:c r="O21" s="15" t="n">
        <x:v>41</x:v>
      </x:c>
      <x:c r="P21" s="16" t="b">
        <x:v>1</x:v>
      </x:c>
      <x:c r="Q21" s="16" t="b">
        <x:v>1</x:v>
      </x:c>
      <x:c r="R21" s="16" t="b">
        <x:v>1</x:v>
      </x:c>
      <x:c r="S21" s="15" t="str">
        <x:v>2026-07-07 10:25</x:v>
      </x:c>
      <x:c r="T21" s="15" t="str">
        <x:v>2026-07-07 11:06</x:v>
      </x:c>
    </x:row>
    <x:row r="22">
      <x:c r="A22" s="15" t="str">
        <x:v>V-2006</x:v>
      </x:c>
      <x:c r="B22" s="15" t="str">
        <x:v>APP-2006:submitted</x:v>
      </x:c>
      <x:c r="C22" s="15" t="str">
        <x:v>EV-2006-submitted</x:v>
      </x:c>
      <x:c r="D22" s="15" t="str">
        <x:v>submitted</x:v>
      </x:c>
      <x:c r="E22" s="15" t="str">
        <x:v>2026-07-11</x:v>
      </x:c>
      <x:c r="F22" s="16" t="b">
        <x:v>1</x:v>
      </x:c>
      <x:c r="G22" s="16" t="b">
        <x:v>1</x:v>
      </x:c>
      <x:c r="H22" s="16" t="b">
        <x:v>1</x:v>
      </x:c>
      <x:c r="I22" s="16" t="b">
        <x:v>1</x:v>
      </x:c>
      <x:c r="J22" s="16" t="b">
        <x:v>1</x:v>
      </x:c>
      <x:c r="K22" s="16" t="b">
        <x:v>1</x:v>
      </x:c>
      <x:c r="L22" s="16" t="b">
        <x:v>1</x:v>
      </x:c>
      <x:c r="M22" s="15" t="n">
        <x:v>1</x:v>
      </x:c>
      <x:c r="N22" s="16" t="b">
        <x:v>1</x:v>
      </x:c>
      <x:c r="O22" s="15" t="n">
        <x:v>13</x:v>
      </x:c>
      <x:c r="P22" s="16" t="b">
        <x:v>1</x:v>
      </x:c>
      <x:c r="Q22" s="16" t="b">
        <x:v>1</x:v>
      </x:c>
      <x:c r="R22" s="16" t="b">
        <x:v>1</x:v>
      </x:c>
      <x:c r="S22" s="15" t="str">
        <x:v>2026-07-11 11:26</x:v>
      </x:c>
      <x:c r="T22" s="15" t="str">
        <x:v>2026-07-11 11:39</x:v>
      </x:c>
    </x:row>
    <x:row r="23">
      <x:c r="A23" s="15" t="str">
        <x:v>V-2006</x:v>
      </x:c>
      <x:c r="B23" s="15" t="str">
        <x:v>APP-2006:qualified</x:v>
      </x:c>
      <x:c r="C23" s="15" t="str">
        <x:v>EV-2006-qualified</x:v>
      </x:c>
      <x:c r="D23" s="15" t="str">
        <x:v>qualified</x:v>
      </x:c>
      <x:c r="E23" s="15" t="str">
        <x:v>2026-07-12</x:v>
      </x:c>
      <x:c r="F23" s="16" t="b">
        <x:v>1</x:v>
      </x:c>
      <x:c r="G23" s="16" t="b">
        <x:v>1</x:v>
      </x:c>
      <x:c r="H23" s="16" t="b">
        <x:v>0</x:v>
      </x:c>
      <x:c r="I23" s="16" t="b">
        <x:v>0</x:v>
      </x:c>
      <x:c r="J23" s="16" t="b">
        <x:v>0</x:v>
      </x:c>
      <x:c r="K23" s="16" t="b">
        <x:v>0</x:v>
      </x:c>
      <x:c r="L23" s="16" t="b">
        <x:v>0</x:v>
      </x:c>
      <x:c r="M23" s="15" t="n">
        <x:v>0</x:v>
      </x:c>
      <x:c r="N23" s="16" t="b">
        <x:v>0</x:v>
      </x:c>
      <x:c r="O23" s="15"/>
      <x:c r="P23" s="16" t="b">
        <x:v>1</x:v>
      </x:c>
      <x:c r="Q23" s="16" t="b">
        <x:v>1</x:v>
      </x:c>
      <x:c r="R23" s="16" t="b">
        <x:v>1</x:v>
      </x:c>
      <x:c r="S23" s="15"/>
      <x:c r="T23" s="15"/>
    </x:row>
    <x:row r="24">
      <x:c r="A24" s="15" t="str">
        <x:v>V-2006</x:v>
      </x:c>
      <x:c r="B24" s="15" t="str">
        <x:v>APP-2006:approved</x:v>
      </x:c>
      <x:c r="C24" s="15" t="str">
        <x:v>EV-2006-approved</x:v>
      </x:c>
      <x:c r="D24" s="15" t="str">
        <x:v>approved</x:v>
      </x:c>
      <x:c r="E24" s="15" t="str">
        <x:v>2026-07-13</x:v>
      </x:c>
      <x:c r="F24" s="16" t="b">
        <x:v>1</x:v>
      </x:c>
      <x:c r="G24" s="16" t="b">
        <x:v>1</x:v>
      </x:c>
      <x:c r="H24" s="16" t="b">
        <x:v>1</x:v>
      </x:c>
      <x:c r="I24" s="16" t="b">
        <x:v>1</x:v>
      </x:c>
      <x:c r="J24" s="16" t="b">
        <x:v>1</x:v>
      </x:c>
      <x:c r="K24" s="16" t="b">
        <x:v>1</x:v>
      </x:c>
      <x:c r="L24" s="16" t="b">
        <x:v>1</x:v>
      </x:c>
      <x:c r="M24" s="15" t="n">
        <x:v>1</x:v>
      </x:c>
      <x:c r="N24" s="16" t="b">
        <x:v>1</x:v>
      </x:c>
      <x:c r="O24" s="15" t="n">
        <x:v>16</x:v>
      </x:c>
      <x:c r="P24" s="16" t="b">
        <x:v>1</x:v>
      </x:c>
      <x:c r="Q24" s="16" t="b">
        <x:v>1</x:v>
      </x:c>
      <x:c r="R24" s="16" t="b">
        <x:v>1</x:v>
      </x:c>
      <x:c r="S24" s="15" t="str">
        <x:v>2026-07-13 11:26</x:v>
      </x:c>
      <x:c r="T24" s="15" t="str">
        <x:v>2026-07-13 11:42</x:v>
      </x:c>
    </x:row>
    <x:row r="25">
      <x:c r="A25" s="15" t="str">
        <x:v>V-2007</x:v>
      </x:c>
      <x:c r="B25" s="15" t="str">
        <x:v>APP-2007:submitted</x:v>
      </x:c>
      <x:c r="C25" s="15" t="str">
        <x:v>EV-2007-submitted</x:v>
      </x:c>
      <x:c r="D25" s="15" t="str">
        <x:v>submitted</x:v>
      </x:c>
      <x:c r="E25" s="15" t="str">
        <x:v>2026-08-21</x:v>
      </x:c>
      <x:c r="F25" s="16" t="b">
        <x:v>1</x:v>
      </x:c>
      <x:c r="G25" s="16" t="b">
        <x:v>1</x:v>
      </x:c>
      <x:c r="H25" s="16" t="b">
        <x:v>1</x:v>
      </x:c>
      <x:c r="I25" s="16" t="b">
        <x:v>1</x:v>
      </x:c>
      <x:c r="J25" s="16" t="b">
        <x:v>1</x:v>
      </x:c>
      <x:c r="K25" s="16" t="b">
        <x:v>1</x:v>
      </x:c>
      <x:c r="L25" s="16" t="b">
        <x:v>1</x:v>
      </x:c>
      <x:c r="M25" s="15" t="n">
        <x:v>1</x:v>
      </x:c>
      <x:c r="N25" s="16" t="b">
        <x:v>1</x:v>
      </x:c>
      <x:c r="O25" s="15" t="n">
        <x:v>5</x:v>
      </x:c>
      <x:c r="P25" s="16" t="b">
        <x:v>1</x:v>
      </x:c>
      <x:c r="Q25" s="16" t="b">
        <x:v>1</x:v>
      </x:c>
      <x:c r="R25" s="16" t="b">
        <x:v>1</x:v>
      </x:c>
      <x:c r="S25" s="15" t="str">
        <x:v>2026-08-21 12:27</x:v>
      </x:c>
      <x:c r="T25" s="15" t="str">
        <x:v>2026-08-21 12:32</x:v>
      </x:c>
    </x:row>
    <x:row r="26">
      <x:c r="A26" s="15" t="str">
        <x:v>V-2007</x:v>
      </x:c>
      <x:c r="B26" s="15" t="str">
        <x:v>APP-2007:qualified</x:v>
      </x:c>
      <x:c r="C26" s="15" t="str">
        <x:v>EV-2007-qualified</x:v>
      </x:c>
      <x:c r="D26" s="15" t="str">
        <x:v>qualified</x:v>
      </x:c>
      <x:c r="E26" s="15" t="str">
        <x:v>2026-08-22</x:v>
      </x:c>
      <x:c r="F26" s="16" t="b">
        <x:v>1</x:v>
      </x:c>
      <x:c r="G26" s="16" t="b">
        <x:v>1</x:v>
      </x:c>
      <x:c r="H26" s="16" t="b">
        <x:v>1</x:v>
      </x:c>
      <x:c r="I26" s="16" t="b">
        <x:v>1</x:v>
      </x:c>
      <x:c r="J26" s="16" t="b">
        <x:v>1</x:v>
      </x:c>
      <x:c r="K26" s="16" t="b">
        <x:v>1</x:v>
      </x:c>
      <x:c r="L26" s="16" t="b">
        <x:v>1</x:v>
      </x:c>
      <x:c r="M26" s="15" t="n">
        <x:v>1</x:v>
      </x:c>
      <x:c r="N26" s="16" t="b">
        <x:v>1</x:v>
      </x:c>
      <x:c r="O26" s="15" t="n">
        <x:v>6</x:v>
      </x:c>
      <x:c r="P26" s="16" t="b">
        <x:v>1</x:v>
      </x:c>
      <x:c r="Q26" s="16" t="b">
        <x:v>1</x:v>
      </x:c>
      <x:c r="R26" s="16" t="b">
        <x:v>1</x:v>
      </x:c>
      <x:c r="S26" s="15" t="str">
        <x:v>2026-08-22 12:27</x:v>
      </x:c>
      <x:c r="T26" s="15" t="str">
        <x:v>2026-08-22 12:33</x:v>
      </x:c>
    </x:row>
    <x:row r="27">
      <x:c r="A27" s="15" t="str">
        <x:v>V-2008</x:v>
      </x:c>
      <x:c r="B27" s="15" t="str">
        <x:v>APP-2008:submitted</x:v>
      </x:c>
      <x:c r="C27" s="15" t="str">
        <x:v>EV-2008-submitted</x:v>
      </x:c>
      <x:c r="D27" s="15" t="str">
        <x:v>submitted</x:v>
      </x:c>
      <x:c r="E27" s="15" t="str">
        <x:v>2026-09-05</x:v>
      </x:c>
      <x:c r="F27" s="16" t="b">
        <x:v>1</x:v>
      </x:c>
      <x:c r="G27" s="16" t="b">
        <x:v>1</x:v>
      </x:c>
      <x:c r="H27" s="16" t="b">
        <x:v>1</x:v>
      </x:c>
      <x:c r="I27" s="16" t="b">
        <x:v>1</x:v>
      </x:c>
      <x:c r="J27" s="16" t="b">
        <x:v>1</x:v>
      </x:c>
      <x:c r="K27" s="16" t="b">
        <x:v>1</x:v>
      </x:c>
      <x:c r="L27" s="16" t="b">
        <x:v>0</x:v>
      </x:c>
      <x:c r="M27" s="15" t="n">
        <x:v>0</x:v>
      </x:c>
      <x:c r="N27" s="16" t="b">
        <x:v>0</x:v>
      </x:c>
      <x:c r="O27" s="15" t="n">
        <x:v>6</x:v>
      </x:c>
      <x:c r="P27" s="16" t="b">
        <x:v>1</x:v>
      </x:c>
      <x:c r="Q27" s="16" t="b">
        <x:v>1</x:v>
      </x:c>
      <x:c r="R27" s="16" t="b">
        <x:v>1</x:v>
      </x:c>
      <x:c r="S27" s="15" t="str">
        <x:v>2026-09-05 13:28</x:v>
      </x:c>
      <x:c r="T27" s="15" t="str">
        <x:v>2026-09-05 13:34</x:v>
      </x:c>
    </x:row>
    <x:row r="28">
      <x:c r="A28" s="15" t="str">
        <x:v>V-2008</x:v>
      </x:c>
      <x:c r="B28" s="15" t="str">
        <x:v>APP-2008:qualified</x:v>
      </x:c>
      <x:c r="C28" s="15" t="str">
        <x:v>EV-2008-qualified</x:v>
      </x:c>
      <x:c r="D28" s="15" t="str">
        <x:v>qualified</x:v>
      </x:c>
      <x:c r="E28" s="15" t="str">
        <x:v>2026-09-06</x:v>
      </x:c>
      <x:c r="F28" s="16" t="b">
        <x:v>1</x:v>
      </x:c>
      <x:c r="G28" s="16" t="b">
        <x:v>1</x:v>
      </x:c>
      <x:c r="H28" s="16" t="b">
        <x:v>1</x:v>
      </x:c>
      <x:c r="I28" s="16" t="b">
        <x:v>1</x:v>
      </x:c>
      <x:c r="J28" s="16" t="b">
        <x:v>1</x:v>
      </x:c>
      <x:c r="K28" s="16" t="b">
        <x:v>1</x:v>
      </x:c>
      <x:c r="L28" s="16" t="b">
        <x:v>0</x:v>
      </x:c>
      <x:c r="M28" s="15" t="n">
        <x:v>0</x:v>
      </x:c>
      <x:c r="N28" s="16" t="b">
        <x:v>0</x:v>
      </x:c>
      <x:c r="O28" s="15" t="n">
        <x:v>7</x:v>
      </x:c>
      <x:c r="P28" s="16" t="b">
        <x:v>1</x:v>
      </x:c>
      <x:c r="Q28" s="16" t="b">
        <x:v>1</x:v>
      </x:c>
      <x:c r="R28" s="16" t="b">
        <x:v>1</x:v>
      </x:c>
      <x:c r="S28" s="15" t="str">
        <x:v>2026-09-06 13:28</x:v>
      </x:c>
      <x:c r="T28" s="15" t="str">
        <x:v>2026-09-06 13:35</x:v>
      </x:c>
    </x:row>
    <x:row r="29">
      <x:c r="A29" s="15" t="str">
        <x:v>V-2009</x:v>
      </x:c>
      <x:c r="B29" s="15" t="str">
        <x:v>APP-2009:submitted</x:v>
      </x:c>
      <x:c r="C29" s="15" t="str">
        <x:v>EV-2009-submitted</x:v>
      </x:c>
      <x:c r="D29" s="15" t="str">
        <x:v>submitted</x:v>
      </x:c>
      <x:c r="E29" s="15" t="str">
        <x:v>2026-05-04</x:v>
      </x:c>
      <x:c r="F29" s="16" t="b">
        <x:v>1</x:v>
      </x:c>
      <x:c r="G29" s="16" t="b">
        <x:v>1</x:v>
      </x:c>
      <x:c r="H29" s="16" t="b">
        <x:v>1</x:v>
      </x:c>
      <x:c r="I29" s="16" t="b">
        <x:v>1</x:v>
      </x:c>
      <x:c r="J29" s="16" t="b">
        <x:v>1</x:v>
      </x:c>
      <x:c r="K29" s="16" t="b">
        <x:v>1</x:v>
      </x:c>
      <x:c r="L29" s="16" t="b">
        <x:v>1</x:v>
      </x:c>
      <x:c r="M29" s="15" t="n">
        <x:v>1</x:v>
      </x:c>
      <x:c r="N29" s="16" t="b">
        <x:v>1</x:v>
      </x:c>
      <x:c r="O29" s="15" t="n">
        <x:v>7</x:v>
      </x:c>
      <x:c r="P29" s="16" t="b">
        <x:v>1</x:v>
      </x:c>
      <x:c r="Q29" s="16" t="b">
        <x:v>1</x:v>
      </x:c>
      <x:c r="R29" s="16" t="b">
        <x:v>1</x:v>
      </x:c>
      <x:c r="S29" s="15" t="str">
        <x:v>2026-05-04 14:29</x:v>
      </x:c>
      <x:c r="T29" s="15" t="str">
        <x:v>2026-05-04 14:36</x:v>
      </x:c>
    </x:row>
    <x:row r="30">
      <x:c r="A30" s="15" t="str">
        <x:v>V-2009</x:v>
      </x:c>
      <x:c r="B30" s="15" t="str">
        <x:v>APP-2009:qualified</x:v>
      </x:c>
      <x:c r="C30" s="15" t="str">
        <x:v>EV-2009-qualified</x:v>
      </x:c>
      <x:c r="D30" s="15" t="str">
        <x:v>qualified</x:v>
      </x:c>
      <x:c r="E30" s="15" t="str">
        <x:v>2026-05-05</x:v>
      </x:c>
      <x:c r="F30" s="16" t="b">
        <x:v>1</x:v>
      </x:c>
      <x:c r="G30" s="16" t="b">
        <x:v>1</x:v>
      </x:c>
      <x:c r="H30" s="16" t="b">
        <x:v>1</x:v>
      </x:c>
      <x:c r="I30" s="16" t="b">
        <x:v>1</x:v>
      </x:c>
      <x:c r="J30" s="16" t="b">
        <x:v>1</x:v>
      </x:c>
      <x:c r="K30" s="16" t="b">
        <x:v>1</x:v>
      </x:c>
      <x:c r="L30" s="16" t="b">
        <x:v>1</x:v>
      </x:c>
      <x:c r="M30" s="15" t="n">
        <x:v>1</x:v>
      </x:c>
      <x:c r="N30" s="16" t="b">
        <x:v>1</x:v>
      </x:c>
      <x:c r="O30" s="15" t="n">
        <x:v>8</x:v>
      </x:c>
      <x:c r="P30" s="16" t="b">
        <x:v>1</x:v>
      </x:c>
      <x:c r="Q30" s="16" t="b">
        <x:v>1</x:v>
      </x:c>
      <x:c r="R30" s="16" t="b">
        <x:v>1</x:v>
      </x:c>
      <x:c r="S30" s="15" t="str">
        <x:v>2026-05-05 14:29</x:v>
      </x:c>
      <x:c r="T30" s="15" t="str">
        <x:v>2026-05-05 14:37</x:v>
      </x:c>
    </x:row>
    <x:row r="31">
      <x:c r="A31" s="15" t="str">
        <x:v>V-2009</x:v>
      </x:c>
      <x:c r="B31" s="15" t="str">
        <x:v>APP-2009:approved</x:v>
      </x:c>
      <x:c r="C31" s="15" t="str">
        <x:v>EV-2009-approved</x:v>
      </x:c>
      <x:c r="D31" s="15" t="str">
        <x:v>approved</x:v>
      </x:c>
      <x:c r="E31" s="15" t="str">
        <x:v>2026-05-06</x:v>
      </x:c>
      <x:c r="F31" s="16" t="b">
        <x:v>1</x:v>
      </x:c>
      <x:c r="G31" s="16" t="b">
        <x:v>1</x:v>
      </x:c>
      <x:c r="H31" s="16" t="b">
        <x:v>1</x:v>
      </x:c>
      <x:c r="I31" s="16" t="b">
        <x:v>1</x:v>
      </x:c>
      <x:c r="J31" s="16" t="b">
        <x:v>0</x:v>
      </x:c>
      <x:c r="K31" s="16" t="b">
        <x:v>0</x:v>
      </x:c>
      <x:c r="L31" s="16" t="b">
        <x:v>0</x:v>
      </x:c>
      <x:c r="M31" s="15" t="n">
        <x:v>0</x:v>
      </x:c>
      <x:c r="N31" s="16" t="b">
        <x:v>0</x:v>
      </x:c>
      <x:c r="O31" s="15" t="n">
        <x:v>10</x:v>
      </x:c>
      <x:c r="P31" s="16" t="b">
        <x:v>1</x:v>
      </x:c>
      <x:c r="Q31" s="16" t="b">
        <x:v>1</x:v>
      </x:c>
      <x:c r="R31" s="16" t="b">
        <x:v>1</x:v>
      </x:c>
      <x:c r="S31" s="15" t="str">
        <x:v>2026-05-06 14:29</x:v>
      </x:c>
      <x:c r="T31" s="15" t="str">
        <x:v>2026-05-06 14:39</x:v>
      </x:c>
    </x:row>
    <x:row r="32">
      <x:c r="A32" s="15" t="str">
        <x:v>V-2009</x:v>
      </x:c>
      <x:c r="B32" s="15" t="str">
        <x:v>LN-2009:funded</x:v>
      </x:c>
      <x:c r="C32" s="15" t="str">
        <x:v>EV-2009-funded</x:v>
      </x:c>
      <x:c r="D32" s="15" t="str">
        <x:v>funded</x:v>
      </x:c>
      <x:c r="E32" s="15" t="str">
        <x:v>2026-05-07</x:v>
      </x:c>
      <x:c r="F32" s="16" t="b">
        <x:v>1</x:v>
      </x:c>
      <x:c r="G32" s="16" t="b">
        <x:v>1</x:v>
      </x:c>
      <x:c r="H32" s="16" t="b">
        <x:v>1</x:v>
      </x:c>
      <x:c r="I32" s="16" t="b">
        <x:v>1</x:v>
      </x:c>
      <x:c r="J32" s="16" t="b">
        <x:v>1</x:v>
      </x:c>
      <x:c r="K32" s="16" t="b">
        <x:v>1</x:v>
      </x:c>
      <x:c r="L32" s="16" t="b">
        <x:v>1</x:v>
      </x:c>
      <x:c r="M32" s="15" t="n">
        <x:v>1</x:v>
      </x:c>
      <x:c r="N32" s="16" t="b">
        <x:v>1</x:v>
      </x:c>
      <x:c r="O32" s="15" t="n">
        <x:v>45</x:v>
      </x:c>
      <x:c r="P32" s="16" t="b">
        <x:v>1</x:v>
      </x:c>
      <x:c r="Q32" s="16" t="b">
        <x:v>1</x:v>
      </x:c>
      <x:c r="R32" s="16" t="b">
        <x:v>1</x:v>
      </x:c>
      <x:c r="S32" s="15" t="str">
        <x:v>2026-05-07 14:29</x:v>
      </x:c>
      <x:c r="T32" s="15" t="str">
        <x:v>2026-05-07 15:14</x:v>
      </x:c>
    </x:row>
    <x:row r="33">
      <x:c r="A33" s="15" t="str">
        <x:v>V-2010</x:v>
      </x:c>
      <x:c r="B33" s="15" t="str">
        <x:v>APP-2010:submitted</x:v>
      </x:c>
      <x:c r="C33" s="15" t="str">
        <x:v>EV-2010-submitted</x:v>
      </x:c>
      <x:c r="D33" s="15" t="str">
        <x:v>submitted</x:v>
      </x:c>
      <x:c r="E33" s="15" t="str">
        <x:v>2026-05-06</x:v>
      </x:c>
      <x:c r="F33" s="16" t="b">
        <x:v>1</x:v>
      </x:c>
      <x:c r="G33" s="16" t="b">
        <x:v>1</x:v>
      </x:c>
      <x:c r="H33" s="16" t="b">
        <x:v>1</x:v>
      </x:c>
      <x:c r="I33" s="16" t="b">
        <x:v>1</x:v>
      </x:c>
      <x:c r="J33" s="16" t="b">
        <x:v>1</x:v>
      </x:c>
      <x:c r="K33" s="16" t="b">
        <x:v>1</x:v>
      </x:c>
      <x:c r="L33" s="16" t="b">
        <x:v>1</x:v>
      </x:c>
      <x:c r="M33" s="15" t="n">
        <x:v>1</x:v>
      </x:c>
      <x:c r="N33" s="16" t="b">
        <x:v>1</x:v>
      </x:c>
      <x:c r="O33" s="15" t="n">
        <x:v>8</x:v>
      </x:c>
      <x:c r="P33" s="16" t="b">
        <x:v>1</x:v>
      </x:c>
      <x:c r="Q33" s="16" t="b">
        <x:v>1</x:v>
      </x:c>
      <x:c r="R33" s="16" t="b">
        <x:v>1</x:v>
      </x:c>
      <x:c r="S33" s="15" t="str">
        <x:v>2026-05-06 15:30</x:v>
      </x:c>
      <x:c r="T33" s="15" t="str">
        <x:v>2026-05-06 15:38</x:v>
      </x:c>
    </x:row>
    <x:row r="34">
      <x:c r="A34" s="15" t="str">
        <x:v>V-2010</x:v>
      </x:c>
      <x:c r="B34" s="15" t="str">
        <x:v>APP-2010:qualified</x:v>
      </x:c>
      <x:c r="C34" s="15" t="str">
        <x:v>EV-2010-qualified</x:v>
      </x:c>
      <x:c r="D34" s="15" t="str">
        <x:v>qualified</x:v>
      </x:c>
      <x:c r="E34" s="15" t="str">
        <x:v>2026-05-07</x:v>
      </x:c>
      <x:c r="F34" s="16" t="b">
        <x:v>1</x:v>
      </x:c>
      <x:c r="G34" s="16" t="b">
        <x:v>1</x:v>
      </x:c>
      <x:c r="H34" s="16" t="b">
        <x:v>1</x:v>
      </x:c>
      <x:c r="I34" s="16" t="b">
        <x:v>1</x:v>
      </x:c>
      <x:c r="J34" s="16" t="b">
        <x:v>1</x:v>
      </x:c>
      <x:c r="K34" s="16" t="b">
        <x:v>1</x:v>
      </x:c>
      <x:c r="L34" s="16" t="b">
        <x:v>1</x:v>
      </x:c>
      <x:c r="M34" s="15" t="n">
        <x:v>1</x:v>
      </x:c>
      <x:c r="N34" s="16" t="b">
        <x:v>1</x:v>
      </x:c>
      <x:c r="O34" s="15" t="n">
        <x:v>9</x:v>
      </x:c>
      <x:c r="P34" s="16" t="b">
        <x:v>1</x:v>
      </x:c>
      <x:c r="Q34" s="16" t="b">
        <x:v>1</x:v>
      </x:c>
      <x:c r="R34" s="16" t="b">
        <x:v>1</x:v>
      </x:c>
      <x:c r="S34" s="15" t="str">
        <x:v>2026-05-07 15:30</x:v>
      </x:c>
      <x:c r="T34" s="15" t="str">
        <x:v>2026-05-07 15:39</x:v>
      </x:c>
    </x:row>
    <x:row r="35">
      <x:c r="A35" s="15" t="str">
        <x:v>V-2010</x:v>
      </x:c>
      <x:c r="B35" s="15" t="str">
        <x:v>APP-2010:approved</x:v>
      </x:c>
      <x:c r="C35" s="15" t="str">
        <x:v>EV-2010-approved</x:v>
      </x:c>
      <x:c r="D35" s="15" t="str">
        <x:v>approved</x:v>
      </x:c>
      <x:c r="E35" s="15" t="str">
        <x:v>2026-05-08</x:v>
      </x:c>
      <x:c r="F35" s="16" t="b">
        <x:v>1</x:v>
      </x:c>
      <x:c r="G35" s="16" t="b">
        <x:v>1</x:v>
      </x:c>
      <x:c r="H35" s="16" t="b">
        <x:v>1</x:v>
      </x:c>
      <x:c r="I35" s="16" t="b">
        <x:v>1</x:v>
      </x:c>
      <x:c r="J35" s="16" t="b">
        <x:v>1</x:v>
      </x:c>
      <x:c r="K35" s="16" t="b">
        <x:v>1</x:v>
      </x:c>
      <x:c r="L35" s="16" t="b">
        <x:v>1</x:v>
      </x:c>
      <x:c r="M35" s="15" t="n">
        <x:v>1</x:v>
      </x:c>
      <x:c r="N35" s="16" t="b">
        <x:v>1</x:v>
      </x:c>
      <x:c r="O35" s="15" t="n">
        <x:v>11</x:v>
      </x:c>
      <x:c r="P35" s="16" t="b">
        <x:v>1</x:v>
      </x:c>
      <x:c r="Q35" s="16" t="b">
        <x:v>1</x:v>
      </x:c>
      <x:c r="R35" s="16" t="b">
        <x:v>1</x:v>
      </x:c>
      <x:c r="S35" s="15" t="str">
        <x:v>2026-05-08 15:30</x:v>
      </x:c>
      <x:c r="T35" s="15" t="str">
        <x:v>2026-05-08 15:41</x:v>
      </x:c>
    </x:row>
    <x:row r="36">
      <x:c r="A36" s="15" t="str">
        <x:v>V-2010</x:v>
      </x:c>
      <x:c r="B36" s="15" t="str">
        <x:v>LN-2010:funded</x:v>
      </x:c>
      <x:c r="C36" s="15" t="str">
        <x:v>EV-2010-funded</x:v>
      </x:c>
      <x:c r="D36" s="15" t="str">
        <x:v>funded</x:v>
      </x:c>
      <x:c r="E36" s="15" t="str">
        <x:v>2026-05-10</x:v>
      </x:c>
      <x:c r="F36" s="16" t="b">
        <x:v>1</x:v>
      </x:c>
      <x:c r="G36" s="16" t="b">
        <x:v>1</x:v>
      </x:c>
      <x:c r="H36" s="16" t="b">
        <x:v>1</x:v>
      </x:c>
      <x:c r="I36" s="16" t="b">
        <x:v>1</x:v>
      </x:c>
      <x:c r="J36" s="16" t="b">
        <x:v>1</x:v>
      </x:c>
      <x:c r="K36" s="16" t="b">
        <x:v>1</x:v>
      </x:c>
      <x:c r="L36" s="16" t="b">
        <x:v>1</x:v>
      </x:c>
      <x:c r="M36" s="15" t="n">
        <x:v>1</x:v>
      </x:c>
      <x:c r="N36" s="16" t="b">
        <x:v>1</x:v>
      </x:c>
      <x:c r="O36" s="15" t="n">
        <x:v>46</x:v>
      </x:c>
      <x:c r="P36" s="16" t="b">
        <x:v>0</x:v>
      </x:c>
      <x:c r="Q36" s="16" t="b">
        <x:v>1</x:v>
      </x:c>
      <x:c r="R36" s="16" t="b">
        <x:v>1</x:v>
      </x:c>
      <x:c r="S36" s="15" t="str">
        <x:v>2026-05-10 15:30</x:v>
      </x:c>
      <x:c r="T36" s="15" t="str">
        <x:v>2026-05-10 16:16</x:v>
      </x:c>
    </x:row>
    <x:row r="37">
      <x:c r="A37" s="15" t="str">
        <x:v>V-2011</x:v>
      </x:c>
      <x:c r="B37" s="15" t="str">
        <x:v>APP-2011:submitted</x:v>
      </x:c>
      <x:c r="C37" s="15" t="str">
        <x:v>EV-2011-submitted</x:v>
      </x:c>
      <x:c r="D37" s="15" t="str">
        <x:v>submitted</x:v>
      </x:c>
      <x:c r="E37" s="15" t="str">
        <x:v>2026-06-16</x:v>
      </x:c>
      <x:c r="F37" s="16" t="b">
        <x:v>1</x:v>
      </x:c>
      <x:c r="G37" s="16" t="b">
        <x:v>1</x:v>
      </x:c>
      <x:c r="H37" s="16" t="b">
        <x:v>1</x:v>
      </x:c>
      <x:c r="I37" s="16" t="b">
        <x:v>1</x:v>
      </x:c>
      <x:c r="J37" s="16" t="b">
        <x:v>1</x:v>
      </x:c>
      <x:c r="K37" s="16" t="b">
        <x:v>1</x:v>
      </x:c>
      <x:c r="L37" s="16" t="b">
        <x:v>1</x:v>
      </x:c>
      <x:c r="M37" s="15" t="n">
        <x:v>1</x:v>
      </x:c>
      <x:c r="N37" s="16" t="b">
        <x:v>1</x:v>
      </x:c>
      <x:c r="O37" s="15" t="n">
        <x:v>9</x:v>
      </x:c>
      <x:c r="P37" s="16" t="b">
        <x:v>1</x:v>
      </x:c>
      <x:c r="Q37" s="16" t="b">
        <x:v>1</x:v>
      </x:c>
      <x:c r="R37" s="16" t="b">
        <x:v>1</x:v>
      </x:c>
      <x:c r="S37" s="15" t="str">
        <x:v>2026-06-16 16:31</x:v>
      </x:c>
      <x:c r="T37" s="15" t="str">
        <x:v>2026-06-16 16:40</x:v>
      </x:c>
    </x:row>
    <x:row r="38">
      <x:c r="A38" s="15" t="str">
        <x:v>V-2011</x:v>
      </x:c>
      <x:c r="B38" s="15" t="str">
        <x:v>APP-2011:qualified</x:v>
      </x:c>
      <x:c r="C38" s="15" t="str">
        <x:v>EV-2011-qualified</x:v>
      </x:c>
      <x:c r="D38" s="15" t="str">
        <x:v>qualified</x:v>
      </x:c>
      <x:c r="E38" s="15" t="str">
        <x:v>2026-06-17</x:v>
      </x:c>
      <x:c r="F38" s="16" t="b">
        <x:v>1</x:v>
      </x:c>
      <x:c r="G38" s="16" t="b">
        <x:v>1</x:v>
      </x:c>
      <x:c r="H38" s="16" t="b">
        <x:v>1</x:v>
      </x:c>
      <x:c r="I38" s="16" t="b">
        <x:v>1</x:v>
      </x:c>
      <x:c r="J38" s="16" t="b">
        <x:v>1</x:v>
      </x:c>
      <x:c r="K38" s="16" t="b">
        <x:v>1</x:v>
      </x:c>
      <x:c r="L38" s="16" t="b">
        <x:v>1</x:v>
      </x:c>
      <x:c r="M38" s="15" t="n">
        <x:v>1</x:v>
      </x:c>
      <x:c r="N38" s="16" t="b">
        <x:v>1</x:v>
      </x:c>
      <x:c r="O38" s="15" t="n">
        <x:v>10</x:v>
      </x:c>
      <x:c r="P38" s="16" t="b">
        <x:v>1</x:v>
      </x:c>
      <x:c r="Q38" s="16" t="b">
        <x:v>1</x:v>
      </x:c>
      <x:c r="R38" s="16" t="b">
        <x:v>1</x:v>
      </x:c>
      <x:c r="S38" s="15" t="str">
        <x:v>2026-06-17 16:31</x:v>
      </x:c>
      <x:c r="T38" s="15" t="str">
        <x:v>2026-06-17 16:41</x:v>
      </x:c>
    </x:row>
    <x:row r="39">
      <x:c r="A39" s="15" t="str">
        <x:v>V-2011</x:v>
      </x:c>
      <x:c r="B39" s="15" t="str">
        <x:v>APP-2011:approved</x:v>
      </x:c>
      <x:c r="C39" s="15" t="str">
        <x:v>EV-2011-approved</x:v>
      </x:c>
      <x:c r="D39" s="15" t="str">
        <x:v>approved</x:v>
      </x:c>
      <x:c r="E39" s="15" t="str">
        <x:v>2026-06-18</x:v>
      </x:c>
      <x:c r="F39" s="16" t="b">
        <x:v>1</x:v>
      </x:c>
      <x:c r="G39" s="16" t="b">
        <x:v>1</x:v>
      </x:c>
      <x:c r="H39" s="16" t="b">
        <x:v>1</x:v>
      </x:c>
      <x:c r="I39" s="16" t="b">
        <x:v>1</x:v>
      </x:c>
      <x:c r="J39" s="16" t="b">
        <x:v>1</x:v>
      </x:c>
      <x:c r="K39" s="16" t="b">
        <x:v>1</x:v>
      </x:c>
      <x:c r="L39" s="16" t="b">
        <x:v>1</x:v>
      </x:c>
      <x:c r="M39" s="15" t="n">
        <x:v>1</x:v>
      </x:c>
      <x:c r="N39" s="16" t="b">
        <x:v>1</x:v>
      </x:c>
      <x:c r="O39" s="15" t="n">
        <x:v>12</x:v>
      </x:c>
      <x:c r="P39" s="16" t="b">
        <x:v>1</x:v>
      </x:c>
      <x:c r="Q39" s="16" t="b">
        <x:v>0</x:v>
      </x:c>
      <x:c r="R39" s="16" t="b">
        <x:v>1</x:v>
      </x:c>
      <x:c r="S39" s="15" t="str">
        <x:v>2026-06-18 16:31</x:v>
      </x:c>
      <x:c r="T39" s="15" t="str">
        <x:v>2026-06-18 16:43</x:v>
      </x:c>
    </x:row>
    <x:row r="40">
      <x:c r="A40" s="15" t="str">
        <x:v>V-2011</x:v>
      </x:c>
      <x:c r="B40" s="15" t="str">
        <x:v>LN-2011:funded</x:v>
      </x:c>
      <x:c r="C40" s="15" t="str">
        <x:v>EV-2011-funded</x:v>
      </x:c>
      <x:c r="D40" s="15" t="str">
        <x:v>funded</x:v>
      </x:c>
      <x:c r="E40" s="15" t="str">
        <x:v>2026-06-20</x:v>
      </x:c>
      <x:c r="F40" s="16" t="b">
        <x:v>1</x:v>
      </x:c>
      <x:c r="G40" s="16" t="b">
        <x:v>1</x:v>
      </x:c>
      <x:c r="H40" s="16" t="b">
        <x:v>1</x:v>
      </x:c>
      <x:c r="I40" s="16" t="b">
        <x:v>1</x:v>
      </x:c>
      <x:c r="J40" s="16" t="b">
        <x:v>1</x:v>
      </x:c>
      <x:c r="K40" s="16" t="b">
        <x:v>1</x:v>
      </x:c>
      <x:c r="L40" s="16" t="b">
        <x:v>1</x:v>
      </x:c>
      <x:c r="M40" s="15" t="n">
        <x:v>1</x:v>
      </x:c>
      <x:c r="N40" s="16" t="b">
        <x:v>1</x:v>
      </x:c>
      <x:c r="O40" s="15" t="n">
        <x:v>47</x:v>
      </x:c>
      <x:c r="P40" s="16" t="b">
        <x:v>1</x:v>
      </x:c>
      <x:c r="Q40" s="16" t="b">
        <x:v>1</x:v>
      </x:c>
      <x:c r="R40" s="16" t="b">
        <x:v>1</x:v>
      </x:c>
      <x:c r="S40" s="15" t="str">
        <x:v>2026-06-20 16:31</x:v>
      </x:c>
      <x:c r="T40" s="15" t="str">
        <x:v>2026-06-20 17:18</x:v>
      </x:c>
    </x:row>
    <x:row r="41">
      <x:c r="A41" s="15" t="str">
        <x:v>V-2012</x:v>
      </x:c>
      <x:c r="B41" s="15" t="str">
        <x:v>APP-2012:submitted</x:v>
      </x:c>
      <x:c r="C41" s="15" t="str">
        <x:v>EV-2012-submitted</x:v>
      </x:c>
      <x:c r="D41" s="15" t="str">
        <x:v>submitted</x:v>
      </x:c>
      <x:c r="E41" s="15" t="str">
        <x:v>2026-07-03</x:v>
      </x:c>
      <x:c r="F41" s="16" t="b">
        <x:v>1</x:v>
      </x:c>
      <x:c r="G41" s="16" t="b">
        <x:v>1</x:v>
      </x:c>
      <x:c r="H41" s="16" t="b">
        <x:v>1</x:v>
      </x:c>
      <x:c r="I41" s="16" t="b">
        <x:v>1</x:v>
      </x:c>
      <x:c r="J41" s="16" t="b">
        <x:v>1</x:v>
      </x:c>
      <x:c r="K41" s="16" t="b">
        <x:v>1</x:v>
      </x:c>
      <x:c r="L41" s="16" t="b">
        <x:v>1</x:v>
      </x:c>
      <x:c r="M41" s="15" t="n">
        <x:v>1</x:v>
      </x:c>
      <x:c r="N41" s="16" t="b">
        <x:v>1</x:v>
      </x:c>
      <x:c r="O41" s="15" t="n">
        <x:v>10</x:v>
      </x:c>
      <x:c r="P41" s="16" t="b">
        <x:v>1</x:v>
      </x:c>
      <x:c r="Q41" s="16" t="b">
        <x:v>1</x:v>
      </x:c>
      <x:c r="R41" s="16" t="b">
        <x:v>1</x:v>
      </x:c>
      <x:c r="S41" s="15" t="str">
        <x:v>2026-07-03 17:32</x:v>
      </x:c>
      <x:c r="T41" s="15" t="str">
        <x:v>2026-07-03 17:42</x:v>
      </x:c>
    </x:row>
    <x:row r="42">
      <x:c r="A42" s="15" t="str">
        <x:v>V-2012</x:v>
      </x:c>
      <x:c r="B42" s="15" t="str">
        <x:v>APP-2012:qualified</x:v>
      </x:c>
      <x:c r="C42" s="15" t="str">
        <x:v>EV-2012-qualified</x:v>
      </x:c>
      <x:c r="D42" s="15" t="str">
        <x:v>qualified</x:v>
      </x:c>
      <x:c r="E42" s="15" t="str">
        <x:v>2026-07-04</x:v>
      </x:c>
      <x:c r="F42" s="16" t="b">
        <x:v>1</x:v>
      </x:c>
      <x:c r="G42" s="16" t="b">
        <x:v>1</x:v>
      </x:c>
      <x:c r="H42" s="16" t="b">
        <x:v>1</x:v>
      </x:c>
      <x:c r="I42" s="16" t="b">
        <x:v>1</x:v>
      </x:c>
      <x:c r="J42" s="16" t="b">
        <x:v>1</x:v>
      </x:c>
      <x:c r="K42" s="16" t="b">
        <x:v>1</x:v>
      </x:c>
      <x:c r="L42" s="16" t="b">
        <x:v>1</x:v>
      </x:c>
      <x:c r="M42" s="15" t="n">
        <x:v>1</x:v>
      </x:c>
      <x:c r="N42" s="16" t="b">
        <x:v>1</x:v>
      </x:c>
      <x:c r="O42" s="15" t="n">
        <x:v>11</x:v>
      </x:c>
      <x:c r="P42" s="16" t="b">
        <x:v>1</x:v>
      </x:c>
      <x:c r="Q42" s="16" t="b">
        <x:v>1</x:v>
      </x:c>
      <x:c r="R42" s="16" t="b">
        <x:v>1</x:v>
      </x:c>
      <x:c r="S42" s="15" t="str">
        <x:v>2026-07-04 17:32</x:v>
      </x:c>
      <x:c r="T42" s="15" t="str">
        <x:v>2026-07-04 17:43</x:v>
      </x:c>
    </x:row>
    <x:row r="43">
      <x:c r="A43" s="15" t="str">
        <x:v>V-2012</x:v>
      </x:c>
      <x:c r="B43" s="15" t="str">
        <x:v>APP-2012:approved</x:v>
      </x:c>
      <x:c r="C43" s="15" t="str">
        <x:v>EV-2012-approved</x:v>
      </x:c>
      <x:c r="D43" s="15" t="str">
        <x:v>approved</x:v>
      </x:c>
      <x:c r="E43" s="15" t="str">
        <x:v>2026-07-05</x:v>
      </x:c>
      <x:c r="F43" s="16" t="b">
        <x:v>1</x:v>
      </x:c>
      <x:c r="G43" s="16" t="b">
        <x:v>1</x:v>
      </x:c>
      <x:c r="H43" s="16" t="b">
        <x:v>1</x:v>
      </x:c>
      <x:c r="I43" s="16" t="b">
        <x:v>1</x:v>
      </x:c>
      <x:c r="J43" s="16" t="b">
        <x:v>1</x:v>
      </x:c>
      <x:c r="K43" s="16" t="b">
        <x:v>1</x:v>
      </x:c>
      <x:c r="L43" s="16" t="b">
        <x:v>1</x:v>
      </x:c>
      <x:c r="M43" s="15" t="n">
        <x:v>1</x:v>
      </x:c>
      <x:c r="N43" s="16" t="b">
        <x:v>1</x:v>
      </x:c>
      <x:c r="O43" s="15" t="n">
        <x:v>13</x:v>
      </x:c>
      <x:c r="P43" s="16" t="b">
        <x:v>1</x:v>
      </x:c>
      <x:c r="Q43" s="16" t="b">
        <x:v>1</x:v>
      </x:c>
      <x:c r="R43" s="16" t="b">
        <x:v>1</x:v>
      </x:c>
      <x:c r="S43" s="15" t="str">
        <x:v>2026-07-05 17:32</x:v>
      </x:c>
      <x:c r="T43" s="15" t="str">
        <x:v>2026-07-05 17:45</x:v>
      </x:c>
    </x:row>
    <x:row r="44">
      <x:c r="A44" s="15" t="str">
        <x:v>V-2013</x:v>
      </x:c>
      <x:c r="B44" s="15" t="str">
        <x:v>APP-2013:submitted</x:v>
      </x:c>
      <x:c r="C44" s="15" t="str">
        <x:v>EV-2013-submitted</x:v>
      </x:c>
      <x:c r="D44" s="15" t="str">
        <x:v>submitted</x:v>
      </x:c>
      <x:c r="E44" s="15" t="str">
        <x:v>2026-08-09</x:v>
      </x:c>
      <x:c r="F44" s="16" t="b">
        <x:v>1</x:v>
      </x:c>
      <x:c r="G44" s="16" t="b">
        <x:v>1</x:v>
      </x:c>
      <x:c r="H44" s="16" t="b">
        <x:v>1</x:v>
      </x:c>
      <x:c r="I44" s="16" t="b">
        <x:v>1</x:v>
      </x:c>
      <x:c r="J44" s="16" t="b">
        <x:v>1</x:v>
      </x:c>
      <x:c r="K44" s="16" t="b">
        <x:v>1</x:v>
      </x:c>
      <x:c r="L44" s="16" t="b">
        <x:v>1</x:v>
      </x:c>
      <x:c r="M44" s="15" t="n">
        <x:v>1</x:v>
      </x:c>
      <x:c r="N44" s="16" t="b">
        <x:v>1</x:v>
      </x:c>
      <x:c r="O44" s="15" t="n">
        <x:v>11</x:v>
      </x:c>
      <x:c r="P44" s="16" t="b">
        <x:v>1</x:v>
      </x:c>
      <x:c r="Q44" s="16" t="b">
        <x:v>1</x:v>
      </x:c>
      <x:c r="R44" s="16" t="b">
        <x:v>1</x:v>
      </x:c>
      <x:c r="S44" s="15" t="str">
        <x:v>2026-08-09 18:33</x:v>
      </x:c>
      <x:c r="T44" s="15" t="str">
        <x:v>2026-08-09 18:44</x:v>
      </x:c>
    </x:row>
    <x:row r="45">
      <x:c r="A45" s="15" t="str">
        <x:v>V-2013</x:v>
      </x:c>
      <x:c r="B45" s="15" t="str">
        <x:v>APP-2013:qualified</x:v>
      </x:c>
      <x:c r="C45" s="15" t="str">
        <x:v>EV-2013-qualified</x:v>
      </x:c>
      <x:c r="D45" s="15" t="str">
        <x:v>qualified</x:v>
      </x:c>
      <x:c r="E45" s="15" t="str">
        <x:v>2026-08-10</x:v>
      </x:c>
      <x:c r="F45" s="16" t="b">
        <x:v>1</x:v>
      </x:c>
      <x:c r="G45" s="16" t="b">
        <x:v>1</x:v>
      </x:c>
      <x:c r="H45" s="16" t="b">
        <x:v>1</x:v>
      </x:c>
      <x:c r="I45" s="16" t="b">
        <x:v>1</x:v>
      </x:c>
      <x:c r="J45" s="16" t="b">
        <x:v>1</x:v>
      </x:c>
      <x:c r="K45" s="16" t="b">
        <x:v>1</x:v>
      </x:c>
      <x:c r="L45" s="16" t="b">
        <x:v>1</x:v>
      </x:c>
      <x:c r="M45" s="15" t="n">
        <x:v>1</x:v>
      </x:c>
      <x:c r="N45" s="16" t="b">
        <x:v>1</x:v>
      </x:c>
      <x:c r="O45" s="15" t="n">
        <x:v>12</x:v>
      </x:c>
      <x:c r="P45" s="16" t="b">
        <x:v>1</x:v>
      </x:c>
      <x:c r="Q45" s="16" t="b">
        <x:v>1</x:v>
      </x:c>
      <x:c r="R45" s="16" t="b">
        <x:v>1</x:v>
      </x:c>
      <x:c r="S45" s="15" t="str">
        <x:v>2026-08-10 18:33</x:v>
      </x:c>
      <x:c r="T45" s="15" t="str">
        <x:v>2026-08-10 18:45</x:v>
      </x:c>
    </x:row>
    <x:row r="46">
      <x:c r="A46" s="15" t="str">
        <x:v>V-2013</x:v>
      </x:c>
      <x:c r="B46" s="15" t="str">
        <x:v>APP-2013:approved</x:v>
      </x:c>
      <x:c r="C46" s="15" t="str">
        <x:v>EV-2013-approved</x:v>
      </x:c>
      <x:c r="D46" s="15" t="str">
        <x:v>approved</x:v>
      </x:c>
      <x:c r="E46" s="15" t="str">
        <x:v>2026-08-11</x:v>
      </x:c>
      <x:c r="F46" s="16" t="b">
        <x:v>1</x:v>
      </x:c>
      <x:c r="G46" s="16" t="b">
        <x:v>1</x:v>
      </x:c>
      <x:c r="H46" s="16" t="b">
        <x:v>1</x:v>
      </x:c>
      <x:c r="I46" s="16" t="b">
        <x:v>1</x:v>
      </x:c>
      <x:c r="J46" s="16" t="b">
        <x:v>1</x:v>
      </x:c>
      <x:c r="K46" s="16" t="b">
        <x:v>1</x:v>
      </x:c>
      <x:c r="L46" s="16" t="b">
        <x:v>1</x:v>
      </x:c>
      <x:c r="M46" s="15" t="n">
        <x:v>1</x:v>
      </x:c>
      <x:c r="N46" s="16" t="b">
        <x:v>1</x:v>
      </x:c>
      <x:c r="O46" s="15" t="n">
        <x:v>14</x:v>
      </x:c>
      <x:c r="P46" s="16" t="b">
        <x:v>1</x:v>
      </x:c>
      <x:c r="Q46" s="16" t="b">
        <x:v>1</x:v>
      </x:c>
      <x:c r="R46" s="16" t="b">
        <x:v>1</x:v>
      </x:c>
      <x:c r="S46" s="15" t="str">
        <x:v>2026-08-11 18:33</x:v>
      </x:c>
      <x:c r="T46" s="15" t="str">
        <x:v>2026-08-11 18:47</x:v>
      </x:c>
    </x:row>
    <x:row r="47">
      <x:c r="A47" s="15" t="str">
        <x:v>V-2013</x:v>
      </x:c>
      <x:c r="B47" s="15" t="str">
        <x:v>LN-2013:funded</x:v>
      </x:c>
      <x:c r="C47" s="15" t="str">
        <x:v>EV-2013-funded</x:v>
      </x:c>
      <x:c r="D47" s="15" t="str">
        <x:v>funded</x:v>
      </x:c>
      <x:c r="E47" s="15" t="str">
        <x:v>2026-08-13</x:v>
      </x:c>
      <x:c r="F47" s="16" t="b">
        <x:v>1</x:v>
      </x:c>
      <x:c r="G47" s="16" t="b">
        <x:v>1</x:v>
      </x:c>
      <x:c r="H47" s="16" t="b">
        <x:v>1</x:v>
      </x:c>
      <x:c r="I47" s="16" t="b">
        <x:v>1</x:v>
      </x:c>
      <x:c r="J47" s="16" t="b">
        <x:v>1</x:v>
      </x:c>
      <x:c r="K47" s="16" t="b">
        <x:v>1</x:v>
      </x:c>
      <x:c r="L47" s="16" t="b">
        <x:v>1</x:v>
      </x:c>
      <x:c r="M47" s="15" t="n">
        <x:v>1</x:v>
      </x:c>
      <x:c r="N47" s="16" t="b">
        <x:v>1</x:v>
      </x:c>
      <x:c r="O47" s="15" t="n">
        <x:v>49</x:v>
      </x:c>
      <x:c r="P47" s="16" t="b">
        <x:v>1</x:v>
      </x:c>
      <x:c r="Q47" s="16" t="b">
        <x:v>1</x:v>
      </x:c>
      <x:c r="R47" s="16" t="b">
        <x:v>1</x:v>
      </x:c>
      <x:c r="S47" s="15" t="str">
        <x:v>2026-08-13 18:33</x:v>
      </x:c>
      <x:c r="T47" s="15" t="str">
        <x:v>2026-08-13 19:22</x:v>
      </x:c>
    </x:row>
    <x:row r="48">
      <x:c r="A48" s="15" t="str">
        <x:v>V-2014</x:v>
      </x:c>
      <x:c r="B48" s="15" t="str">
        <x:v>APP-2014:submitted</x:v>
      </x:c>
      <x:c r="C48" s="15" t="str">
        <x:v>EV-2014-submitted</x:v>
      </x:c>
      <x:c r="D48" s="15" t="str">
        <x:v>submitted</x:v>
      </x:c>
      <x:c r="E48" s="15" t="str">
        <x:v>2026-09-03</x:v>
      </x:c>
      <x:c r="F48" s="16" t="b">
        <x:v>1</x:v>
      </x:c>
      <x:c r="G48" s="16" t="b">
        <x:v>1</x:v>
      </x:c>
      <x:c r="H48" s="16" t="b">
        <x:v>1</x:v>
      </x:c>
      <x:c r="I48" s="16" t="b">
        <x:v>1</x:v>
      </x:c>
      <x:c r="J48" s="16" t="b">
        <x:v>1</x:v>
      </x:c>
      <x:c r="K48" s="16" t="b">
        <x:v>1</x:v>
      </x:c>
      <x:c r="L48" s="16" t="b">
        <x:v>1</x:v>
      </x:c>
      <x:c r="M48" s="15" t="n">
        <x:v>1</x:v>
      </x:c>
      <x:c r="N48" s="16" t="b">
        <x:v>1</x:v>
      </x:c>
      <x:c r="O48" s="15" t="n">
        <x:v>12</x:v>
      </x:c>
      <x:c r="P48" s="16" t="b">
        <x:v>1</x:v>
      </x:c>
      <x:c r="Q48" s="16" t="b">
        <x:v>1</x:v>
      </x:c>
      <x:c r="R48" s="16" t="b">
        <x:v>1</x:v>
      </x:c>
      <x:c r="S48" s="15" t="str">
        <x:v>2026-09-03 19:34</x:v>
      </x:c>
      <x:c r="T48" s="15" t="str">
        <x:v>2026-09-03 19:46</x:v>
      </x:c>
    </x:row>
    <x:row r="49">
      <x:c r="A49" s="15" t="str">
        <x:v>V-2015</x:v>
      </x:c>
      <x:c r="B49" s="15" t="str">
        <x:v>APP-2015:submitted</x:v>
      </x:c>
      <x:c r="C49" s="15" t="str">
        <x:v>EV-2015-submitted</x:v>
      </x:c>
      <x:c r="D49" s="15" t="str">
        <x:v>submitted</x:v>
      </x:c>
      <x:c r="E49" s="15" t="str">
        <x:v>2026-05-05</x:v>
      </x:c>
      <x:c r="F49" s="16" t="b">
        <x:v>0</x:v>
      </x:c>
      <x:c r="G49" s="16" t="b">
        <x:v>0</x:v>
      </x:c>
      <x:c r="H49" s="16" t="b">
        <x:v>0</x:v>
      </x:c>
      <x:c r="I49" s="16" t="b">
        <x:v>0</x:v>
      </x:c>
      <x:c r="J49" s="16" t="b">
        <x:v>0</x:v>
      </x:c>
      <x:c r="K49" s="16" t="b">
        <x:v>0</x:v>
      </x:c>
      <x:c r="L49" s="16" t="b">
        <x:v>0</x:v>
      </x:c>
      <x:c r="M49" s="15" t="n">
        <x:v>0</x:v>
      </x:c>
      <x:c r="N49" s="16" t="b">
        <x:v>0</x:v>
      </x:c>
      <x:c r="O49" s="15"/>
      <x:c r="P49" s="16" t="b">
        <x:v>1</x:v>
      </x:c>
      <x:c r="Q49" s="16" t="b">
        <x:v>1</x:v>
      </x:c>
      <x:c r="R49" s="16" t="b">
        <x:v>1</x:v>
      </x:c>
      <x:c r="S49" s="15"/>
      <x:c r="T49" s="15"/>
    </x:row>
    <x:row r="50">
      <x:c r="A50" s="15" t="str">
        <x:v>V-2015</x:v>
      </x:c>
      <x:c r="B50" s="15" t="str">
        <x:v>APP-2015:qualified</x:v>
      </x:c>
      <x:c r="C50" s="15" t="str">
        <x:v>EV-2015-qualified</x:v>
      </x:c>
      <x:c r="D50" s="15" t="str">
        <x:v>qualified</x:v>
      </x:c>
      <x:c r="E50" s="15" t="str">
        <x:v>2026-05-06</x:v>
      </x:c>
      <x:c r="F50" s="16" t="b">
        <x:v>0</x:v>
      </x:c>
      <x:c r="G50" s="16" t="b">
        <x:v>0</x:v>
      </x:c>
      <x:c r="H50" s="16" t="b">
        <x:v>0</x:v>
      </x:c>
      <x:c r="I50" s="16" t="b">
        <x:v>0</x:v>
      </x:c>
      <x:c r="J50" s="16" t="b">
        <x:v>0</x:v>
      </x:c>
      <x:c r="K50" s="16" t="b">
        <x:v>0</x:v>
      </x:c>
      <x:c r="L50" s="16" t="b">
        <x:v>0</x:v>
      </x:c>
      <x:c r="M50" s="15" t="n">
        <x:v>0</x:v>
      </x:c>
      <x:c r="N50" s="16" t="b">
        <x:v>0</x:v>
      </x:c>
      <x:c r="O50" s="15"/>
      <x:c r="P50" s="16" t="b">
        <x:v>1</x:v>
      </x:c>
      <x:c r="Q50" s="16" t="b">
        <x:v>1</x:v>
      </x:c>
      <x:c r="R50" s="16" t="b">
        <x:v>1</x:v>
      </x:c>
      <x:c r="S50" s="15"/>
      <x:c r="T50" s="15"/>
    </x:row>
    <x:row r="51">
      <x:c r="A51" s="15" t="str">
        <x:v>V-2015</x:v>
      </x:c>
      <x:c r="B51" s="15" t="str">
        <x:v>APP-2015:approved</x:v>
      </x:c>
      <x:c r="C51" s="15" t="str">
        <x:v>EV-2015-approved</x:v>
      </x:c>
      <x:c r="D51" s="15" t="str">
        <x:v>approved</x:v>
      </x:c>
      <x:c r="E51" s="15" t="str">
        <x:v>2026-05-07</x:v>
      </x:c>
      <x:c r="F51" s="16" t="b">
        <x:v>0</x:v>
      </x:c>
      <x:c r="G51" s="16" t="b">
        <x:v>0</x:v>
      </x:c>
      <x:c r="H51" s="16" t="b">
        <x:v>0</x:v>
      </x:c>
      <x:c r="I51" s="16" t="b">
        <x:v>0</x:v>
      </x:c>
      <x:c r="J51" s="16" t="b">
        <x:v>0</x:v>
      </x:c>
      <x:c r="K51" s="16" t="b">
        <x:v>0</x:v>
      </x:c>
      <x:c r="L51" s="16" t="b">
        <x:v>0</x:v>
      </x:c>
      <x:c r="M51" s="15" t="n">
        <x:v>0</x:v>
      </x:c>
      <x:c r="N51" s="16" t="b">
        <x:v>0</x:v>
      </x:c>
      <x:c r="O51" s="15"/>
      <x:c r="P51" s="16" t="b">
        <x:v>1</x:v>
      </x:c>
      <x:c r="Q51" s="16" t="b">
        <x:v>1</x:v>
      </x:c>
      <x:c r="R51" s="16" t="b">
        <x:v>1</x:v>
      </x:c>
      <x:c r="S51" s="15"/>
      <x:c r="T51" s="15"/>
    </x:row>
    <x:row r="52">
      <x:c r="A52" s="15" t="str">
        <x:v>V-2015</x:v>
      </x:c>
      <x:c r="B52" s="15" t="str">
        <x:v>LN-2015:funded</x:v>
      </x:c>
      <x:c r="C52" s="15" t="str">
        <x:v>EV-2015-funded</x:v>
      </x:c>
      <x:c r="D52" s="15" t="str">
        <x:v>funded</x:v>
      </x:c>
      <x:c r="E52" s="15" t="str">
        <x:v>2026-05-08</x:v>
      </x:c>
      <x:c r="F52" s="16" t="b">
        <x:v>0</x:v>
      </x:c>
      <x:c r="G52" s="16" t="b">
        <x:v>0</x:v>
      </x:c>
      <x:c r="H52" s="16" t="b">
        <x:v>0</x:v>
      </x:c>
      <x:c r="I52" s="16" t="b">
        <x:v>0</x:v>
      </x:c>
      <x:c r="J52" s="16" t="b">
        <x:v>0</x:v>
      </x:c>
      <x:c r="K52" s="16" t="b">
        <x:v>0</x:v>
      </x:c>
      <x:c r="L52" s="16" t="b">
        <x:v>0</x:v>
      </x:c>
      <x:c r="M52" s="15" t="n">
        <x:v>0</x:v>
      </x:c>
      <x:c r="N52" s="16" t="b">
        <x:v>0</x:v>
      </x:c>
      <x:c r="O52" s="15"/>
      <x:c r="P52" s="16" t="b">
        <x:v>1</x:v>
      </x:c>
      <x:c r="Q52" s="16" t="b">
        <x:v>1</x:v>
      </x:c>
      <x:c r="R52" s="16" t="b">
        <x:v>1</x:v>
      </x:c>
      <x:c r="S52" s="15"/>
      <x:c r="T52" s="15"/>
    </x:row>
    <x:row r="53">
      <x:c r="A53" s="15" t="str">
        <x:v>V-2016</x:v>
      </x:c>
      <x:c r="B53" s="15" t="str">
        <x:v>APP-2016:submitted</x:v>
      </x:c>
      <x:c r="C53" s="15" t="str">
        <x:v>EV-2016-submitted</x:v>
      </x:c>
      <x:c r="D53" s="15" t="str">
        <x:v>submitted</x:v>
      </x:c>
      <x:c r="E53" s="15" t="str">
        <x:v>2026-06-06</x:v>
      </x:c>
      <x:c r="F53" s="16" t="b">
        <x:v>0</x:v>
      </x:c>
      <x:c r="G53" s="16" t="b">
        <x:v>0</x:v>
      </x:c>
      <x:c r="H53" s="16" t="b">
        <x:v>0</x:v>
      </x:c>
      <x:c r="I53" s="16" t="b">
        <x:v>0</x:v>
      </x:c>
      <x:c r="J53" s="16" t="b">
        <x:v>0</x:v>
      </x:c>
      <x:c r="K53" s="16" t="b">
        <x:v>0</x:v>
      </x:c>
      <x:c r="L53" s="16" t="b">
        <x:v>0</x:v>
      </x:c>
      <x:c r="M53" s="15" t="n">
        <x:v>0</x:v>
      </x:c>
      <x:c r="N53" s="16" t="b">
        <x:v>0</x:v>
      </x:c>
      <x:c r="O53" s="15"/>
      <x:c r="P53" s="16" t="b">
        <x:v>1</x:v>
      </x:c>
      <x:c r="Q53" s="16" t="b">
        <x:v>1</x:v>
      </x:c>
      <x:c r="R53" s="16" t="b">
        <x:v>1</x:v>
      </x:c>
      <x:c r="S53" s="15"/>
      <x:c r="T53" s="15"/>
    </x:row>
    <x:row r="54">
      <x:c r="A54" s="15" t="str">
        <x:v>V-2016</x:v>
      </x:c>
      <x:c r="B54" s="15" t="str">
        <x:v>APP-2016:qualified</x:v>
      </x:c>
      <x:c r="C54" s="15" t="str">
        <x:v>EV-2016-qualified</x:v>
      </x:c>
      <x:c r="D54" s="15" t="str">
        <x:v>qualified</x:v>
      </x:c>
      <x:c r="E54" s="15" t="str">
        <x:v>2026-06-07</x:v>
      </x:c>
      <x:c r="F54" s="16" t="b">
        <x:v>0</x:v>
      </x:c>
      <x:c r="G54" s="16" t="b">
        <x:v>0</x:v>
      </x:c>
      <x:c r="H54" s="16" t="b">
        <x:v>0</x:v>
      </x:c>
      <x:c r="I54" s="16" t="b">
        <x:v>0</x:v>
      </x:c>
      <x:c r="J54" s="16" t="b">
        <x:v>0</x:v>
      </x:c>
      <x:c r="K54" s="16" t="b">
        <x:v>0</x:v>
      </x:c>
      <x:c r="L54" s="16" t="b">
        <x:v>0</x:v>
      </x:c>
      <x:c r="M54" s="15" t="n">
        <x:v>0</x:v>
      </x:c>
      <x:c r="N54" s="16" t="b">
        <x:v>0</x:v>
      </x:c>
      <x:c r="O54" s="15"/>
      <x:c r="P54" s="16" t="b">
        <x:v>1</x:v>
      </x:c>
      <x:c r="Q54" s="16" t="b">
        <x:v>1</x:v>
      </x:c>
      <x:c r="R54" s="16" t="b">
        <x:v>1</x:v>
      </x:c>
      <x:c r="S54" s="15"/>
      <x:c r="T54" s="15"/>
    </x:row>
    <x:row r="55">
      <x:c r="A55" s="15" t="str">
        <x:v>V-2016</x:v>
      </x:c>
      <x:c r="B55" s="15" t="str">
        <x:v>APP-2016:approved</x:v>
      </x:c>
      <x:c r="C55" s="15" t="str">
        <x:v>EV-2016-approved</x:v>
      </x:c>
      <x:c r="D55" s="15" t="str">
        <x:v>approved</x:v>
      </x:c>
      <x:c r="E55" s="15" t="str">
        <x:v>2026-06-08</x:v>
      </x:c>
      <x:c r="F55" s="16" t="b">
        <x:v>0</x:v>
      </x:c>
      <x:c r="G55" s="16" t="b">
        <x:v>0</x:v>
      </x:c>
      <x:c r="H55" s="16" t="b">
        <x:v>0</x:v>
      </x:c>
      <x:c r="I55" s="16" t="b">
        <x:v>0</x:v>
      </x:c>
      <x:c r="J55" s="16" t="b">
        <x:v>0</x:v>
      </x:c>
      <x:c r="K55" s="16" t="b">
        <x:v>0</x:v>
      </x:c>
      <x:c r="L55" s="16" t="b">
        <x:v>0</x:v>
      </x:c>
      <x:c r="M55" s="15" t="n">
        <x:v>0</x:v>
      </x:c>
      <x:c r="N55" s="16" t="b">
        <x:v>0</x:v>
      </x:c>
      <x:c r="O55" s="15"/>
      <x:c r="P55" s="16" t="b">
        <x:v>1</x:v>
      </x:c>
      <x:c r="Q55" s="16" t="b">
        <x:v>1</x:v>
      </x:c>
      <x:c r="R55" s="16" t="b">
        <x:v>1</x:v>
      </x:c>
      <x:c r="S55" s="15"/>
      <x:c r="T55" s="15"/>
    </x:row>
    <x:row r="56">
      <x:c r="A56" s="15" t="str">
        <x:v>V-2016</x:v>
      </x:c>
      <x:c r="B56" s="15" t="str">
        <x:v>LN-2016:funded</x:v>
      </x:c>
      <x:c r="C56" s="15" t="str">
        <x:v>EV-2016-funded</x:v>
      </x:c>
      <x:c r="D56" s="15" t="str">
        <x:v>funded</x:v>
      </x:c>
      <x:c r="E56" s="15" t="str">
        <x:v>2026-06-10</x:v>
      </x:c>
      <x:c r="F56" s="16" t="b">
        <x:v>0</x:v>
      </x:c>
      <x:c r="G56" s="16" t="b">
        <x:v>0</x:v>
      </x:c>
      <x:c r="H56" s="16" t="b">
        <x:v>0</x:v>
      </x:c>
      <x:c r="I56" s="16" t="b">
        <x:v>0</x:v>
      </x:c>
      <x:c r="J56" s="16" t="b">
        <x:v>0</x:v>
      </x:c>
      <x:c r="K56" s="16" t="b">
        <x:v>0</x:v>
      </x:c>
      <x:c r="L56" s="16" t="b">
        <x:v>0</x:v>
      </x:c>
      <x:c r="M56" s="15" t="n">
        <x:v>0</x:v>
      </x:c>
      <x:c r="N56" s="16" t="b">
        <x:v>0</x:v>
      </x:c>
      <x:c r="O56" s="15"/>
      <x:c r="P56" s="16" t="b">
        <x:v>1</x:v>
      </x:c>
      <x:c r="Q56" s="16" t="b">
        <x:v>1</x:v>
      </x:c>
      <x:c r="R56" s="16" t="b">
        <x:v>1</x:v>
      </x:c>
      <x:c r="S56" s="15"/>
      <x:c r="T56" s="15"/>
    </x:row>
    <x:row r="57">
      <x:c r="A57" s="15" t="str">
        <x:v>V-2017</x:v>
      </x:c>
      <x:c r="B57" s="15" t="str">
        <x:v>APP-2017:submitted</x:v>
      </x:c>
      <x:c r="C57" s="15" t="str">
        <x:v>EV-2017-submitted</x:v>
      </x:c>
      <x:c r="D57" s="15" t="str">
        <x:v>submitted</x:v>
      </x:c>
      <x:c r="E57" s="15" t="str">
        <x:v>2026-07-05</x:v>
      </x:c>
      <x:c r="F57" s="16" t="b">
        <x:v>0</x:v>
      </x:c>
      <x:c r="G57" s="16" t="b">
        <x:v>0</x:v>
      </x:c>
      <x:c r="H57" s="16" t="b">
        <x:v>0</x:v>
      </x:c>
      <x:c r="I57" s="16" t="b">
        <x:v>0</x:v>
      </x:c>
      <x:c r="J57" s="16" t="b">
        <x:v>0</x:v>
      </x:c>
      <x:c r="K57" s="16" t="b">
        <x:v>0</x:v>
      </x:c>
      <x:c r="L57" s="16" t="b">
        <x:v>0</x:v>
      </x:c>
      <x:c r="M57" s="15" t="n">
        <x:v>0</x:v>
      </x:c>
      <x:c r="N57" s="16" t="b">
        <x:v>0</x:v>
      </x:c>
      <x:c r="O57" s="15"/>
      <x:c r="P57" s="16" t="b">
        <x:v>1</x:v>
      </x:c>
      <x:c r="Q57" s="16" t="b">
        <x:v>1</x:v>
      </x:c>
      <x:c r="R57" s="16" t="b">
        <x:v>1</x:v>
      </x:c>
      <x:c r="S57" s="15"/>
      <x:c r="T57" s="15"/>
    </x:row>
    <x:row r="58">
      <x:c r="A58" s="15" t="str">
        <x:v>V-2017</x:v>
      </x:c>
      <x:c r="B58" s="15" t="str">
        <x:v>APP-2017:qualified</x:v>
      </x:c>
      <x:c r="C58" s="15" t="str">
        <x:v>EV-2017-qualified</x:v>
      </x:c>
      <x:c r="D58" s="15" t="str">
        <x:v>qualified</x:v>
      </x:c>
      <x:c r="E58" s="15" t="str">
        <x:v>2026-07-06</x:v>
      </x:c>
      <x:c r="F58" s="16" t="b">
        <x:v>0</x:v>
      </x:c>
      <x:c r="G58" s="16" t="b">
        <x:v>0</x:v>
      </x:c>
      <x:c r="H58" s="16" t="b">
        <x:v>0</x:v>
      </x:c>
      <x:c r="I58" s="16" t="b">
        <x:v>0</x:v>
      </x:c>
      <x:c r="J58" s="16" t="b">
        <x:v>0</x:v>
      </x:c>
      <x:c r="K58" s="16" t="b">
        <x:v>0</x:v>
      </x:c>
      <x:c r="L58" s="16" t="b">
        <x:v>0</x:v>
      </x:c>
      <x:c r="M58" s="15" t="n">
        <x:v>0</x:v>
      </x:c>
      <x:c r="N58" s="16" t="b">
        <x:v>0</x:v>
      </x:c>
      <x:c r="O58" s="15"/>
      <x:c r="P58" s="16" t="b">
        <x:v>1</x:v>
      </x:c>
      <x:c r="Q58" s="16" t="b">
        <x:v>1</x:v>
      </x:c>
      <x:c r="R58" s="16" t="b">
        <x:v>1</x:v>
      </x:c>
      <x:c r="S58" s="15"/>
      <x:c r="T58" s="15"/>
    </x:row>
    <x:row r="59">
      <x:c r="A59" s="15" t="str">
        <x:v>V-2017</x:v>
      </x:c>
      <x:c r="B59" s="15" t="str">
        <x:v>APP-2017:approved</x:v>
      </x:c>
      <x:c r="C59" s="15" t="str">
        <x:v>EV-2017-approved</x:v>
      </x:c>
      <x:c r="D59" s="15" t="str">
        <x:v>approved</x:v>
      </x:c>
      <x:c r="E59" s="15" t="str">
        <x:v>2026-07-07</x:v>
      </x:c>
      <x:c r="F59" s="16" t="b">
        <x:v>1</x:v>
      </x:c>
      <x:c r="G59" s="16" t="b">
        <x:v>1</x:v>
      </x:c>
      <x:c r="H59" s="16" t="b">
        <x:v>1</x:v>
      </x:c>
      <x:c r="I59" s="16" t="b">
        <x:v>1</x:v>
      </x:c>
      <x:c r="J59" s="16" t="b">
        <x:v>1</x:v>
      </x:c>
      <x:c r="K59" s="16" t="b">
        <x:v>1</x:v>
      </x:c>
      <x:c r="L59" s="16" t="b">
        <x:v>1</x:v>
      </x:c>
      <x:c r="M59" s="15" t="n">
        <x:v>1</x:v>
      </x:c>
      <x:c r="N59" s="16" t="b">
        <x:v>1</x:v>
      </x:c>
      <x:c r="O59" s="15" t="n">
        <x:v>9</x:v>
      </x:c>
      <x:c r="P59" s="16" t="b">
        <x:v>1</x:v>
      </x:c>
      <x:c r="Q59" s="16" t="b">
        <x:v>1</x:v>
      </x:c>
      <x:c r="R59" s="16" t="b">
        <x:v>1</x:v>
      </x:c>
      <x:c r="S59" s="15" t="str">
        <x:v>2026-07-07 10:37</x:v>
      </x:c>
      <x:c r="T59" s="15" t="str">
        <x:v>2026-07-07 10:46</x:v>
      </x:c>
    </x:row>
    <x:row r="60">
      <x:c r="A60" s="15" t="str">
        <x:v>V-2017</x:v>
      </x:c>
      <x:c r="B60" s="15" t="str">
        <x:v>LN-2017:funded</x:v>
      </x:c>
      <x:c r="C60" s="15" t="str">
        <x:v>EV-2017-funded</x:v>
      </x:c>
      <x:c r="D60" s="15" t="str">
        <x:v>funded</x:v>
      </x:c>
      <x:c r="E60" s="15" t="str">
        <x:v>2026-07-08</x:v>
      </x:c>
      <x:c r="F60" s="16" t="b">
        <x:v>1</x:v>
      </x:c>
      <x:c r="G60" s="16" t="b">
        <x:v>1</x:v>
      </x:c>
      <x:c r="H60" s="16" t="b">
        <x:v>1</x:v>
      </x:c>
      <x:c r="I60" s="16" t="b">
        <x:v>1</x:v>
      </x:c>
      <x:c r="J60" s="16" t="b">
        <x:v>1</x:v>
      </x:c>
      <x:c r="K60" s="16" t="b">
        <x:v>1</x:v>
      </x:c>
      <x:c r="L60" s="16" t="b">
        <x:v>1</x:v>
      </x:c>
      <x:c r="M60" s="15" t="n">
        <x:v>1</x:v>
      </x:c>
      <x:c r="N60" s="16" t="b">
        <x:v>1</x:v>
      </x:c>
      <x:c r="O60" s="15" t="n">
        <x:v>22</x:v>
      </x:c>
      <x:c r="P60" s="16" t="b">
        <x:v>1</x:v>
      </x:c>
      <x:c r="Q60" s="16" t="b">
        <x:v>1</x:v>
      </x:c>
      <x:c r="R60" s="16" t="b">
        <x:v>1</x:v>
      </x:c>
      <x:c r="S60" s="15" t="str">
        <x:v>2026-07-08 10:37</x:v>
      </x:c>
      <x:c r="T60" s="15" t="str">
        <x:v>2026-07-08 10:59</x:v>
      </x:c>
    </x:row>
    <x:row r="61">
      <x:c r="A61" s="15" t="str">
        <x:v>V-2018</x:v>
      </x:c>
      <x:c r="B61" s="15" t="str">
        <x:v>APP-2018:submitted</x:v>
      </x:c>
      <x:c r="C61" s="15" t="str">
        <x:v>EV-2018-submitted</x:v>
      </x:c>
      <x:c r="D61" s="15" t="str">
        <x:v>submitted</x:v>
      </x:c>
      <x:c r="E61" s="15" t="str">
        <x:v>2026-07-16</x:v>
      </x:c>
      <x:c r="F61" s="16" t="b">
        <x:v>0</x:v>
      </x:c>
      <x:c r="G61" s="16" t="b">
        <x:v>0</x:v>
      </x:c>
      <x:c r="H61" s="16" t="b">
        <x:v>0</x:v>
      </x:c>
      <x:c r="I61" s="16" t="b">
        <x:v>0</x:v>
      </x:c>
      <x:c r="J61" s="16" t="b">
        <x:v>0</x:v>
      </x:c>
      <x:c r="K61" s="16" t="b">
        <x:v>0</x:v>
      </x:c>
      <x:c r="L61" s="16" t="b">
        <x:v>0</x:v>
      </x:c>
      <x:c r="M61" s="15" t="n">
        <x:v>0</x:v>
      </x:c>
      <x:c r="N61" s="16" t="b">
        <x:v>0</x:v>
      </x:c>
      <x:c r="O61" s="15"/>
      <x:c r="P61" s="16" t="b">
        <x:v>1</x:v>
      </x:c>
      <x:c r="Q61" s="16" t="b">
        <x:v>1</x:v>
      </x:c>
      <x:c r="R61" s="16" t="b">
        <x:v>1</x:v>
      </x:c>
      <x:c r="S61" s="15"/>
      <x:c r="T61" s="15"/>
    </x:row>
    <x:row r="62">
      <x:c r="A62" s="15" t="str">
        <x:v>V-2018</x:v>
      </x:c>
      <x:c r="B62" s="15" t="str">
        <x:v>APP-2018:qualified</x:v>
      </x:c>
      <x:c r="C62" s="15" t="str">
        <x:v>EV-2018-qualified</x:v>
      </x:c>
      <x:c r="D62" s="15" t="str">
        <x:v>qualified</x:v>
      </x:c>
      <x:c r="E62" s="15" t="str">
        <x:v>2026-07-17</x:v>
      </x:c>
      <x:c r="F62" s="16" t="b">
        <x:v>0</x:v>
      </x:c>
      <x:c r="G62" s="16" t="b">
        <x:v>0</x:v>
      </x:c>
      <x:c r="H62" s="16" t="b">
        <x:v>0</x:v>
      </x:c>
      <x:c r="I62" s="16" t="b">
        <x:v>0</x:v>
      </x:c>
      <x:c r="J62" s="16" t="b">
        <x:v>0</x:v>
      </x:c>
      <x:c r="K62" s="16" t="b">
        <x:v>0</x:v>
      </x:c>
      <x:c r="L62" s="16" t="b">
        <x:v>0</x:v>
      </x:c>
      <x:c r="M62" s="15" t="n">
        <x:v>0</x:v>
      </x:c>
      <x:c r="N62" s="16" t="b">
        <x:v>0</x:v>
      </x:c>
      <x:c r="O62" s="15"/>
      <x:c r="P62" s="16" t="b">
        <x:v>1</x:v>
      </x:c>
      <x:c r="Q62" s="16" t="b">
        <x:v>1</x:v>
      </x:c>
      <x:c r="R62" s="16" t="b">
        <x:v>1</x:v>
      </x:c>
      <x:c r="S62" s="15"/>
      <x:c r="T62" s="15"/>
    </x:row>
    <x:row r="63">
      <x:c r="A63" s="15" t="str">
        <x:v>V-2018</x:v>
      </x:c>
      <x:c r="B63" s="15" t="str">
        <x:v>APP-2018:approved</x:v>
      </x:c>
      <x:c r="C63" s="15" t="str">
        <x:v>EV-2018-approved</x:v>
      </x:c>
      <x:c r="D63" s="15" t="str">
        <x:v>approved</x:v>
      </x:c>
      <x:c r="E63" s="15" t="str">
        <x:v>2026-07-18</x:v>
      </x:c>
      <x:c r="F63" s="16" t="b">
        <x:v>0</x:v>
      </x:c>
      <x:c r="G63" s="16" t="b">
        <x:v>0</x:v>
      </x:c>
      <x:c r="H63" s="16" t="b">
        <x:v>0</x:v>
      </x:c>
      <x:c r="I63" s="16" t="b">
        <x:v>0</x:v>
      </x:c>
      <x:c r="J63" s="16" t="b">
        <x:v>0</x:v>
      </x:c>
      <x:c r="K63" s="16" t="b">
        <x:v>0</x:v>
      </x:c>
      <x:c r="L63" s="16" t="b">
        <x:v>0</x:v>
      </x:c>
      <x:c r="M63" s="15" t="n">
        <x:v>0</x:v>
      </x:c>
      <x:c r="N63" s="16" t="b">
        <x:v>0</x:v>
      </x:c>
      <x:c r="O63" s="15"/>
      <x:c r="P63" s="16" t="b">
        <x:v>1</x:v>
      </x:c>
      <x:c r="Q63" s="16" t="b">
        <x:v>1</x:v>
      </x:c>
      <x:c r="R63" s="16" t="b">
        <x:v>1</x:v>
      </x:c>
      <x:c r="S63" s="15"/>
      <x:c r="T63" s="15"/>
    </x:row>
    <x:row r="64">
      <x:c r="A64" s="15" t="str">
        <x:v>V-2019</x:v>
      </x:c>
      <x:c r="B64" s="15" t="str">
        <x:v>APP-2019:submitted</x:v>
      </x:c>
      <x:c r="C64" s="15" t="str">
        <x:v>EV-2019-submitted</x:v>
      </x:c>
      <x:c r="D64" s="15" t="str">
        <x:v>submitted</x:v>
      </x:c>
      <x:c r="E64" s="15" t="str">
        <x:v>2026-08-06</x:v>
      </x:c>
      <x:c r="F64" s="16" t="b">
        <x:v>0</x:v>
      </x:c>
      <x:c r="G64" s="16" t="b">
        <x:v>0</x:v>
      </x:c>
      <x:c r="H64" s="16" t="b">
        <x:v>0</x:v>
      </x:c>
      <x:c r="I64" s="16" t="b">
        <x:v>0</x:v>
      </x:c>
      <x:c r="J64" s="16" t="b">
        <x:v>0</x:v>
      </x:c>
      <x:c r="K64" s="16" t="b">
        <x:v>0</x:v>
      </x:c>
      <x:c r="L64" s="16" t="b">
        <x:v>0</x:v>
      </x:c>
      <x:c r="M64" s="15" t="n">
        <x:v>0</x:v>
      </x:c>
      <x:c r="N64" s="16" t="b">
        <x:v>0</x:v>
      </x:c>
      <x:c r="O64" s="15"/>
      <x:c r="P64" s="16" t="b">
        <x:v>1</x:v>
      </x:c>
      <x:c r="Q64" s="16" t="b">
        <x:v>1</x:v>
      </x:c>
      <x:c r="R64" s="16" t="b">
        <x:v>1</x:v>
      </x:c>
      <x:c r="S64" s="15"/>
      <x:c r="T64" s="15"/>
    </x:row>
    <x:row r="65">
      <x:c r="A65" s="15" t="str">
        <x:v>V-2019</x:v>
      </x:c>
      <x:c r="B65" s="15" t="str">
        <x:v>APP-2019:qualified</x:v>
      </x:c>
      <x:c r="C65" s="15" t="str">
        <x:v>EV-2019-qualified</x:v>
      </x:c>
      <x:c r="D65" s="15" t="str">
        <x:v>qualified</x:v>
      </x:c>
      <x:c r="E65" s="15" t="str">
        <x:v>2026-08-07</x:v>
      </x:c>
      <x:c r="F65" s="16" t="b">
        <x:v>0</x:v>
      </x:c>
      <x:c r="G65" s="16" t="b">
        <x:v>0</x:v>
      </x:c>
      <x:c r="H65" s="16" t="b">
        <x:v>0</x:v>
      </x:c>
      <x:c r="I65" s="16" t="b">
        <x:v>0</x:v>
      </x:c>
      <x:c r="J65" s="16" t="b">
        <x:v>0</x:v>
      </x:c>
      <x:c r="K65" s="16" t="b">
        <x:v>0</x:v>
      </x:c>
      <x:c r="L65" s="16" t="b">
        <x:v>0</x:v>
      </x:c>
      <x:c r="M65" s="15" t="n">
        <x:v>0</x:v>
      </x:c>
      <x:c r="N65" s="16" t="b">
        <x:v>0</x:v>
      </x:c>
      <x:c r="O65" s="15"/>
      <x:c r="P65" s="16" t="b">
        <x:v>1</x:v>
      </x:c>
      <x:c r="Q65" s="16" t="b">
        <x:v>1</x:v>
      </x:c>
      <x:c r="R65" s="16" t="b">
        <x:v>1</x:v>
      </x:c>
      <x:c r="S65" s="15"/>
      <x:c r="T65" s="15"/>
    </x:row>
    <x:row r="66">
      <x:c r="A66" s="15" t="str">
        <x:v>V-2019</x:v>
      </x:c>
      <x:c r="B66" s="15" t="str">
        <x:v>APP-2019:approved</x:v>
      </x:c>
      <x:c r="C66" s="15" t="str">
        <x:v>EV-2019-approved</x:v>
      </x:c>
      <x:c r="D66" s="15" t="str">
        <x:v>approved</x:v>
      </x:c>
      <x:c r="E66" s="15" t="str">
        <x:v>2026-08-08</x:v>
      </x:c>
      <x:c r="F66" s="16" t="b">
        <x:v>0</x:v>
      </x:c>
      <x:c r="G66" s="16" t="b">
        <x:v>0</x:v>
      </x:c>
      <x:c r="H66" s="16" t="b">
        <x:v>0</x:v>
      </x:c>
      <x:c r="I66" s="16" t="b">
        <x:v>0</x:v>
      </x:c>
      <x:c r="J66" s="16" t="b">
        <x:v>0</x:v>
      </x:c>
      <x:c r="K66" s="16" t="b">
        <x:v>0</x:v>
      </x:c>
      <x:c r="L66" s="16" t="b">
        <x:v>0</x:v>
      </x:c>
      <x:c r="M66" s="15" t="n">
        <x:v>0</x:v>
      </x:c>
      <x:c r="N66" s="16" t="b">
        <x:v>0</x:v>
      </x:c>
      <x:c r="O66" s="15"/>
      <x:c r="P66" s="16" t="b">
        <x:v>1</x:v>
      </x:c>
      <x:c r="Q66" s="16" t="b">
        <x:v>1</x:v>
      </x:c>
      <x:c r="R66" s="16" t="b">
        <x:v>1</x:v>
      </x:c>
      <x:c r="S66" s="15"/>
      <x:c r="T66" s="15"/>
    </x:row>
    <x:row r="67">
      <x:c r="A67" s="15" t="str">
        <x:v>V-2019</x:v>
      </x:c>
      <x:c r="B67" s="15" t="str">
        <x:v>LN-2019:funded</x:v>
      </x:c>
      <x:c r="C67" s="15" t="str">
        <x:v>EV-2019-funded</x:v>
      </x:c>
      <x:c r="D67" s="15" t="str">
        <x:v>funded</x:v>
      </x:c>
      <x:c r="E67" s="15" t="str">
        <x:v>2026-08-10</x:v>
      </x:c>
      <x:c r="F67" s="16" t="b">
        <x:v>0</x:v>
      </x:c>
      <x:c r="G67" s="16" t="b">
        <x:v>0</x:v>
      </x:c>
      <x:c r="H67" s="16" t="b">
        <x:v>0</x:v>
      </x:c>
      <x:c r="I67" s="16" t="b">
        <x:v>0</x:v>
      </x:c>
      <x:c r="J67" s="16" t="b">
        <x:v>0</x:v>
      </x:c>
      <x:c r="K67" s="16" t="b">
        <x:v>0</x:v>
      </x:c>
      <x:c r="L67" s="16" t="b">
        <x:v>0</x:v>
      </x:c>
      <x:c r="M67" s="15" t="n">
        <x:v>0</x:v>
      </x:c>
      <x:c r="N67" s="16" t="b">
        <x:v>0</x:v>
      </x:c>
      <x:c r="O67" s="15"/>
      <x:c r="P67" s="16" t="b">
        <x:v>1</x:v>
      </x:c>
      <x:c r="Q67" s="16" t="b">
        <x:v>1</x:v>
      </x:c>
      <x:c r="R67" s="16" t="b">
        <x:v>1</x:v>
      </x:c>
      <x:c r="S67" s="15"/>
      <x:c r="T67" s="15"/>
    </x:row>
    <x:row r="68">
      <x:c r="A68" s="15" t="str">
        <x:v>V-2020</x:v>
      </x:c>
      <x:c r="B68" s="15" t="str">
        <x:v>APP-2020:submitted</x:v>
      </x:c>
      <x:c r="C68" s="15" t="str">
        <x:v>EV-2020-submitted</x:v>
      </x:c>
      <x:c r="D68" s="15" t="str">
        <x:v>submitted</x:v>
      </x:c>
      <x:c r="E68" s="15" t="str">
        <x:v>2026-08-26</x:v>
      </x:c>
      <x:c r="F68" s="16" t="b">
        <x:v>0</x:v>
      </x:c>
      <x:c r="G68" s="16" t="b">
        <x:v>0</x:v>
      </x:c>
      <x:c r="H68" s="16" t="b">
        <x:v>0</x:v>
      </x:c>
      <x:c r="I68" s="16" t="b">
        <x:v>0</x:v>
      </x:c>
      <x:c r="J68" s="16" t="b">
        <x:v>0</x:v>
      </x:c>
      <x:c r="K68" s="16" t="b">
        <x:v>0</x:v>
      </x:c>
      <x:c r="L68" s="16" t="b">
        <x:v>0</x:v>
      </x:c>
      <x:c r="M68" s="15" t="n">
        <x:v>0</x:v>
      </x:c>
      <x:c r="N68" s="16" t="b">
        <x:v>0</x:v>
      </x:c>
      <x:c r="O68" s="15"/>
      <x:c r="P68" s="16" t="b">
        <x:v>1</x:v>
      </x:c>
      <x:c r="Q68" s="16" t="b">
        <x:v>1</x:v>
      </x:c>
      <x:c r="R68" s="16" t="b">
        <x:v>1</x:v>
      </x:c>
      <x:c r="S68" s="15"/>
      <x:c r="T68" s="15"/>
    </x:row>
    <x:row r="69">
      <x:c r="A69" s="15" t="str">
        <x:v>V-2021</x:v>
      </x:c>
      <x:c r="B69" s="15" t="str">
        <x:v>APP-2021:submitted</x:v>
      </x:c>
      <x:c r="C69" s="15" t="str">
        <x:v>EV-2021-submitted</x:v>
      </x:c>
      <x:c r="D69" s="15" t="str">
        <x:v>submitted</x:v>
      </x:c>
      <x:c r="E69" s="15" t="str">
        <x:v>2026-09-02</x:v>
      </x:c>
      <x:c r="F69" s="16" t="b">
        <x:v>0</x:v>
      </x:c>
      <x:c r="G69" s="16" t="b">
        <x:v>0</x:v>
      </x:c>
      <x:c r="H69" s="16" t="b">
        <x:v>0</x:v>
      </x:c>
      <x:c r="I69" s="16" t="b">
        <x:v>0</x:v>
      </x:c>
      <x:c r="J69" s="16" t="b">
        <x:v>0</x:v>
      </x:c>
      <x:c r="K69" s="16" t="b">
        <x:v>0</x:v>
      </x:c>
      <x:c r="L69" s="16" t="b">
        <x:v>0</x:v>
      </x:c>
      <x:c r="M69" s="15" t="n">
        <x:v>0</x:v>
      </x:c>
      <x:c r="N69" s="16" t="b">
        <x:v>0</x:v>
      </x:c>
      <x:c r="O69" s="15"/>
      <x:c r="P69" s="16" t="b">
        <x:v>1</x:v>
      </x:c>
      <x:c r="Q69" s="16" t="b">
        <x:v>1</x:v>
      </x:c>
      <x:c r="R69" s="16" t="b">
        <x:v>1</x:v>
      </x:c>
      <x:c r="S69" s="15"/>
      <x:c r="T69" s="15"/>
    </x:row>
    <x:row r="70">
      <x:c r="A70" s="15" t="str">
        <x:v>V-2021</x:v>
      </x:c>
      <x:c r="B70" s="15" t="str">
        <x:v>APP-2021:qualified</x:v>
      </x:c>
      <x:c r="C70" s="15" t="str">
        <x:v>EV-2021-qualified</x:v>
      </x:c>
      <x:c r="D70" s="15" t="str">
        <x:v>qualified</x:v>
      </x:c>
      <x:c r="E70" s="15" t="str">
        <x:v>2026-09-03</x:v>
      </x:c>
      <x:c r="F70" s="16" t="b">
        <x:v>0</x:v>
      </x:c>
      <x:c r="G70" s="16" t="b">
        <x:v>0</x:v>
      </x:c>
      <x:c r="H70" s="16" t="b">
        <x:v>0</x:v>
      </x:c>
      <x:c r="I70" s="16" t="b">
        <x:v>0</x:v>
      </x:c>
      <x:c r="J70" s="16" t="b">
        <x:v>0</x:v>
      </x:c>
      <x:c r="K70" s="16" t="b">
        <x:v>0</x:v>
      </x:c>
      <x:c r="L70" s="16" t="b">
        <x:v>0</x:v>
      </x:c>
      <x:c r="M70" s="15" t="n">
        <x:v>0</x:v>
      </x:c>
      <x:c r="N70" s="16" t="b">
        <x:v>0</x:v>
      </x:c>
      <x:c r="O70" s="15"/>
      <x:c r="P70" s="16" t="b">
        <x:v>1</x:v>
      </x:c>
      <x:c r="Q70" s="16" t="b">
        <x:v>1</x:v>
      </x:c>
      <x:c r="R70" s="16" t="b">
        <x:v>1</x:v>
      </x:c>
      <x:c r="S70" s="15"/>
      <x:c r="T70" s="15"/>
    </x:row>
    <x:row r="71">
      <x:c r="A71" s="15" t="str">
        <x:v>V-2021</x:v>
      </x:c>
      <x:c r="B71" s="15" t="str">
        <x:v>APP-2021:approved</x:v>
      </x:c>
      <x:c r="C71" s="15" t="str">
        <x:v>EV-2021-approved</x:v>
      </x:c>
      <x:c r="D71" s="15" t="str">
        <x:v>approved</x:v>
      </x:c>
      <x:c r="E71" s="15" t="str">
        <x:v>2026-09-04</x:v>
      </x:c>
      <x:c r="F71" s="16" t="b">
        <x:v>0</x:v>
      </x:c>
      <x:c r="G71" s="16" t="b">
        <x:v>0</x:v>
      </x:c>
      <x:c r="H71" s="16" t="b">
        <x:v>0</x:v>
      </x:c>
      <x:c r="I71" s="16" t="b">
        <x:v>0</x:v>
      </x:c>
      <x:c r="J71" s="16" t="b">
        <x:v>0</x:v>
      </x:c>
      <x:c r="K71" s="16" t="b">
        <x:v>0</x:v>
      </x:c>
      <x:c r="L71" s="16" t="b">
        <x:v>0</x:v>
      </x:c>
      <x:c r="M71" s="15" t="n">
        <x:v>0</x:v>
      </x:c>
      <x:c r="N71" s="16" t="b">
        <x:v>0</x:v>
      </x:c>
      <x:c r="O71" s="15"/>
      <x:c r="P71" s="16" t="b">
        <x:v>1</x:v>
      </x:c>
      <x:c r="Q71" s="16" t="b">
        <x:v>1</x:v>
      </x:c>
      <x:c r="R71" s="16" t="b">
        <x:v>1</x:v>
      </x:c>
      <x:c r="S71" s="15"/>
      <x:c r="T71" s="15"/>
    </x:row>
    <x:row r="72">
      <x:c r="A72" s="15" t="str">
        <x:v>V-2021</x:v>
      </x:c>
      <x:c r="B72" s="15" t="str">
        <x:v>LN-2021:funded</x:v>
      </x:c>
      <x:c r="C72" s="15" t="str">
        <x:v>EV-2021-funded</x:v>
      </x:c>
      <x:c r="D72" s="15" t="str">
        <x:v>funded</x:v>
      </x:c>
      <x:c r="E72" s="15" t="str">
        <x:v>2026-09-06</x:v>
      </x:c>
      <x:c r="F72" s="16" t="b">
        <x:v>0</x:v>
      </x:c>
      <x:c r="G72" s="16" t="b">
        <x:v>0</x:v>
      </x:c>
      <x:c r="H72" s="16" t="b">
        <x:v>0</x:v>
      </x:c>
      <x:c r="I72" s="16" t="b">
        <x:v>0</x:v>
      </x:c>
      <x:c r="J72" s="16" t="b">
        <x:v>0</x:v>
      </x:c>
      <x:c r="K72" s="16" t="b">
        <x:v>0</x:v>
      </x:c>
      <x:c r="L72" s="16" t="b">
        <x:v>0</x:v>
      </x:c>
      <x:c r="M72" s="15" t="n">
        <x:v>0</x:v>
      </x:c>
      <x:c r="N72" s="16" t="b">
        <x:v>0</x:v>
      </x:c>
      <x:c r="O72" s="15"/>
      <x:c r="P72" s="16" t="b">
        <x:v>1</x:v>
      </x:c>
      <x:c r="Q72" s="16" t="b">
        <x:v>1</x:v>
      </x:c>
      <x:c r="R72" s="16" t="b">
        <x:v>1</x:v>
      </x:c>
      <x:c r="S72" s="15"/>
      <x:c r="T72" s="15"/>
    </x:row>
    <x:row r="73">
      <x:c r="A73" s="15" t="str">
        <x:v>V-2022</x:v>
      </x:c>
      <x:c r="B73" s="15" t="str">
        <x:v>APP-2022:submitted</x:v>
      </x:c>
      <x:c r="C73" s="15" t="str">
        <x:v>EV-2022-submitted</x:v>
      </x:c>
      <x:c r="D73" s="15" t="str">
        <x:v>submitted</x:v>
      </x:c>
      <x:c r="E73" s="15" t="str">
        <x:v>2026-05-03</x:v>
      </x:c>
      <x:c r="F73" s="16" t="b">
        <x:v>0</x:v>
      </x:c>
      <x:c r="G73" s="16" t="b">
        <x:v>0</x:v>
      </x:c>
      <x:c r="H73" s="16" t="b">
        <x:v>0</x:v>
      </x:c>
      <x:c r="I73" s="16" t="b">
        <x:v>0</x:v>
      </x:c>
      <x:c r="J73" s="16" t="b">
        <x:v>0</x:v>
      </x:c>
      <x:c r="K73" s="16" t="b">
        <x:v>0</x:v>
      </x:c>
      <x:c r="L73" s="16" t="b">
        <x:v>0</x:v>
      </x:c>
      <x:c r="M73" s="15" t="n">
        <x:v>0</x:v>
      </x:c>
      <x:c r="N73" s="16" t="b">
        <x:v>0</x:v>
      </x:c>
      <x:c r="O73" s="15"/>
      <x:c r="P73" s="16" t="b">
        <x:v>1</x:v>
      </x:c>
      <x:c r="Q73" s="16" t="b">
        <x:v>1</x:v>
      </x:c>
      <x:c r="R73" s="16" t="b">
        <x:v>1</x:v>
      </x:c>
      <x:c r="S73" s="15"/>
      <x:c r="T73" s="15"/>
    </x:row>
    <x:row r="74">
      <x:c r="A74" s="15" t="str">
        <x:v>V-2022</x:v>
      </x:c>
      <x:c r="B74" s="15" t="str">
        <x:v>APP-2022:qualified</x:v>
      </x:c>
      <x:c r="C74" s="15" t="str">
        <x:v>EV-2022-qualified</x:v>
      </x:c>
      <x:c r="D74" s="15" t="str">
        <x:v>qualified</x:v>
      </x:c>
      <x:c r="E74" s="15" t="str">
        <x:v>2026-05-04</x:v>
      </x:c>
      <x:c r="F74" s="16" t="b">
        <x:v>0</x:v>
      </x:c>
      <x:c r="G74" s="16" t="b">
        <x:v>0</x:v>
      </x:c>
      <x:c r="H74" s="16" t="b">
        <x:v>0</x:v>
      </x:c>
      <x:c r="I74" s="16" t="b">
        <x:v>0</x:v>
      </x:c>
      <x:c r="J74" s="16" t="b">
        <x:v>0</x:v>
      </x:c>
      <x:c r="K74" s="16" t="b">
        <x:v>0</x:v>
      </x:c>
      <x:c r="L74" s="16" t="b">
        <x:v>0</x:v>
      </x:c>
      <x:c r="M74" s="15" t="n">
        <x:v>0</x:v>
      </x:c>
      <x:c r="N74" s="16" t="b">
        <x:v>0</x:v>
      </x:c>
      <x:c r="O74" s="15"/>
      <x:c r="P74" s="16" t="b">
        <x:v>1</x:v>
      </x:c>
      <x:c r="Q74" s="16" t="b">
        <x:v>1</x:v>
      </x:c>
      <x:c r="R74" s="16" t="b">
        <x:v>1</x:v>
      </x:c>
      <x:c r="S74" s="15"/>
      <x:c r="T74" s="15"/>
    </x:row>
    <x:row r="75">
      <x:c r="A75" s="15" t="str">
        <x:v>V-2022</x:v>
      </x:c>
      <x:c r="B75" s="15" t="str">
        <x:v>APP-2022:approved</x:v>
      </x:c>
      <x:c r="C75" s="15" t="str">
        <x:v>EV-2022-approved</x:v>
      </x:c>
      <x:c r="D75" s="15" t="str">
        <x:v>approved</x:v>
      </x:c>
      <x:c r="E75" s="15" t="str">
        <x:v>2026-05-05</x:v>
      </x:c>
      <x:c r="F75" s="16" t="b">
        <x:v>0</x:v>
      </x:c>
      <x:c r="G75" s="16" t="b">
        <x:v>0</x:v>
      </x:c>
      <x:c r="H75" s="16" t="b">
        <x:v>0</x:v>
      </x:c>
      <x:c r="I75" s="16" t="b">
        <x:v>0</x:v>
      </x:c>
      <x:c r="J75" s="16" t="b">
        <x:v>0</x:v>
      </x:c>
      <x:c r="K75" s="16" t="b">
        <x:v>0</x:v>
      </x:c>
      <x:c r="L75" s="16" t="b">
        <x:v>0</x:v>
      </x:c>
      <x:c r="M75" s="15" t="n">
        <x:v>0</x:v>
      </x:c>
      <x:c r="N75" s="16" t="b">
        <x:v>0</x:v>
      </x:c>
      <x:c r="O75" s="15"/>
      <x:c r="P75" s="16" t="b">
        <x:v>1</x:v>
      </x:c>
      <x:c r="Q75" s="16" t="b">
        <x:v>1</x:v>
      </x:c>
      <x:c r="R75" s="16" t="b">
        <x:v>1</x:v>
      </x:c>
      <x:c r="S75" s="15"/>
      <x:c r="T75" s="15"/>
    </x:row>
    <x:row r="76">
      <x:c r="A76" s="15" t="str">
        <x:v>V-2022</x:v>
      </x:c>
      <x:c r="B76" s="15" t="str">
        <x:v>LN-2022:funded</x:v>
      </x:c>
      <x:c r="C76" s="15" t="str">
        <x:v>EV-2022-funded</x:v>
      </x:c>
      <x:c r="D76" s="15" t="str">
        <x:v>funded</x:v>
      </x:c>
      <x:c r="E76" s="15" t="str">
        <x:v>2026-05-06</x:v>
      </x:c>
      <x:c r="F76" s="16" t="b">
        <x:v>0</x:v>
      </x:c>
      <x:c r="G76" s="16" t="b">
        <x:v>0</x:v>
      </x:c>
      <x:c r="H76" s="16" t="b">
        <x:v>0</x:v>
      </x:c>
      <x:c r="I76" s="16" t="b">
        <x:v>0</x:v>
      </x:c>
      <x:c r="J76" s="16" t="b">
        <x:v>0</x:v>
      </x:c>
      <x:c r="K76" s="16" t="b">
        <x:v>0</x:v>
      </x:c>
      <x:c r="L76" s="16" t="b">
        <x:v>0</x:v>
      </x:c>
      <x:c r="M76" s="15" t="n">
        <x:v>0</x:v>
      </x:c>
      <x:c r="N76" s="16" t="b">
        <x:v>0</x:v>
      </x:c>
      <x:c r="O76" s="15"/>
      <x:c r="P76" s="16" t="b">
        <x:v>1</x:v>
      </x:c>
      <x:c r="Q76" s="16" t="b">
        <x:v>1</x:v>
      </x:c>
      <x:c r="R76" s="16" t="b">
        <x:v>1</x:v>
      </x:c>
      <x:c r="S76" s="15"/>
      <x:c r="T76" s="15"/>
    </x:row>
    <x:row r="77">
      <x:c r="A77" s="15" t="str">
        <x:v>V-2023</x:v>
      </x:c>
      <x:c r="B77" s="15" t="str">
        <x:v>APP-2023:submitted</x:v>
      </x:c>
      <x:c r="C77" s="15" t="str">
        <x:v>EV-2023-submitted</x:v>
      </x:c>
      <x:c r="D77" s="15" t="str">
        <x:v>submitted</x:v>
      </x:c>
      <x:c r="E77" s="15" t="str">
        <x:v>2026-06-11</x:v>
      </x:c>
      <x:c r="F77" s="16" t="b">
        <x:v>0</x:v>
      </x:c>
      <x:c r="G77" s="16" t="b">
        <x:v>0</x:v>
      </x:c>
      <x:c r="H77" s="16" t="b">
        <x:v>0</x:v>
      </x:c>
      <x:c r="I77" s="16" t="b">
        <x:v>0</x:v>
      </x:c>
      <x:c r="J77" s="16" t="b">
        <x:v>0</x:v>
      </x:c>
      <x:c r="K77" s="16" t="b">
        <x:v>0</x:v>
      </x:c>
      <x:c r="L77" s="16" t="b">
        <x:v>0</x:v>
      </x:c>
      <x:c r="M77" s="15" t="n">
        <x:v>0</x:v>
      </x:c>
      <x:c r="N77" s="16" t="b">
        <x:v>0</x:v>
      </x:c>
      <x:c r="O77" s="15"/>
      <x:c r="P77" s="16" t="b">
        <x:v>1</x:v>
      </x:c>
      <x:c r="Q77" s="16" t="b">
        <x:v>1</x:v>
      </x:c>
      <x:c r="R77" s="16" t="b">
        <x:v>1</x:v>
      </x:c>
      <x:c r="S77" s="15"/>
      <x:c r="T77" s="15"/>
    </x:row>
    <x:row r="78">
      <x:c r="A78" s="15" t="str">
        <x:v>V-2023</x:v>
      </x:c>
      <x:c r="B78" s="15" t="str">
        <x:v>APP-2023:qualified</x:v>
      </x:c>
      <x:c r="C78" s="15" t="str">
        <x:v>EV-2023-qualified</x:v>
      </x:c>
      <x:c r="D78" s="15" t="str">
        <x:v>qualified</x:v>
      </x:c>
      <x:c r="E78" s="15" t="str">
        <x:v>2026-06-12</x:v>
      </x:c>
      <x:c r="F78" s="16" t="b">
        <x:v>0</x:v>
      </x:c>
      <x:c r="G78" s="16" t="b">
        <x:v>0</x:v>
      </x:c>
      <x:c r="H78" s="16" t="b">
        <x:v>0</x:v>
      </x:c>
      <x:c r="I78" s="16" t="b">
        <x:v>0</x:v>
      </x:c>
      <x:c r="J78" s="16" t="b">
        <x:v>0</x:v>
      </x:c>
      <x:c r="K78" s="16" t="b">
        <x:v>0</x:v>
      </x:c>
      <x:c r="L78" s="16" t="b">
        <x:v>0</x:v>
      </x:c>
      <x:c r="M78" s="15" t="n">
        <x:v>0</x:v>
      </x:c>
      <x:c r="N78" s="16" t="b">
        <x:v>0</x:v>
      </x:c>
      <x:c r="O78" s="15"/>
      <x:c r="P78" s="16" t="b">
        <x:v>1</x:v>
      </x:c>
      <x:c r="Q78" s="16" t="b">
        <x:v>1</x:v>
      </x:c>
      <x:c r="R78" s="16" t="b">
        <x:v>1</x:v>
      </x:c>
      <x:c r="S78" s="15"/>
      <x:c r="T78" s="15"/>
    </x:row>
    <x:row r="79">
      <x:c r="A79" s="15" t="str">
        <x:v>V-2023</x:v>
      </x:c>
      <x:c r="B79" s="15" t="str">
        <x:v>APP-2023:approved</x:v>
      </x:c>
      <x:c r="C79" s="15" t="str">
        <x:v>EV-2023-approved</x:v>
      </x:c>
      <x:c r="D79" s="15" t="str">
        <x:v>approved</x:v>
      </x:c>
      <x:c r="E79" s="15" t="str">
        <x:v>2026-06-13</x:v>
      </x:c>
      <x:c r="F79" s="16" t="b">
        <x:v>0</x:v>
      </x:c>
      <x:c r="G79" s="16" t="b">
        <x:v>0</x:v>
      </x:c>
      <x:c r="H79" s="16" t="b">
        <x:v>0</x:v>
      </x:c>
      <x:c r="I79" s="16" t="b">
        <x:v>0</x:v>
      </x:c>
      <x:c r="J79" s="16" t="b">
        <x:v>0</x:v>
      </x:c>
      <x:c r="K79" s="16" t="b">
        <x:v>0</x:v>
      </x:c>
      <x:c r="L79" s="16" t="b">
        <x:v>0</x:v>
      </x:c>
      <x:c r="M79" s="15" t="n">
        <x:v>0</x:v>
      </x:c>
      <x:c r="N79" s="16" t="b">
        <x:v>0</x:v>
      </x:c>
      <x:c r="O79" s="15"/>
      <x:c r="P79" s="16" t="b">
        <x:v>1</x:v>
      </x:c>
      <x:c r="Q79" s="16" t="b">
        <x:v>1</x:v>
      </x:c>
      <x:c r="R79" s="16" t="b">
        <x:v>1</x:v>
      </x:c>
      <x:c r="S79" s="15"/>
      <x:c r="T79" s="15"/>
    </x:row>
    <x:row r="80">
      <x:c r="A80" s="15" t="str">
        <x:v>V-2023</x:v>
      </x:c>
      <x:c r="B80" s="15" t="str">
        <x:v>LN-2023:funded</x:v>
      </x:c>
      <x:c r="C80" s="15" t="str">
        <x:v>EV-2023-funded</x:v>
      </x:c>
      <x:c r="D80" s="15" t="str">
        <x:v>funded</x:v>
      </x:c>
      <x:c r="E80" s="15" t="str">
        <x:v>2026-06-15</x:v>
      </x:c>
      <x:c r="F80" s="16" t="b">
        <x:v>0</x:v>
      </x:c>
      <x:c r="G80" s="16" t="b">
        <x:v>0</x:v>
      </x:c>
      <x:c r="H80" s="16" t="b">
        <x:v>0</x:v>
      </x:c>
      <x:c r="I80" s="16" t="b">
        <x:v>0</x:v>
      </x:c>
      <x:c r="J80" s="16" t="b">
        <x:v>0</x:v>
      </x:c>
      <x:c r="K80" s="16" t="b">
        <x:v>0</x:v>
      </x:c>
      <x:c r="L80" s="16" t="b">
        <x:v>0</x:v>
      </x:c>
      <x:c r="M80" s="15" t="n">
        <x:v>0</x:v>
      </x:c>
      <x:c r="N80" s="16" t="b">
        <x:v>0</x:v>
      </x:c>
      <x:c r="O80" s="15"/>
      <x:c r="P80" s="16" t="b">
        <x:v>1</x:v>
      </x:c>
      <x:c r="Q80" s="16" t="b">
        <x:v>1</x:v>
      </x:c>
      <x:c r="R80" s="16" t="b">
        <x:v>1</x:v>
      </x:c>
      <x:c r="S80" s="15"/>
      <x:c r="T80" s="15"/>
    </x:row>
    <x:row r="81">
      <x:c r="A81" s="15" t="str">
        <x:v>V-2024</x:v>
      </x:c>
      <x:c r="B81" s="15" t="str">
        <x:v>APP-2024:submitted</x:v>
      </x:c>
      <x:c r="C81" s="15" t="str">
        <x:v>EV-2024-submitted</x:v>
      </x:c>
      <x:c r="D81" s="15" t="str">
        <x:v>submitted</x:v>
      </x:c>
      <x:c r="E81" s="15" t="str">
        <x:v>2026-07-06</x:v>
      </x:c>
      <x:c r="F81" s="16" t="b">
        <x:v>0</x:v>
      </x:c>
      <x:c r="G81" s="16" t="b">
        <x:v>0</x:v>
      </x:c>
      <x:c r="H81" s="16" t="b">
        <x:v>0</x:v>
      </x:c>
      <x:c r="I81" s="16" t="b">
        <x:v>0</x:v>
      </x:c>
      <x:c r="J81" s="16" t="b">
        <x:v>0</x:v>
      </x:c>
      <x:c r="K81" s="16" t="b">
        <x:v>0</x:v>
      </x:c>
      <x:c r="L81" s="16" t="b">
        <x:v>0</x:v>
      </x:c>
      <x:c r="M81" s="15" t="n">
        <x:v>0</x:v>
      </x:c>
      <x:c r="N81" s="16" t="b">
        <x:v>0</x:v>
      </x:c>
      <x:c r="O81" s="15"/>
      <x:c r="P81" s="16" t="b">
        <x:v>1</x:v>
      </x:c>
      <x:c r="Q81" s="16" t="b">
        <x:v>1</x:v>
      </x:c>
      <x:c r="R81" s="16" t="b">
        <x:v>1</x:v>
      </x:c>
      <x:c r="S81" s="15"/>
      <x:c r="T81" s="15"/>
    </x:row>
    <x:row r="82">
      <x:c r="A82" s="15" t="str">
        <x:v>V-2024</x:v>
      </x:c>
      <x:c r="B82" s="15" t="str">
        <x:v>APP-2024:qualified</x:v>
      </x:c>
      <x:c r="C82" s="15" t="str">
        <x:v>EV-2024-qualified</x:v>
      </x:c>
      <x:c r="D82" s="15" t="str">
        <x:v>qualified</x:v>
      </x:c>
      <x:c r="E82" s="15" t="str">
        <x:v>2026-07-07</x:v>
      </x:c>
      <x:c r="F82" s="16" t="b">
        <x:v>0</x:v>
      </x:c>
      <x:c r="G82" s="16" t="b">
        <x:v>0</x:v>
      </x:c>
      <x:c r="H82" s="16" t="b">
        <x:v>0</x:v>
      </x:c>
      <x:c r="I82" s="16" t="b">
        <x:v>0</x:v>
      </x:c>
      <x:c r="J82" s="16" t="b">
        <x:v>0</x:v>
      </x:c>
      <x:c r="K82" s="16" t="b">
        <x:v>0</x:v>
      </x:c>
      <x:c r="L82" s="16" t="b">
        <x:v>0</x:v>
      </x:c>
      <x:c r="M82" s="15" t="n">
        <x:v>0</x:v>
      </x:c>
      <x:c r="N82" s="16" t="b">
        <x:v>0</x:v>
      </x:c>
      <x:c r="O82" s="15"/>
      <x:c r="P82" s="16" t="b">
        <x:v>1</x:v>
      </x:c>
      <x:c r="Q82" s="16" t="b">
        <x:v>1</x:v>
      </x:c>
      <x:c r="R82" s="16" t="b">
        <x:v>1</x:v>
      </x:c>
      <x:c r="S82" s="15"/>
      <x:c r="T82" s="15"/>
    </x:row>
    <x:row r="83">
      <x:c r="A83" s="15" t="str">
        <x:v>V-2024</x:v>
      </x:c>
      <x:c r="B83" s="15" t="str">
        <x:v>APP-2024:approved</x:v>
      </x:c>
      <x:c r="C83" s="15" t="str">
        <x:v>EV-2024-approved</x:v>
      </x:c>
      <x:c r="D83" s="15" t="str">
        <x:v>approved</x:v>
      </x:c>
      <x:c r="E83" s="15" t="str">
        <x:v>2026-07-08</x:v>
      </x:c>
      <x:c r="F83" s="16" t="b">
        <x:v>0</x:v>
      </x:c>
      <x:c r="G83" s="16" t="b">
        <x:v>0</x:v>
      </x:c>
      <x:c r="H83" s="16" t="b">
        <x:v>0</x:v>
      </x:c>
      <x:c r="I83" s="16" t="b">
        <x:v>0</x:v>
      </x:c>
      <x:c r="J83" s="16" t="b">
        <x:v>0</x:v>
      </x:c>
      <x:c r="K83" s="16" t="b">
        <x:v>0</x:v>
      </x:c>
      <x:c r="L83" s="16" t="b">
        <x:v>0</x:v>
      </x:c>
      <x:c r="M83" s="15" t="n">
        <x:v>0</x:v>
      </x:c>
      <x:c r="N83" s="16" t="b">
        <x:v>0</x:v>
      </x:c>
      <x:c r="O83" s="15"/>
      <x:c r="P83" s="16" t="b">
        <x:v>1</x:v>
      </x:c>
      <x:c r="Q83" s="16" t="b">
        <x:v>1</x:v>
      </x:c>
      <x:c r="R83" s="16" t="b">
        <x:v>1</x:v>
      </x:c>
      <x:c r="S83" s="15"/>
      <x:c r="T83" s="15"/>
    </x:row>
    <x:row r="84">
      <x:c r="A84" s="15" t="str">
        <x:v>V-2024</x:v>
      </x:c>
      <x:c r="B84" s="15" t="str">
        <x:v>LN-2024:funded</x:v>
      </x:c>
      <x:c r="C84" s="15" t="str">
        <x:v>EV-2024-funded</x:v>
      </x:c>
      <x:c r="D84" s="15" t="str">
        <x:v>funded</x:v>
      </x:c>
      <x:c r="E84" s="15" t="str">
        <x:v>2026-07-10</x:v>
      </x:c>
      <x:c r="F84" s="16" t="b">
        <x:v>1</x:v>
      </x:c>
      <x:c r="G84" s="16" t="b">
        <x:v>1</x:v>
      </x:c>
      <x:c r="H84" s="16" t="b">
        <x:v>1</x:v>
      </x:c>
      <x:c r="I84" s="16" t="b">
        <x:v>1</x:v>
      </x:c>
      <x:c r="J84" s="16" t="b">
        <x:v>1</x:v>
      </x:c>
      <x:c r="K84" s="16" t="b">
        <x:v>1</x:v>
      </x:c>
      <x:c r="L84" s="16" t="b">
        <x:v>1</x:v>
      </x:c>
      <x:c r="M84" s="15" t="n">
        <x:v>1</x:v>
      </x:c>
      <x:c r="N84" s="16" t="b">
        <x:v>1</x:v>
      </x:c>
      <x:c r="O84" s="15" t="n">
        <x:v>29</x:v>
      </x:c>
      <x:c r="P84" s="16" t="b">
        <x:v>1</x:v>
      </x:c>
      <x:c r="Q84" s="16" t="b">
        <x:v>1</x:v>
      </x:c>
      <x:c r="R84" s="16" t="b">
        <x:v>1</x:v>
      </x:c>
      <x:c r="S84" s="15" t="str">
        <x:v>2026-07-10 17:44</x:v>
      </x:c>
      <x:c r="T84" s="15" t="str">
        <x:v>2026-07-10 18:13</x:v>
      </x:c>
    </x:row>
    <x:row r="85">
      <x:c r="A85" s="15" t="str">
        <x:v>V-2025</x:v>
      </x:c>
      <x:c r="B85" s="15" t="str">
        <x:v>APP-2025:submitted</x:v>
      </x:c>
      <x:c r="C85" s="15" t="str">
        <x:v>EV-2025-submitted</x:v>
      </x:c>
      <x:c r="D85" s="15" t="str">
        <x:v>submitted</x:v>
      </x:c>
      <x:c r="E85" s="15" t="str">
        <x:v>2026-08-03</x:v>
      </x:c>
      <x:c r="F85" s="16" t="b">
        <x:v>0</x:v>
      </x:c>
      <x:c r="G85" s="16" t="b">
        <x:v>0</x:v>
      </x:c>
      <x:c r="H85" s="16" t="b">
        <x:v>0</x:v>
      </x:c>
      <x:c r="I85" s="16" t="b">
        <x:v>0</x:v>
      </x:c>
      <x:c r="J85" s="16" t="b">
        <x:v>0</x:v>
      </x:c>
      <x:c r="K85" s="16" t="b">
        <x:v>0</x:v>
      </x:c>
      <x:c r="L85" s="16" t="b">
        <x:v>0</x:v>
      </x:c>
      <x:c r="M85" s="15" t="n">
        <x:v>0</x:v>
      </x:c>
      <x:c r="N85" s="16" t="b">
        <x:v>0</x:v>
      </x:c>
      <x:c r="O85" s="15"/>
      <x:c r="P85" s="16" t="b">
        <x:v>1</x:v>
      </x:c>
      <x:c r="Q85" s="16" t="b">
        <x:v>1</x:v>
      </x:c>
      <x:c r="R85" s="16" t="b">
        <x:v>1</x:v>
      </x:c>
      <x:c r="S85" s="15"/>
      <x:c r="T85" s="15"/>
    </x:row>
    <x:row r="86">
      <x:c r="A86" s="15" t="str">
        <x:v>V-2026</x:v>
      </x:c>
      <x:c r="B86" s="15" t="str">
        <x:v>APP-2026:submitted</x:v>
      </x:c>
      <x:c r="C86" s="15" t="str">
        <x:v>EV-2026-submitted</x:v>
      </x:c>
      <x:c r="D86" s="15" t="str">
        <x:v>submitted</x:v>
      </x:c>
      <x:c r="E86" s="15" t="str">
        <x:v>2026-08-16</x:v>
      </x:c>
      <x:c r="F86" s="16" t="b">
        <x:v>0</x:v>
      </x:c>
      <x:c r="G86" s="16" t="b">
        <x:v>0</x:v>
      </x:c>
      <x:c r="H86" s="16" t="b">
        <x:v>0</x:v>
      </x:c>
      <x:c r="I86" s="16" t="b">
        <x:v>0</x:v>
      </x:c>
      <x:c r="J86" s="16" t="b">
        <x:v>0</x:v>
      </x:c>
      <x:c r="K86" s="16" t="b">
        <x:v>0</x:v>
      </x:c>
      <x:c r="L86" s="16" t="b">
        <x:v>0</x:v>
      </x:c>
      <x:c r="M86" s="15" t="n">
        <x:v>0</x:v>
      </x:c>
      <x:c r="N86" s="16" t="b">
        <x:v>0</x:v>
      </x:c>
      <x:c r="O86" s="15"/>
      <x:c r="P86" s="16" t="b">
        <x:v>1</x:v>
      </x:c>
      <x:c r="Q86" s="16" t="b">
        <x:v>1</x:v>
      </x:c>
      <x:c r="R86" s="16" t="b">
        <x:v>1</x:v>
      </x:c>
      <x:c r="S86" s="15"/>
      <x:c r="T86" s="15"/>
    </x:row>
    <x:row r="87">
      <x:c r="A87" s="15" t="str">
        <x:v>V-2026</x:v>
      </x:c>
      <x:c r="B87" s="15" t="str">
        <x:v>APP-2026:qualified</x:v>
      </x:c>
      <x:c r="C87" s="15" t="str">
        <x:v>EV-2026-qualified</x:v>
      </x:c>
      <x:c r="D87" s="15" t="str">
        <x:v>qualified</x:v>
      </x:c>
      <x:c r="E87" s="15" t="str">
        <x:v>2026-08-17</x:v>
      </x:c>
      <x:c r="F87" s="16" t="b">
        <x:v>0</x:v>
      </x:c>
      <x:c r="G87" s="16" t="b">
        <x:v>0</x:v>
      </x:c>
      <x:c r="H87" s="16" t="b">
        <x:v>0</x:v>
      </x:c>
      <x:c r="I87" s="16" t="b">
        <x:v>0</x:v>
      </x:c>
      <x:c r="J87" s="16" t="b">
        <x:v>0</x:v>
      </x:c>
      <x:c r="K87" s="16" t="b">
        <x:v>0</x:v>
      </x:c>
      <x:c r="L87" s="16" t="b">
        <x:v>0</x:v>
      </x:c>
      <x:c r="M87" s="15" t="n">
        <x:v>0</x:v>
      </x:c>
      <x:c r="N87" s="16" t="b">
        <x:v>0</x:v>
      </x:c>
      <x:c r="O87" s="15"/>
      <x:c r="P87" s="16" t="b">
        <x:v>1</x:v>
      </x:c>
      <x:c r="Q87" s="16" t="b">
        <x:v>1</x:v>
      </x:c>
      <x:c r="R87" s="16" t="b">
        <x:v>1</x:v>
      </x:c>
      <x:c r="S87" s="15"/>
      <x:c r="T87" s="15"/>
    </x:row>
    <x:row r="88">
      <x:c r="A88" s="15" t="str">
        <x:v>V-2027</x:v>
      </x:c>
      <x:c r="B88" s="15" t="str">
        <x:v>APP-2027:submitted</x:v>
      </x:c>
      <x:c r="C88" s="15" t="str">
        <x:v>EV-2027-submitted</x:v>
      </x:c>
      <x:c r="D88" s="15" t="str">
        <x:v>submitted</x:v>
      </x:c>
      <x:c r="E88" s="15" t="str">
        <x:v>2026-06-04</x:v>
      </x:c>
      <x:c r="F88" s="16" t="b">
        <x:v>1</x:v>
      </x:c>
      <x:c r="G88" s="16" t="b">
        <x:v>1</x:v>
      </x:c>
      <x:c r="H88" s="16" t="b">
        <x:v>1</x:v>
      </x:c>
      <x:c r="I88" s="16" t="b">
        <x:v>1</x:v>
      </x:c>
      <x:c r="J88" s="16" t="b">
        <x:v>1</x:v>
      </x:c>
      <x:c r="K88" s="16" t="b">
        <x:v>1</x:v>
      </x:c>
      <x:c r="L88" s="16" t="b">
        <x:v>1</x:v>
      </x:c>
      <x:c r="M88" s="15" t="n">
        <x:v>1</x:v>
      </x:c>
      <x:c r="N88" s="16" t="b">
        <x:v>1</x:v>
      </x:c>
      <x:c r="O88" s="15" t="n">
        <x:v>7</x:v>
      </x:c>
      <x:c r="P88" s="16" t="b">
        <x:v>1</x:v>
      </x:c>
      <x:c r="Q88" s="16" t="b">
        <x:v>1</x:v>
      </x:c>
      <x:c r="R88" s="16" t="b">
        <x:v>1</x:v>
      </x:c>
      <x:c r="S88" s="15" t="str">
        <x:v>2026-06-04 20:47</x:v>
      </x:c>
      <x:c r="T88" s="15" t="str">
        <x:v>2026-06-04 20:54</x:v>
      </x:c>
    </x:row>
    <x:row r="89">
      <x:c r="A89" s="15" t="str">
        <x:v>V-2027</x:v>
      </x:c>
      <x:c r="B89" s="15" t="str">
        <x:v>APP-2027:qualified</x:v>
      </x:c>
      <x:c r="C89" s="15" t="str">
        <x:v>EV-2027-qualified</x:v>
      </x:c>
      <x:c r="D89" s="15" t="str">
        <x:v>qualified</x:v>
      </x:c>
      <x:c r="E89" s="15" t="str">
        <x:v>2026-06-05</x:v>
      </x:c>
      <x:c r="F89" s="16" t="b">
        <x:v>1</x:v>
      </x:c>
      <x:c r="G89" s="16" t="b">
        <x:v>1</x:v>
      </x:c>
      <x:c r="H89" s="16" t="b">
        <x:v>1</x:v>
      </x:c>
      <x:c r="I89" s="16" t="b">
        <x:v>1</x:v>
      </x:c>
      <x:c r="J89" s="16" t="b">
        <x:v>1</x:v>
      </x:c>
      <x:c r="K89" s="16" t="b">
        <x:v>1</x:v>
      </x:c>
      <x:c r="L89" s="16" t="b">
        <x:v>1</x:v>
      </x:c>
      <x:c r="M89" s="15" t="n">
        <x:v>1</x:v>
      </x:c>
      <x:c r="N89" s="16" t="b">
        <x:v>1</x:v>
      </x:c>
      <x:c r="O89" s="15" t="n">
        <x:v>8</x:v>
      </x:c>
      <x:c r="P89" s="16" t="b">
        <x:v>1</x:v>
      </x:c>
      <x:c r="Q89" s="16" t="b">
        <x:v>1</x:v>
      </x:c>
      <x:c r="R89" s="16" t="b">
        <x:v>1</x:v>
      </x:c>
      <x:c r="S89" s="15" t="str">
        <x:v>2026-06-05 20:47</x:v>
      </x:c>
      <x:c r="T89" s="15" t="str">
        <x:v>2026-06-05 20:55</x:v>
      </x:c>
    </x:row>
    <x:row r="90">
      <x:c r="A90" s="15" t="str">
        <x:v>V-2027</x:v>
      </x:c>
      <x:c r="B90" s="15" t="str">
        <x:v>APP-2027:approved</x:v>
      </x:c>
      <x:c r="C90" s="15" t="str">
        <x:v>EV-2027-approved</x:v>
      </x:c>
      <x:c r="D90" s="15" t="str">
        <x:v>approved</x:v>
      </x:c>
      <x:c r="E90" s="15" t="str">
        <x:v>2026-06-06</x:v>
      </x:c>
      <x:c r="F90" s="16" t="b">
        <x:v>1</x:v>
      </x:c>
      <x:c r="G90" s="16" t="b">
        <x:v>1</x:v>
      </x:c>
      <x:c r="H90" s="16" t="b">
        <x:v>1</x:v>
      </x:c>
      <x:c r="I90" s="16" t="b">
        <x:v>1</x:v>
      </x:c>
      <x:c r="J90" s="16" t="b">
        <x:v>1</x:v>
      </x:c>
      <x:c r="K90" s="16" t="b">
        <x:v>1</x:v>
      </x:c>
      <x:c r="L90" s="16" t="b">
        <x:v>1</x:v>
      </x:c>
      <x:c r="M90" s="15" t="n">
        <x:v>1</x:v>
      </x:c>
      <x:c r="N90" s="16" t="b">
        <x:v>1</x:v>
      </x:c>
      <x:c r="O90" s="15" t="n">
        <x:v>10</x:v>
      </x:c>
      <x:c r="P90" s="16" t="b">
        <x:v>1</x:v>
      </x:c>
      <x:c r="Q90" s="16" t="b">
        <x:v>1</x:v>
      </x:c>
      <x:c r="R90" s="16" t="b">
        <x:v>1</x:v>
      </x:c>
      <x:c r="S90" s="15" t="str">
        <x:v>2026-06-06 20:47</x:v>
      </x:c>
      <x:c r="T90" s="15" t="str">
        <x:v>2026-06-06 20:57</x:v>
      </x:c>
    </x:row>
    <x:row r="91">
      <x:c r="A91" s="15" t="str">
        <x:v>V-2027</x:v>
      </x:c>
      <x:c r="B91" s="15" t="str">
        <x:v>LN-2027:funded</x:v>
      </x:c>
      <x:c r="C91" s="15" t="str">
        <x:v>EV-2027-funded</x:v>
      </x:c>
      <x:c r="D91" s="15" t="str">
        <x:v>funded</x:v>
      </x:c>
      <x:c r="E91" s="15" t="str">
        <x:v>2026-06-08</x:v>
      </x:c>
      <x:c r="F91" s="16" t="b">
        <x:v>1</x:v>
      </x:c>
      <x:c r="G91" s="16" t="b">
        <x:v>1</x:v>
      </x:c>
      <x:c r="H91" s="16" t="b">
        <x:v>1</x:v>
      </x:c>
      <x:c r="I91" s="16" t="b">
        <x:v>1</x:v>
      </x:c>
      <x:c r="J91" s="16" t="b">
        <x:v>1</x:v>
      </x:c>
      <x:c r="K91" s="16" t="b">
        <x:v>1</x:v>
      </x:c>
      <x:c r="L91" s="16" t="b">
        <x:v>1</x:v>
      </x:c>
      <x:c r="M91" s="15" t="n">
        <x:v>1</x:v>
      </x:c>
      <x:c r="N91" s="16" t="b">
        <x:v>1</x:v>
      </x:c>
      <x:c r="O91" s="15" t="n">
        <x:v>32</x:v>
      </x:c>
      <x:c r="P91" s="16" t="b">
        <x:v>1</x:v>
      </x:c>
      <x:c r="Q91" s="16" t="b">
        <x:v>1</x:v>
      </x:c>
      <x:c r="R91" s="16" t="b">
        <x:v>1</x:v>
      </x:c>
      <x:c r="S91" s="15" t="str">
        <x:v>2026-06-08 20:47</x:v>
      </x:c>
      <x:c r="T91" s="15" t="str">
        <x:v>2026-06-08 21:19</x:v>
      </x:c>
    </x:row>
    <x:row r="92">
      <x:c r="A92" s="15" t="str">
        <x:v>V-2028</x:v>
      </x:c>
      <x:c r="B92" s="15" t="str">
        <x:v>APP-2028:submitted</x:v>
      </x:c>
      <x:c r="C92" s="15" t="str">
        <x:v>EV-2028-submitted</x:v>
      </x:c>
      <x:c r="D92" s="15" t="str">
        <x:v>submitted</x:v>
      </x:c>
      <x:c r="E92" s="15" t="str">
        <x:v>2026-07-09</x:v>
      </x:c>
      <x:c r="F92" s="16" t="b">
        <x:v>0</x:v>
      </x:c>
      <x:c r="G92" s="16" t="b">
        <x:v>0</x:v>
      </x:c>
      <x:c r="H92" s="16" t="b">
        <x:v>0</x:v>
      </x:c>
      <x:c r="I92" s="16" t="b">
        <x:v>0</x:v>
      </x:c>
      <x:c r="J92" s="16" t="b">
        <x:v>0</x:v>
      </x:c>
      <x:c r="K92" s="16" t="b">
        <x:v>0</x:v>
      </x:c>
      <x:c r="L92" s="16" t="b">
        <x:v>0</x:v>
      </x:c>
      <x:c r="M92" s="15" t="n">
        <x:v>0</x:v>
      </x:c>
      <x:c r="N92" s="16" t="b">
        <x:v>0</x:v>
      </x:c>
      <x:c r="O92" s="15"/>
      <x:c r="P92" s="16" t="b">
        <x:v>1</x:v>
      </x:c>
      <x:c r="Q92" s="16" t="b">
        <x:v>1</x:v>
      </x:c>
      <x:c r="R92" s="16" t="b">
        <x:v>1</x:v>
      </x:c>
      <x:c r="S92" s="15"/>
      <x:c r="T92" s="15"/>
    </x:row>
    <x:row r="93">
      <x:c r="A93" s="15" t="str">
        <x:v>V-2028</x:v>
      </x:c>
      <x:c r="B93" s="15" t="str">
        <x:v>APP-2028:qualified</x:v>
      </x:c>
      <x:c r="C93" s="15" t="str">
        <x:v>EV-2028-qualified</x:v>
      </x:c>
      <x:c r="D93" s="15" t="str">
        <x:v>qualified</x:v>
      </x:c>
      <x:c r="E93" s="15" t="str">
        <x:v>2026-07-10</x:v>
      </x:c>
      <x:c r="F93" s="16" t="b">
        <x:v>0</x:v>
      </x:c>
      <x:c r="G93" s="16" t="b">
        <x:v>0</x:v>
      </x:c>
      <x:c r="H93" s="16" t="b">
        <x:v>0</x:v>
      </x:c>
      <x:c r="I93" s="16" t="b">
        <x:v>0</x:v>
      </x:c>
      <x:c r="J93" s="16" t="b">
        <x:v>0</x:v>
      </x:c>
      <x:c r="K93" s="16" t="b">
        <x:v>0</x:v>
      </x:c>
      <x:c r="L93" s="16" t="b">
        <x:v>0</x:v>
      </x:c>
      <x:c r="M93" s="15" t="n">
        <x:v>0</x:v>
      </x:c>
      <x:c r="N93" s="16" t="b">
        <x:v>0</x:v>
      </x:c>
      <x:c r="O93" s="15"/>
      <x:c r="P93" s="16" t="b">
        <x:v>1</x:v>
      </x:c>
      <x:c r="Q93" s="16" t="b">
        <x:v>1</x:v>
      </x:c>
      <x:c r="R93" s="16" t="b">
        <x:v>1</x:v>
      </x:c>
      <x:c r="S93" s="15"/>
      <x:c r="T93" s="15"/>
    </x:row>
    <x:row r="94">
      <x:c r="A94" s="15" t="str">
        <x:v>V-2028</x:v>
      </x:c>
      <x:c r="B94" s="15" t="str">
        <x:v>APP-2028:approved</x:v>
      </x:c>
      <x:c r="C94" s="15" t="str">
        <x:v>EV-2028-approved</x:v>
      </x:c>
      <x:c r="D94" s="15" t="str">
        <x:v>approved</x:v>
      </x:c>
      <x:c r="E94" s="15" t="str">
        <x:v>2026-07-11</x:v>
      </x:c>
      <x:c r="F94" s="16" t="b">
        <x:v>0</x:v>
      </x:c>
      <x:c r="G94" s="16" t="b">
        <x:v>0</x:v>
      </x:c>
      <x:c r="H94" s="16" t="b">
        <x:v>0</x:v>
      </x:c>
      <x:c r="I94" s="16" t="b">
        <x:v>0</x:v>
      </x:c>
      <x:c r="J94" s="16" t="b">
        <x:v>0</x:v>
      </x:c>
      <x:c r="K94" s="16" t="b">
        <x:v>0</x:v>
      </x:c>
      <x:c r="L94" s="16" t="b">
        <x:v>0</x:v>
      </x:c>
      <x:c r="M94" s="15" t="n">
        <x:v>0</x:v>
      </x:c>
      <x:c r="N94" s="16" t="b">
        <x:v>0</x:v>
      </x:c>
      <x:c r="O94" s="15"/>
      <x:c r="P94" s="16" t="b">
        <x:v>1</x:v>
      </x:c>
      <x:c r="Q94" s="16" t="b">
        <x:v>1</x:v>
      </x:c>
      <x:c r="R94" s="16" t="b">
        <x:v>1</x:v>
      </x:c>
      <x:c r="S94" s="15"/>
      <x:c r="T94" s="15"/>
    </x:row>
    <x:row r="95">
      <x:c r="A95" s="15" t="str">
        <x:v>V-2028</x:v>
      </x:c>
      <x:c r="B95" s="15" t="str">
        <x:v>LN-2028:funded</x:v>
      </x:c>
      <x:c r="C95" s="15" t="str">
        <x:v>EV-2028-funded</x:v>
      </x:c>
      <x:c r="D95" s="15" t="str">
        <x:v>funded</x:v>
      </x:c>
      <x:c r="E95" s="15" t="str">
        <x:v>2026-07-14</x:v>
      </x:c>
      <x:c r="F95" s="16" t="b">
        <x:v>0</x:v>
      </x:c>
      <x:c r="G95" s="16" t="b">
        <x:v>0</x:v>
      </x:c>
      <x:c r="H95" s="16" t="b">
        <x:v>0</x:v>
      </x:c>
      <x:c r="I95" s="16" t="b">
        <x:v>0</x:v>
      </x:c>
      <x:c r="J95" s="16" t="b">
        <x:v>0</x:v>
      </x:c>
      <x:c r="K95" s="16" t="b">
        <x:v>0</x:v>
      </x:c>
      <x:c r="L95" s="16" t="b">
        <x:v>0</x:v>
      </x:c>
      <x:c r="M95" s="15" t="n">
        <x:v>0</x:v>
      </x:c>
      <x:c r="N95" s="16" t="b">
        <x:v>0</x:v>
      </x:c>
      <x:c r="O95" s="15"/>
      <x:c r="P95" s="16" t="b">
        <x:v>1</x:v>
      </x:c>
      <x:c r="Q95" s="16" t="b">
        <x:v>1</x:v>
      </x:c>
      <x:c r="R95" s="16" t="b">
        <x:v>1</x:v>
      </x:c>
      <x:c r="S95" s="15"/>
      <x:c r="T95" s="15"/>
    </x:row>
    <x:row r="96">
      <x:c r="A96" s="15" t="str">
        <x:v>V-2029</x:v>
      </x:c>
      <x:c r="B96" s="15" t="str">
        <x:v>APP-2029:submitted</x:v>
      </x:c>
      <x:c r="C96" s="15" t="str">
        <x:v>EV-2029-submitted</x:v>
      </x:c>
      <x:c r="D96" s="15" t="str">
        <x:v>submitted</x:v>
      </x:c>
      <x:c r="E96" s="15" t="str">
        <x:v>2026-08-11</x:v>
      </x:c>
      <x:c r="F96" s="16" t="b">
        <x:v>0</x:v>
      </x:c>
      <x:c r="G96" s="16" t="b">
        <x:v>0</x:v>
      </x:c>
      <x:c r="H96" s="16" t="b">
        <x:v>0</x:v>
      </x:c>
      <x:c r="I96" s="16" t="b">
        <x:v>0</x:v>
      </x:c>
      <x:c r="J96" s="16" t="b">
        <x:v>0</x:v>
      </x:c>
      <x:c r="K96" s="16" t="b">
        <x:v>0</x:v>
      </x:c>
      <x:c r="L96" s="16" t="b">
        <x:v>0</x:v>
      </x:c>
      <x:c r="M96" s="15" t="n">
        <x:v>0</x:v>
      </x:c>
      <x:c r="N96" s="16" t="b">
        <x:v>0</x:v>
      </x:c>
      <x:c r="O96" s="15"/>
      <x:c r="P96" s="16" t="b">
        <x:v>1</x:v>
      </x:c>
      <x:c r="Q96" s="16" t="b">
        <x:v>1</x:v>
      </x:c>
      <x:c r="R96" s="16" t="b">
        <x:v>1</x:v>
      </x:c>
      <x:c r="S96" s="15"/>
      <x:c r="T96" s="15"/>
    </x:row>
    <x:row r="97">
      <x:c r="A97" s="15" t="str">
        <x:v>V-2029</x:v>
      </x:c>
      <x:c r="B97" s="15" t="str">
        <x:v>APP-2029:qualified</x:v>
      </x:c>
      <x:c r="C97" s="15" t="str">
        <x:v>EV-2029-qualified</x:v>
      </x:c>
      <x:c r="D97" s="15" t="str">
        <x:v>qualified</x:v>
      </x:c>
      <x:c r="E97" s="15" t="str">
        <x:v>2026-08-12</x:v>
      </x:c>
      <x:c r="F97" s="16" t="b">
        <x:v>0</x:v>
      </x:c>
      <x:c r="G97" s="16" t="b">
        <x:v>0</x:v>
      </x:c>
      <x:c r="H97" s="16" t="b">
        <x:v>0</x:v>
      </x:c>
      <x:c r="I97" s="16" t="b">
        <x:v>0</x:v>
      </x:c>
      <x:c r="J97" s="16" t="b">
        <x:v>0</x:v>
      </x:c>
      <x:c r="K97" s="16" t="b">
        <x:v>0</x:v>
      </x:c>
      <x:c r="L97" s="16" t="b">
        <x:v>0</x:v>
      </x:c>
      <x:c r="M97" s="15" t="n">
        <x:v>0</x:v>
      </x:c>
      <x:c r="N97" s="16" t="b">
        <x:v>0</x:v>
      </x:c>
      <x:c r="O97" s="15"/>
      <x:c r="P97" s="16" t="b">
        <x:v>1</x:v>
      </x:c>
      <x:c r="Q97" s="16" t="b">
        <x:v>1</x:v>
      </x:c>
      <x:c r="R97" s="16" t="b">
        <x:v>1</x:v>
      </x:c>
      <x:c r="S97" s="15"/>
      <x:c r="T97" s="15"/>
    </x:row>
    <x:row r="98">
      <x:c r="A98" s="15" t="str">
        <x:v>V-2031</x:v>
      </x:c>
      <x:c r="B98" s="15" t="str">
        <x:v>APP-2031:submitted</x:v>
      </x:c>
      <x:c r="C98" s="15" t="str">
        <x:v>EV-2031-submitted</x:v>
      </x:c>
      <x:c r="D98" s="15" t="str">
        <x:v>submitted</x:v>
      </x:c>
      <x:c r="E98" s="15" t="str">
        <x:v>2026-05-04</x:v>
      </x:c>
      <x:c r="F98" s="16" t="b">
        <x:v>0</x:v>
      </x:c>
      <x:c r="G98" s="16" t="b">
        <x:v>0</x:v>
      </x:c>
      <x:c r="H98" s="16" t="b">
        <x:v>0</x:v>
      </x:c>
      <x:c r="I98" s="16" t="b">
        <x:v>0</x:v>
      </x:c>
      <x:c r="J98" s="16" t="b">
        <x:v>0</x:v>
      </x:c>
      <x:c r="K98" s="16" t="b">
        <x:v>0</x:v>
      </x:c>
      <x:c r="L98" s="16" t="b">
        <x:v>0</x:v>
      </x:c>
      <x:c r="M98" s="15" t="n">
        <x:v>0</x:v>
      </x:c>
      <x:c r="N98" s="16" t="b">
        <x:v>0</x:v>
      </x:c>
      <x:c r="O98" s="15"/>
      <x:c r="P98" s="16" t="b">
        <x:v>1</x:v>
      </x:c>
      <x:c r="Q98" s="16" t="b">
        <x:v>1</x:v>
      </x:c>
      <x:c r="R98" s="16" t="b">
        <x:v>1</x:v>
      </x:c>
      <x:c r="S98" s="15"/>
      <x:c r="T98" s="15"/>
    </x:row>
    <x:row r="99">
      <x:c r="A99" s="15" t="str">
        <x:v>V-2031</x:v>
      </x:c>
      <x:c r="B99" s="15" t="str">
        <x:v>APP-2031:qualified</x:v>
      </x:c>
      <x:c r="C99" s="15" t="str">
        <x:v>EV-2031-qualified</x:v>
      </x:c>
      <x:c r="D99" s="15" t="str">
        <x:v>qualified</x:v>
      </x:c>
      <x:c r="E99" s="15" t="str">
        <x:v>2026-05-05</x:v>
      </x:c>
      <x:c r="F99" s="16" t="b">
        <x:v>0</x:v>
      </x:c>
      <x:c r="G99" s="16" t="b">
        <x:v>0</x:v>
      </x:c>
      <x:c r="H99" s="16" t="b">
        <x:v>0</x:v>
      </x:c>
      <x:c r="I99" s="16" t="b">
        <x:v>0</x:v>
      </x:c>
      <x:c r="J99" s="16" t="b">
        <x:v>0</x:v>
      </x:c>
      <x:c r="K99" s="16" t="b">
        <x:v>0</x:v>
      </x:c>
      <x:c r="L99" s="16" t="b">
        <x:v>0</x:v>
      </x:c>
      <x:c r="M99" s="15" t="n">
        <x:v>0</x:v>
      </x:c>
      <x:c r="N99" s="16" t="b">
        <x:v>0</x:v>
      </x:c>
      <x:c r="O99" s="15"/>
      <x:c r="P99" s="16" t="b">
        <x:v>1</x:v>
      </x:c>
      <x:c r="Q99" s="16" t="b">
        <x:v>1</x:v>
      </x:c>
      <x:c r="R99" s="16" t="b">
        <x:v>1</x:v>
      </x:c>
      <x:c r="S99" s="15"/>
      <x:c r="T99" s="15"/>
    </x:row>
    <x:row r="100">
      <x:c r="A100" s="15" t="str">
        <x:v>V-2031</x:v>
      </x:c>
      <x:c r="B100" s="15" t="str">
        <x:v>APP-2031:approved</x:v>
      </x:c>
      <x:c r="C100" s="15" t="str">
        <x:v>EV-2031-approved</x:v>
      </x:c>
      <x:c r="D100" s="15" t="str">
        <x:v>approved</x:v>
      </x:c>
      <x:c r="E100" s="15" t="str">
        <x:v>2026-05-06</x:v>
      </x:c>
      <x:c r="F100" s="16" t="b">
        <x:v>0</x:v>
      </x:c>
      <x:c r="G100" s="16" t="b">
        <x:v>0</x:v>
      </x:c>
      <x:c r="H100" s="16" t="b">
        <x:v>0</x:v>
      </x:c>
      <x:c r="I100" s="16" t="b">
        <x:v>0</x:v>
      </x:c>
      <x:c r="J100" s="16" t="b">
        <x:v>0</x:v>
      </x:c>
      <x:c r="K100" s="16" t="b">
        <x:v>0</x:v>
      </x:c>
      <x:c r="L100" s="16" t="b">
        <x:v>0</x:v>
      </x:c>
      <x:c r="M100" s="15" t="n">
        <x:v>0</x:v>
      </x:c>
      <x:c r="N100" s="16" t="b">
        <x:v>0</x:v>
      </x:c>
      <x:c r="O100" s="15"/>
      <x:c r="P100" s="16" t="b">
        <x:v>1</x:v>
      </x:c>
      <x:c r="Q100" s="16" t="b">
        <x:v>1</x:v>
      </x:c>
      <x:c r="R100" s="16" t="b">
        <x:v>1</x:v>
      </x:c>
      <x:c r="S100" s="15"/>
      <x:c r="T100" s="15"/>
    </x:row>
    <x:row r="101">
      <x:c r="A101" s="15" t="str">
        <x:v>V-2031</x:v>
      </x:c>
      <x:c r="B101" s="15" t="str">
        <x:v>LN-2031:funded</x:v>
      </x:c>
      <x:c r="C101" s="15" t="str">
        <x:v>EV-2031-funded</x:v>
      </x:c>
      <x:c r="D101" s="15" t="str">
        <x:v>funded</x:v>
      </x:c>
      <x:c r="E101" s="15" t="str">
        <x:v>2026-05-07</x:v>
      </x:c>
      <x:c r="F101" s="16" t="b">
        <x:v>0</x:v>
      </x:c>
      <x:c r="G101" s="16" t="b">
        <x:v>0</x:v>
      </x:c>
      <x:c r="H101" s="16" t="b">
        <x:v>0</x:v>
      </x:c>
      <x:c r="I101" s="16" t="b">
        <x:v>0</x:v>
      </x:c>
      <x:c r="J101" s="16" t="b">
        <x:v>0</x:v>
      </x:c>
      <x:c r="K101" s="16" t="b">
        <x:v>0</x:v>
      </x:c>
      <x:c r="L101" s="16" t="b">
        <x:v>0</x:v>
      </x:c>
      <x:c r="M101" s="15" t="n">
        <x:v>0</x:v>
      </x:c>
      <x:c r="N101" s="16" t="b">
        <x:v>0</x:v>
      </x:c>
      <x:c r="O101" s="15"/>
      <x:c r="P101" s="16" t="b">
        <x:v>1</x:v>
      </x:c>
      <x:c r="Q101" s="16" t="b">
        <x:v>1</x:v>
      </x:c>
      <x:c r="R101" s="16" t="b">
        <x:v>1</x:v>
      </x:c>
      <x:c r="S101" s="15"/>
      <x:c r="T101" s="15"/>
    </x:row>
    <x:row r="102">
      <x:c r="A102" s="15" t="str">
        <x:v>V-2032</x:v>
      </x:c>
      <x:c r="B102" s="15" t="str">
        <x:v>APP-2032:submitted</x:v>
      </x:c>
      <x:c r="C102" s="15" t="str">
        <x:v>EV-2032-submitted</x:v>
      </x:c>
      <x:c r="D102" s="15" t="str">
        <x:v>submitted</x:v>
      </x:c>
      <x:c r="E102" s="15" t="str">
        <x:v>2026-06-13</x:v>
      </x:c>
      <x:c r="F102" s="16" t="b">
        <x:v>0</x:v>
      </x:c>
      <x:c r="G102" s="16" t="b">
        <x:v>0</x:v>
      </x:c>
      <x:c r="H102" s="16" t="b">
        <x:v>0</x:v>
      </x:c>
      <x:c r="I102" s="16" t="b">
        <x:v>0</x:v>
      </x:c>
      <x:c r="J102" s="16" t="b">
        <x:v>0</x:v>
      </x:c>
      <x:c r="K102" s="16" t="b">
        <x:v>0</x:v>
      </x:c>
      <x:c r="L102" s="16" t="b">
        <x:v>0</x:v>
      </x:c>
      <x:c r="M102" s="15" t="n">
        <x:v>0</x:v>
      </x:c>
      <x:c r="N102" s="16" t="b">
        <x:v>0</x:v>
      </x:c>
      <x:c r="O102" s="15"/>
      <x:c r="P102" s="16" t="b">
        <x:v>1</x:v>
      </x:c>
      <x:c r="Q102" s="16" t="b">
        <x:v>1</x:v>
      </x:c>
      <x:c r="R102" s="16" t="b">
        <x:v>1</x:v>
      </x:c>
      <x:c r="S102" s="15"/>
      <x:c r="T102" s="15"/>
    </x:row>
    <x:row r="103">
      <x:c r="A103" s="15" t="str">
        <x:v>V-2032</x:v>
      </x:c>
      <x:c r="B103" s="15" t="str">
        <x:v>APP-2032:qualified</x:v>
      </x:c>
      <x:c r="C103" s="15" t="str">
        <x:v>EV-2032-qualified</x:v>
      </x:c>
      <x:c r="D103" s="15" t="str">
        <x:v>qualified</x:v>
      </x:c>
      <x:c r="E103" s="15" t="str">
        <x:v>2026-06-14</x:v>
      </x:c>
      <x:c r="F103" s="16" t="b">
        <x:v>0</x:v>
      </x:c>
      <x:c r="G103" s="16" t="b">
        <x:v>0</x:v>
      </x:c>
      <x:c r="H103" s="16" t="b">
        <x:v>0</x:v>
      </x:c>
      <x:c r="I103" s="16" t="b">
        <x:v>0</x:v>
      </x:c>
      <x:c r="J103" s="16" t="b">
        <x:v>0</x:v>
      </x:c>
      <x:c r="K103" s="16" t="b">
        <x:v>0</x:v>
      </x:c>
      <x:c r="L103" s="16" t="b">
        <x:v>0</x:v>
      </x:c>
      <x:c r="M103" s="15" t="n">
        <x:v>0</x:v>
      </x:c>
      <x:c r="N103" s="16" t="b">
        <x:v>0</x:v>
      </x:c>
      <x:c r="O103" s="15"/>
      <x:c r="P103" s="16" t="b">
        <x:v>1</x:v>
      </x:c>
      <x:c r="Q103" s="16" t="b">
        <x:v>1</x:v>
      </x:c>
      <x:c r="R103" s="16" t="b">
        <x:v>1</x:v>
      </x:c>
      <x:c r="S103" s="15"/>
      <x:c r="T103" s="15"/>
    </x:row>
    <x:row r="104">
      <x:c r="A104" s="15" t="str">
        <x:v>V-2032</x:v>
      </x:c>
      <x:c r="B104" s="15" t="str">
        <x:v>APP-2032:approved</x:v>
      </x:c>
      <x:c r="C104" s="15" t="str">
        <x:v>EV-2032-approved</x:v>
      </x:c>
      <x:c r="D104" s="15" t="str">
        <x:v>approved</x:v>
      </x:c>
      <x:c r="E104" s="15" t="str">
        <x:v>2026-06-15</x:v>
      </x:c>
      <x:c r="F104" s="16" t="b">
        <x:v>0</x:v>
      </x:c>
      <x:c r="G104" s="16" t="b">
        <x:v>0</x:v>
      </x:c>
      <x:c r="H104" s="16" t="b">
        <x:v>0</x:v>
      </x:c>
      <x:c r="I104" s="16" t="b">
        <x:v>0</x:v>
      </x:c>
      <x:c r="J104" s="16" t="b">
        <x:v>0</x:v>
      </x:c>
      <x:c r="K104" s="16" t="b">
        <x:v>0</x:v>
      </x:c>
      <x:c r="L104" s="16" t="b">
        <x:v>0</x:v>
      </x:c>
      <x:c r="M104" s="15" t="n">
        <x:v>0</x:v>
      </x:c>
      <x:c r="N104" s="16" t="b">
        <x:v>0</x:v>
      </x:c>
      <x:c r="O104" s="15"/>
      <x:c r="P104" s="16" t="b">
        <x:v>1</x:v>
      </x:c>
      <x:c r="Q104" s="16" t="b">
        <x:v>1</x:v>
      </x:c>
      <x:c r="R104" s="16" t="b">
        <x:v>1</x:v>
      </x:c>
      <x:c r="S104" s="15"/>
      <x:c r="T104" s="15"/>
    </x:row>
    <x:row r="105">
      <x:c r="A105" s="15" t="str">
        <x:v>V-2032</x:v>
      </x:c>
      <x:c r="B105" s="15" t="str">
        <x:v>LN-2032:funded</x:v>
      </x:c>
      <x:c r="C105" s="15" t="str">
        <x:v>EV-2032-funded</x:v>
      </x:c>
      <x:c r="D105" s="15" t="str">
        <x:v>funded</x:v>
      </x:c>
      <x:c r="E105" s="15" t="str">
        <x:v>2026-06-17</x:v>
      </x:c>
      <x:c r="F105" s="16" t="b">
        <x:v>0</x:v>
      </x:c>
      <x:c r="G105" s="16" t="b">
        <x:v>0</x:v>
      </x:c>
      <x:c r="H105" s="16" t="b">
        <x:v>0</x:v>
      </x:c>
      <x:c r="I105" s="16" t="b">
        <x:v>0</x:v>
      </x:c>
      <x:c r="J105" s="16" t="b">
        <x:v>0</x:v>
      </x:c>
      <x:c r="K105" s="16" t="b">
        <x:v>0</x:v>
      </x:c>
      <x:c r="L105" s="16" t="b">
        <x:v>0</x:v>
      </x:c>
      <x:c r="M105" s="15" t="n">
        <x:v>0</x:v>
      </x:c>
      <x:c r="N105" s="16" t="b">
        <x:v>0</x:v>
      </x:c>
      <x:c r="O105" s="15"/>
      <x:c r="P105" s="16" t="b">
        <x:v>1</x:v>
      </x:c>
      <x:c r="Q105" s="16" t="b">
        <x:v>1</x:v>
      </x:c>
      <x:c r="R105" s="16" t="b">
        <x:v>1</x:v>
      </x:c>
      <x:c r="S105" s="15"/>
      <x:c r="T105" s="15"/>
    </x:row>
    <x:row r="106">
      <x:c r="A106" s="15" t="str">
        <x:v>V-2033</x:v>
      </x:c>
      <x:c r="B106" s="15" t="str">
        <x:v>APP-2033:submitted</x:v>
      </x:c>
      <x:c r="C106" s="15" t="str">
        <x:v>EV-2033-submitted</x:v>
      </x:c>
      <x:c r="D106" s="15" t="str">
        <x:v>submitted</x:v>
      </x:c>
      <x:c r="E106" s="15" t="str">
        <x:v>2026-07-10</x:v>
      </x:c>
      <x:c r="F106" s="16" t="b">
        <x:v>0</x:v>
      </x:c>
      <x:c r="G106" s="16" t="b">
        <x:v>0</x:v>
      </x:c>
      <x:c r="H106" s="16" t="b">
        <x:v>0</x:v>
      </x:c>
      <x:c r="I106" s="16" t="b">
        <x:v>0</x:v>
      </x:c>
      <x:c r="J106" s="16" t="b">
        <x:v>0</x:v>
      </x:c>
      <x:c r="K106" s="16" t="b">
        <x:v>0</x:v>
      </x:c>
      <x:c r="L106" s="16" t="b">
        <x:v>0</x:v>
      </x:c>
      <x:c r="M106" s="15" t="n">
        <x:v>0</x:v>
      </x:c>
      <x:c r="N106" s="16" t="b">
        <x:v>0</x:v>
      </x:c>
      <x:c r="O106" s="15"/>
      <x:c r="P106" s="16" t="b">
        <x:v>1</x:v>
      </x:c>
      <x:c r="Q106" s="16" t="b">
        <x:v>1</x:v>
      </x:c>
      <x:c r="R106" s="16" t="b">
        <x:v>1</x:v>
      </x:c>
      <x:c r="S106" s="15"/>
      <x:c r="T106" s="15"/>
    </x:row>
    <x:row r="107">
      <x:c r="A107" s="15" t="str">
        <x:v>V-2033</x:v>
      </x:c>
      <x:c r="B107" s="15" t="str">
        <x:v>APP-2033:qualified</x:v>
      </x:c>
      <x:c r="C107" s="15" t="str">
        <x:v>EV-2033-qualified</x:v>
      </x:c>
      <x:c r="D107" s="15" t="str">
        <x:v>qualified</x:v>
      </x:c>
      <x:c r="E107" s="15" t="str">
        <x:v>2026-07-11</x:v>
      </x:c>
      <x:c r="F107" s="16" t="b">
        <x:v>0</x:v>
      </x:c>
      <x:c r="G107" s="16" t="b">
        <x:v>0</x:v>
      </x:c>
      <x:c r="H107" s="16" t="b">
        <x:v>0</x:v>
      </x:c>
      <x:c r="I107" s="16" t="b">
        <x:v>0</x:v>
      </x:c>
      <x:c r="J107" s="16" t="b">
        <x:v>0</x:v>
      </x:c>
      <x:c r="K107" s="16" t="b">
        <x:v>0</x:v>
      </x:c>
      <x:c r="L107" s="16" t="b">
        <x:v>0</x:v>
      </x:c>
      <x:c r="M107" s="15" t="n">
        <x:v>0</x:v>
      </x:c>
      <x:c r="N107" s="16" t="b">
        <x:v>0</x:v>
      </x:c>
      <x:c r="O107" s="15"/>
      <x:c r="P107" s="16" t="b">
        <x:v>1</x:v>
      </x:c>
      <x:c r="Q107" s="16" t="b">
        <x:v>1</x:v>
      </x:c>
      <x:c r="R107" s="16" t="b">
        <x:v>1</x:v>
      </x:c>
      <x:c r="S107" s="15"/>
      <x:c r="T107" s="15"/>
    </x:row>
    <x:row r="108">
      <x:c r="A108" s="15" t="str">
        <x:v>V-2033</x:v>
      </x:c>
      <x:c r="B108" s="15" t="str">
        <x:v>APP-2033:approved</x:v>
      </x:c>
      <x:c r="C108" s="15" t="str">
        <x:v>EV-2033-approved</x:v>
      </x:c>
      <x:c r="D108" s="15" t="str">
        <x:v>approved</x:v>
      </x:c>
      <x:c r="E108" s="15" t="str">
        <x:v>2026-07-12</x:v>
      </x:c>
      <x:c r="F108" s="16" t="b">
        <x:v>0</x:v>
      </x:c>
      <x:c r="G108" s="16" t="b">
        <x:v>0</x:v>
      </x:c>
      <x:c r="H108" s="16" t="b">
        <x:v>0</x:v>
      </x:c>
      <x:c r="I108" s="16" t="b">
        <x:v>0</x:v>
      </x:c>
      <x:c r="J108" s="16" t="b">
        <x:v>0</x:v>
      </x:c>
      <x:c r="K108" s="16" t="b">
        <x:v>0</x:v>
      </x:c>
      <x:c r="L108" s="16" t="b">
        <x:v>0</x:v>
      </x:c>
      <x:c r="M108" s="15" t="n">
        <x:v>0</x:v>
      </x:c>
      <x:c r="N108" s="16" t="b">
        <x:v>0</x:v>
      </x:c>
      <x:c r="O108" s="15"/>
      <x:c r="P108" s="16" t="b">
        <x:v>1</x:v>
      </x:c>
      <x:c r="Q108" s="16" t="b">
        <x:v>1</x:v>
      </x:c>
      <x:c r="R108" s="16" t="b">
        <x:v>1</x:v>
      </x:c>
      <x:c r="S108" s="15"/>
      <x:c r="T108" s="15"/>
    </x:row>
    <x:row r="109">
      <x:c r="A109" s="15" t="str">
        <x:v>V-2034</x:v>
      </x:c>
      <x:c r="B109" s="15" t="str">
        <x:v>APP-2034:submitted</x:v>
      </x:c>
      <x:c r="C109" s="15" t="str">
        <x:v>EV-2034-submitted</x:v>
      </x:c>
      <x:c r="D109" s="15" t="str">
        <x:v>submitted</x:v>
      </x:c>
      <x:c r="E109" s="15" t="str">
        <x:v>2026-08-19</x:v>
      </x:c>
      <x:c r="F109" s="16" t="b">
        <x:v>0</x:v>
      </x:c>
      <x:c r="G109" s="16" t="b">
        <x:v>0</x:v>
      </x:c>
      <x:c r="H109" s="16" t="b">
        <x:v>0</x:v>
      </x:c>
      <x:c r="I109" s="16" t="b">
        <x:v>0</x:v>
      </x:c>
      <x:c r="J109" s="16" t="b">
        <x:v>0</x:v>
      </x:c>
      <x:c r="K109" s="16" t="b">
        <x:v>0</x:v>
      </x:c>
      <x:c r="L109" s="16" t="b">
        <x:v>0</x:v>
      </x:c>
      <x:c r="M109" s="15" t="n">
        <x:v>0</x:v>
      </x:c>
      <x:c r="N109" s="16" t="b">
        <x:v>0</x:v>
      </x:c>
      <x:c r="O109" s="15"/>
      <x:c r="P109" s="16" t="b">
        <x:v>1</x:v>
      </x:c>
      <x:c r="Q109" s="16" t="b">
        <x:v>1</x:v>
      </x:c>
      <x:c r="R109" s="16" t="b">
        <x:v>1</x:v>
      </x:c>
      <x:c r="S109" s="15"/>
      <x:c r="T109" s="15"/>
    </x:row>
    <x:row r="110">
      <x:c r="A110" s="15" t="str">
        <x:v>V-2034</x:v>
      </x:c>
      <x:c r="B110" s="15" t="str">
        <x:v>APP-2034:qualified</x:v>
      </x:c>
      <x:c r="C110" s="15" t="str">
        <x:v>EV-2034-qualified</x:v>
      </x:c>
      <x:c r="D110" s="15" t="str">
        <x:v>qualified</x:v>
      </x:c>
      <x:c r="E110" s="15" t="str">
        <x:v>2026-08-20</x:v>
      </x:c>
      <x:c r="F110" s="16" t="b">
        <x:v>0</x:v>
      </x:c>
      <x:c r="G110" s="16" t="b">
        <x:v>0</x:v>
      </x:c>
      <x:c r="H110" s="16" t="b">
        <x:v>0</x:v>
      </x:c>
      <x:c r="I110" s="16" t="b">
        <x:v>0</x:v>
      </x:c>
      <x:c r="J110" s="16" t="b">
        <x:v>0</x:v>
      </x:c>
      <x:c r="K110" s="16" t="b">
        <x:v>0</x:v>
      </x:c>
      <x:c r="L110" s="16" t="b">
        <x:v>0</x:v>
      </x:c>
      <x:c r="M110" s="15" t="n">
        <x:v>0</x:v>
      </x:c>
      <x:c r="N110" s="16" t="b">
        <x:v>0</x:v>
      </x:c>
      <x:c r="O110" s="15"/>
      <x:c r="P110" s="16" t="b">
        <x:v>1</x:v>
      </x:c>
      <x:c r="Q110" s="16" t="b">
        <x:v>1</x:v>
      </x:c>
      <x:c r="R110" s="16" t="b">
        <x:v>1</x:v>
      </x:c>
      <x:c r="S110" s="15"/>
      <x:c r="T110" s="15"/>
    </x:row>
    <x:row r="111">
      <x:c r="A111" s="15" t="str">
        <x:v>V-2036</x:v>
      </x:c>
      <x:c r="B111" s="15" t="str">
        <x:v>APP-2036:submitted</x:v>
      </x:c>
      <x:c r="C111" s="15" t="str">
        <x:v>EV-2036-submitted</x:v>
      </x:c>
      <x:c r="D111" s="15" t="str">
        <x:v>submitted</x:v>
      </x:c>
      <x:c r="E111" s="15" t="str">
        <x:v>2026-05-06</x:v>
      </x:c>
      <x:c r="F111" s="16" t="b">
        <x:v>0</x:v>
      </x:c>
      <x:c r="G111" s="16" t="b">
        <x:v>0</x:v>
      </x:c>
      <x:c r="H111" s="16" t="b">
        <x:v>0</x:v>
      </x:c>
      <x:c r="I111" s="16" t="b">
        <x:v>0</x:v>
      </x:c>
      <x:c r="J111" s="16" t="b">
        <x:v>0</x:v>
      </x:c>
      <x:c r="K111" s="16" t="b">
        <x:v>0</x:v>
      </x:c>
      <x:c r="L111" s="16" t="b">
        <x:v>0</x:v>
      </x:c>
      <x:c r="M111" s="15" t="n">
        <x:v>0</x:v>
      </x:c>
      <x:c r="N111" s="16" t="b">
        <x:v>0</x:v>
      </x:c>
      <x:c r="O111" s="15"/>
      <x:c r="P111" s="16" t="b">
        <x:v>1</x:v>
      </x:c>
      <x:c r="Q111" s="16" t="b">
        <x:v>1</x:v>
      </x:c>
      <x:c r="R111" s="16" t="b">
        <x:v>1</x:v>
      </x:c>
      <x:c r="S111" s="15"/>
      <x:c r="T111" s="15"/>
    </x:row>
    <x:row r="112">
      <x:c r="A112" s="15" t="str">
        <x:v>V-2036</x:v>
      </x:c>
      <x:c r="B112" s="15" t="str">
        <x:v>APP-2036:qualified</x:v>
      </x:c>
      <x:c r="C112" s="15" t="str">
        <x:v>EV-2036-qualified</x:v>
      </x:c>
      <x:c r="D112" s="15" t="str">
        <x:v>qualified</x:v>
      </x:c>
      <x:c r="E112" s="15" t="str">
        <x:v>2026-05-07</x:v>
      </x:c>
      <x:c r="F112" s="16" t="b">
        <x:v>0</x:v>
      </x:c>
      <x:c r="G112" s="16" t="b">
        <x:v>0</x:v>
      </x:c>
      <x:c r="H112" s="16" t="b">
        <x:v>0</x:v>
      </x:c>
      <x:c r="I112" s="16" t="b">
        <x:v>0</x:v>
      </x:c>
      <x:c r="J112" s="16" t="b">
        <x:v>0</x:v>
      </x:c>
      <x:c r="K112" s="16" t="b">
        <x:v>0</x:v>
      </x:c>
      <x:c r="L112" s="16" t="b">
        <x:v>0</x:v>
      </x:c>
      <x:c r="M112" s="15" t="n">
        <x:v>0</x:v>
      </x:c>
      <x:c r="N112" s="16" t="b">
        <x:v>0</x:v>
      </x:c>
      <x:c r="O112" s="15"/>
      <x:c r="P112" s="16" t="b">
        <x:v>1</x:v>
      </x:c>
      <x:c r="Q112" s="16" t="b">
        <x:v>1</x:v>
      </x:c>
      <x:c r="R112" s="16" t="b">
        <x:v>1</x:v>
      </x:c>
      <x:c r="S112" s="15"/>
      <x:c r="T112" s="15"/>
    </x:row>
    <x:row r="113">
      <x:c r="A113" s="15" t="str">
        <x:v>V-2036</x:v>
      </x:c>
      <x:c r="B113" s="15" t="str">
        <x:v>APP-2036:approved</x:v>
      </x:c>
      <x:c r="C113" s="15" t="str">
        <x:v>EV-2036-approved</x:v>
      </x:c>
      <x:c r="D113" s="15" t="str">
        <x:v>approved</x:v>
      </x:c>
      <x:c r="E113" s="15" t="str">
        <x:v>2026-05-08</x:v>
      </x:c>
      <x:c r="F113" s="16" t="b">
        <x:v>0</x:v>
      </x:c>
      <x:c r="G113" s="16" t="b">
        <x:v>0</x:v>
      </x:c>
      <x:c r="H113" s="16" t="b">
        <x:v>0</x:v>
      </x:c>
      <x:c r="I113" s="16" t="b">
        <x:v>0</x:v>
      </x:c>
      <x:c r="J113" s="16" t="b">
        <x:v>0</x:v>
      </x:c>
      <x:c r="K113" s="16" t="b">
        <x:v>0</x:v>
      </x:c>
      <x:c r="L113" s="16" t="b">
        <x:v>0</x:v>
      </x:c>
      <x:c r="M113" s="15" t="n">
        <x:v>0</x:v>
      </x:c>
      <x:c r="N113" s="16" t="b">
        <x:v>0</x:v>
      </x:c>
      <x:c r="O113" s="15"/>
      <x:c r="P113" s="16" t="b">
        <x:v>1</x:v>
      </x:c>
      <x:c r="Q113" s="16" t="b">
        <x:v>1</x:v>
      </x:c>
      <x:c r="R113" s="16" t="b">
        <x:v>1</x:v>
      </x:c>
      <x:c r="S113" s="15"/>
      <x:c r="T113" s="15"/>
    </x:row>
    <x:row r="114">
      <x:c r="A114" s="15" t="str">
        <x:v>V-2036</x:v>
      </x:c>
      <x:c r="B114" s="15" t="str">
        <x:v>LN-2036:funded</x:v>
      </x:c>
      <x:c r="C114" s="15" t="str">
        <x:v>EV-2036-funded</x:v>
      </x:c>
      <x:c r="D114" s="15" t="str">
        <x:v>funded</x:v>
      </x:c>
      <x:c r="E114" s="15" t="str">
        <x:v>2026-05-11</x:v>
      </x:c>
      <x:c r="F114" s="16" t="b">
        <x:v>0</x:v>
      </x:c>
      <x:c r="G114" s="16" t="b">
        <x:v>0</x:v>
      </x:c>
      <x:c r="H114" s="16" t="b">
        <x:v>0</x:v>
      </x:c>
      <x:c r="I114" s="16" t="b">
        <x:v>0</x:v>
      </x:c>
      <x:c r="J114" s="16" t="b">
        <x:v>0</x:v>
      </x:c>
      <x:c r="K114" s="16" t="b">
        <x:v>0</x:v>
      </x:c>
      <x:c r="L114" s="16" t="b">
        <x:v>0</x:v>
      </x:c>
      <x:c r="M114" s="15" t="n">
        <x:v>0</x:v>
      </x:c>
      <x:c r="N114" s="16" t="b">
        <x:v>0</x:v>
      </x:c>
      <x:c r="O114" s="15"/>
      <x:c r="P114" s="16" t="b">
        <x:v>1</x:v>
      </x:c>
      <x:c r="Q114" s="16" t="b">
        <x:v>1</x:v>
      </x:c>
      <x:c r="R114" s="16" t="b">
        <x:v>1</x:v>
      </x:c>
      <x:c r="S114" s="15"/>
      <x:c r="T114" s="15"/>
    </x:row>
    <x:row r="115">
      <x:c r="A115" s="15" t="str">
        <x:v>V-2037</x:v>
      </x:c>
      <x:c r="B115" s="15" t="str">
        <x:v>APP-2037:submitted</x:v>
      </x:c>
      <x:c r="C115" s="15" t="str">
        <x:v>EV-2037-submitted</x:v>
      </x:c>
      <x:c r="D115" s="15" t="str">
        <x:v>submitted</x:v>
      </x:c>
      <x:c r="E115" s="15" t="str">
        <x:v>2026-06-11</x:v>
      </x:c>
      <x:c r="F115" s="16" t="b">
        <x:v>1</x:v>
      </x:c>
      <x:c r="G115" s="16" t="b">
        <x:v>1</x:v>
      </x:c>
      <x:c r="H115" s="16" t="b">
        <x:v>1</x:v>
      </x:c>
      <x:c r="I115" s="16" t="b">
        <x:v>1</x:v>
      </x:c>
      <x:c r="J115" s="16" t="b">
        <x:v>1</x:v>
      </x:c>
      <x:c r="K115" s="16" t="b">
        <x:v>1</x:v>
      </x:c>
      <x:c r="L115" s="16" t="b">
        <x:v>1</x:v>
      </x:c>
      <x:c r="M115" s="15" t="n">
        <x:v>1</x:v>
      </x:c>
      <x:c r="N115" s="16" t="b">
        <x:v>1</x:v>
      </x:c>
      <x:c r="O115" s="15" t="n">
        <x:v>8</x:v>
      </x:c>
      <x:c r="P115" s="16" t="b">
        <x:v>1</x:v>
      </x:c>
      <x:c r="Q115" s="16" t="b">
        <x:v>1</x:v>
      </x:c>
      <x:c r="R115" s="16" t="b">
        <x:v>1</x:v>
      </x:c>
      <x:c r="S115" s="15" t="str">
        <x:v>2026-06-11 18:57</x:v>
      </x:c>
      <x:c r="T115" s="15" t="str">
        <x:v>2026-06-11 19:05</x:v>
      </x:c>
    </x:row>
    <x:row r="116">
      <x:c r="A116" s="15" t="str">
        <x:v>V-2037</x:v>
      </x:c>
      <x:c r="B116" s="15" t="str">
        <x:v>APP-2037:qualified</x:v>
      </x:c>
      <x:c r="C116" s="15" t="str">
        <x:v>EV-2037-qualified</x:v>
      </x:c>
      <x:c r="D116" s="15" t="str">
        <x:v>qualified</x:v>
      </x:c>
      <x:c r="E116" s="15" t="str">
        <x:v>2026-06-12</x:v>
      </x:c>
      <x:c r="F116" s="16" t="b">
        <x:v>1</x:v>
      </x:c>
      <x:c r="G116" s="16" t="b">
        <x:v>1</x:v>
      </x:c>
      <x:c r="H116" s="16" t="b">
        <x:v>1</x:v>
      </x:c>
      <x:c r="I116" s="16" t="b">
        <x:v>1</x:v>
      </x:c>
      <x:c r="J116" s="16" t="b">
        <x:v>1</x:v>
      </x:c>
      <x:c r="K116" s="16" t="b">
        <x:v>1</x:v>
      </x:c>
      <x:c r="L116" s="16" t="b">
        <x:v>1</x:v>
      </x:c>
      <x:c r="M116" s="15" t="n">
        <x:v>1</x:v>
      </x:c>
      <x:c r="N116" s="16" t="b">
        <x:v>1</x:v>
      </x:c>
      <x:c r="O116" s="15" t="n">
        <x:v>9</x:v>
      </x:c>
      <x:c r="P116" s="16" t="b">
        <x:v>1</x:v>
      </x:c>
      <x:c r="Q116" s="16" t="b">
        <x:v>1</x:v>
      </x:c>
      <x:c r="R116" s="16" t="b">
        <x:v>1</x:v>
      </x:c>
      <x:c r="S116" s="15" t="str">
        <x:v>2026-06-12 18:57</x:v>
      </x:c>
      <x:c r="T116" s="15" t="str">
        <x:v>2026-06-12 19:06</x:v>
      </x:c>
    </x:row>
    <x:row r="117">
      <x:c r="A117" s="15" t="str">
        <x:v>V-2037</x:v>
      </x:c>
      <x:c r="B117" s="15" t="str">
        <x:v>APP-2037:approved</x:v>
      </x:c>
      <x:c r="C117" s="15" t="str">
        <x:v>EV-2037-approved</x:v>
      </x:c>
      <x:c r="D117" s="15" t="str">
        <x:v>approved</x:v>
      </x:c>
      <x:c r="E117" s="15" t="str">
        <x:v>2026-06-13</x:v>
      </x:c>
      <x:c r="F117" s="16" t="b">
        <x:v>1</x:v>
      </x:c>
      <x:c r="G117" s="16" t="b">
        <x:v>1</x:v>
      </x:c>
      <x:c r="H117" s="16" t="b">
        <x:v>1</x:v>
      </x:c>
      <x:c r="I117" s="16" t="b">
        <x:v>1</x:v>
      </x:c>
      <x:c r="J117" s="16" t="b">
        <x:v>1</x:v>
      </x:c>
      <x:c r="K117" s="16" t="b">
        <x:v>1</x:v>
      </x:c>
      <x:c r="L117" s="16" t="b">
        <x:v>1</x:v>
      </x:c>
      <x:c r="M117" s="15" t="n">
        <x:v>1</x:v>
      </x:c>
      <x:c r="N117" s="16" t="b">
        <x:v>1</x:v>
      </x:c>
      <x:c r="O117" s="15" t="n">
        <x:v>11</x:v>
      </x:c>
      <x:c r="P117" s="16" t="b">
        <x:v>1</x:v>
      </x:c>
      <x:c r="Q117" s="16" t="b">
        <x:v>1</x:v>
      </x:c>
      <x:c r="R117" s="16" t="b">
        <x:v>1</x:v>
      </x:c>
      <x:c r="S117" s="15" t="str">
        <x:v>2026-06-13 18:57</x:v>
      </x:c>
      <x:c r="T117" s="15" t="str">
        <x:v>2026-06-13 19:08</x:v>
      </x:c>
    </x:row>
    <x:row r="118">
      <x:c r="A118" s="15" t="str">
        <x:v>V-2037</x:v>
      </x:c>
      <x:c r="B118" s="15" t="str">
        <x:v>LN-2037:funded</x:v>
      </x:c>
      <x:c r="C118" s="15" t="str">
        <x:v>EV-2037-funded</x:v>
      </x:c>
      <x:c r="D118" s="15" t="str">
        <x:v>funded</x:v>
      </x:c>
      <x:c r="E118" s="15" t="str">
        <x:v>2026-06-16</x:v>
      </x:c>
      <x:c r="F118" s="16" t="b">
        <x:v>1</x:v>
      </x:c>
      <x:c r="G118" s="16" t="b">
        <x:v>1</x:v>
      </x:c>
      <x:c r="H118" s="16" t="b">
        <x:v>1</x:v>
      </x:c>
      <x:c r="I118" s="16" t="b">
        <x:v>1</x:v>
      </x:c>
      <x:c r="J118" s="16" t="b">
        <x:v>1</x:v>
      </x:c>
      <x:c r="K118" s="16" t="b">
        <x:v>1</x:v>
      </x:c>
      <x:c r="L118" s="16" t="b">
        <x:v>1</x:v>
      </x:c>
      <x:c r="M118" s="15" t="n">
        <x:v>1</x:v>
      </x:c>
      <x:c r="N118" s="16" t="b">
        <x:v>1</x:v>
      </x:c>
      <x:c r="O118" s="15" t="n">
        <x:v>42</x:v>
      </x:c>
      <x:c r="P118" s="16" t="b">
        <x:v>1</x:v>
      </x:c>
      <x:c r="Q118" s="16" t="b">
        <x:v>1</x:v>
      </x:c>
      <x:c r="R118" s="16" t="b">
        <x:v>1</x:v>
      </x:c>
      <x:c r="S118" s="15" t="str">
        <x:v>2026-06-16 18:57</x:v>
      </x:c>
      <x:c r="T118" s="15" t="str">
        <x:v>2026-06-16 19:39</x:v>
      </x:c>
    </x:row>
    <x:row r="119">
      <x:c r="A119" s="15" t="str">
        <x:v>V-2038</x:v>
      </x:c>
      <x:c r="B119" s="15" t="str">
        <x:v>APP-2038:submitted</x:v>
      </x:c>
      <x:c r="C119" s="15" t="str">
        <x:v>EV-2038-submitted</x:v>
      </x:c>
      <x:c r="D119" s="15" t="str">
        <x:v>submitted</x:v>
      </x:c>
      <x:c r="E119" s="15" t="str">
        <x:v>2026-07-03</x:v>
      </x:c>
      <x:c r="F119" s="16" t="b">
        <x:v>0</x:v>
      </x:c>
      <x:c r="G119" s="16" t="b">
        <x:v>0</x:v>
      </x:c>
      <x:c r="H119" s="16" t="b">
        <x:v>0</x:v>
      </x:c>
      <x:c r="I119" s="16" t="b">
        <x:v>0</x:v>
      </x:c>
      <x:c r="J119" s="16" t="b">
        <x:v>0</x:v>
      </x:c>
      <x:c r="K119" s="16" t="b">
        <x:v>0</x:v>
      </x:c>
      <x:c r="L119" s="16" t="b">
        <x:v>0</x:v>
      </x:c>
      <x:c r="M119" s="15" t="n">
        <x:v>0</x:v>
      </x:c>
      <x:c r="N119" s="16" t="b">
        <x:v>0</x:v>
      </x:c>
      <x:c r="O119" s="15"/>
      <x:c r="P119" s="16" t="b">
        <x:v>1</x:v>
      </x:c>
      <x:c r="Q119" s="16" t="b">
        <x:v>1</x:v>
      </x:c>
      <x:c r="R119" s="16" t="b">
        <x:v>1</x:v>
      </x:c>
      <x:c r="S119" s="15"/>
      <x:c r="T119" s="15"/>
    </x:row>
    <x:row r="120">
      <x:c r="A120" s="15" t="str">
        <x:v>V-2038</x:v>
      </x:c>
      <x:c r="B120" s="15" t="str">
        <x:v>APP-2038:qualified</x:v>
      </x:c>
      <x:c r="C120" s="15" t="str">
        <x:v>EV-2038-qualified</x:v>
      </x:c>
      <x:c r="D120" s="15" t="str">
        <x:v>qualified</x:v>
      </x:c>
      <x:c r="E120" s="15" t="str">
        <x:v>2026-07-04</x:v>
      </x:c>
      <x:c r="F120" s="16" t="b">
        <x:v>0</x:v>
      </x:c>
      <x:c r="G120" s="16" t="b">
        <x:v>0</x:v>
      </x:c>
      <x:c r="H120" s="16" t="b">
        <x:v>0</x:v>
      </x:c>
      <x:c r="I120" s="16" t="b">
        <x:v>0</x:v>
      </x:c>
      <x:c r="J120" s="16" t="b">
        <x:v>0</x:v>
      </x:c>
      <x:c r="K120" s="16" t="b">
        <x:v>0</x:v>
      </x:c>
      <x:c r="L120" s="16" t="b">
        <x:v>0</x:v>
      </x:c>
      <x:c r="M120" s="15" t="n">
        <x:v>0</x:v>
      </x:c>
      <x:c r="N120" s="16" t="b">
        <x:v>0</x:v>
      </x:c>
      <x:c r="O120" s="15"/>
      <x:c r="P120" s="16" t="b">
        <x:v>1</x:v>
      </x:c>
      <x:c r="Q120" s="16" t="b">
        <x:v>1</x:v>
      </x:c>
      <x:c r="R120" s="16" t="b">
        <x:v>1</x:v>
      </x:c>
      <x:c r="S120" s="15"/>
      <x:c r="T120" s="15"/>
    </x:row>
    <x:row r="121">
      <x:c r="A121" s="15" t="str">
        <x:v>V-2038</x:v>
      </x:c>
      <x:c r="B121" s="15" t="str">
        <x:v>APP-2038:approved</x:v>
      </x:c>
      <x:c r="C121" s="15" t="str">
        <x:v>EV-2038-approved</x:v>
      </x:c>
      <x:c r="D121" s="15" t="str">
        <x:v>approved</x:v>
      </x:c>
      <x:c r="E121" s="15" t="str">
        <x:v>2026-07-05</x:v>
      </x:c>
      <x:c r="F121" s="16" t="b">
        <x:v>0</x:v>
      </x:c>
      <x:c r="G121" s="16" t="b">
        <x:v>0</x:v>
      </x:c>
      <x:c r="H121" s="16" t="b">
        <x:v>0</x:v>
      </x:c>
      <x:c r="I121" s="16" t="b">
        <x:v>0</x:v>
      </x:c>
      <x:c r="J121" s="16" t="b">
        <x:v>0</x:v>
      </x:c>
      <x:c r="K121" s="16" t="b">
        <x:v>0</x:v>
      </x:c>
      <x:c r="L121" s="16" t="b">
        <x:v>0</x:v>
      </x:c>
      <x:c r="M121" s="15" t="n">
        <x:v>0</x:v>
      </x:c>
      <x:c r="N121" s="16" t="b">
        <x:v>0</x:v>
      </x:c>
      <x:c r="O121" s="15"/>
      <x:c r="P121" s="16" t="b">
        <x:v>1</x:v>
      </x:c>
      <x:c r="Q121" s="16" t="b">
        <x:v>1</x:v>
      </x:c>
      <x:c r="R121" s="16" t="b">
        <x:v>1</x:v>
      </x:c>
      <x:c r="S121" s="15"/>
      <x:c r="T121" s="15"/>
    </x:row>
    <x:row r="122">
      <x:c r="A122" s="15" t="str">
        <x:v>V-2038</x:v>
      </x:c>
      <x:c r="B122" s="15" t="str">
        <x:v>LN-2038:funded</x:v>
      </x:c>
      <x:c r="C122" s="15" t="str">
        <x:v>EV-2038-funded</x:v>
      </x:c>
      <x:c r="D122" s="15" t="str">
        <x:v>funded</x:v>
      </x:c>
      <x:c r="E122" s="15" t="str">
        <x:v>2026-07-06</x:v>
      </x:c>
      <x:c r="F122" s="16" t="b">
        <x:v>0</x:v>
      </x:c>
      <x:c r="G122" s="16" t="b">
        <x:v>0</x:v>
      </x:c>
      <x:c r="H122" s="16" t="b">
        <x:v>0</x:v>
      </x:c>
      <x:c r="I122" s="16" t="b">
        <x:v>0</x:v>
      </x:c>
      <x:c r="J122" s="16" t="b">
        <x:v>0</x:v>
      </x:c>
      <x:c r="K122" s="16" t="b">
        <x:v>0</x:v>
      </x:c>
      <x:c r="L122" s="16" t="b">
        <x:v>0</x:v>
      </x:c>
      <x:c r="M122" s="15" t="n">
        <x:v>0</x:v>
      </x:c>
      <x:c r="N122" s="16" t="b">
        <x:v>0</x:v>
      </x:c>
      <x:c r="O122" s="15"/>
      <x:c r="P122" s="16" t="b">
        <x:v>1</x:v>
      </x:c>
      <x:c r="Q122" s="16" t="b">
        <x:v>1</x:v>
      </x:c>
      <x:c r="R122" s="16" t="b">
        <x:v>1</x:v>
      </x:c>
      <x:c r="S122" s="15"/>
      <x:c r="T122" s="15"/>
    </x:row>
    <x:row r="123">
      <x:c r="A123" s="15" t="str">
        <x:v>V-2039</x:v>
      </x:c>
      <x:c r="B123" s="15" t="str">
        <x:v>APP-2039:submitted</x:v>
      </x:c>
      <x:c r="C123" s="15" t="str">
        <x:v>EV-2039-submitted</x:v>
      </x:c>
      <x:c r="D123" s="15" t="str">
        <x:v>submitted</x:v>
      </x:c>
      <x:c r="E123" s="15" t="str">
        <x:v>2026-08-04</x:v>
      </x:c>
      <x:c r="F123" s="16" t="b">
        <x:v>0</x:v>
      </x:c>
      <x:c r="G123" s="16" t="b">
        <x:v>0</x:v>
      </x:c>
      <x:c r="H123" s="16" t="b">
        <x:v>0</x:v>
      </x:c>
      <x:c r="I123" s="16" t="b">
        <x:v>0</x:v>
      </x:c>
      <x:c r="J123" s="16" t="b">
        <x:v>0</x:v>
      </x:c>
      <x:c r="K123" s="16" t="b">
        <x:v>0</x:v>
      </x:c>
      <x:c r="L123" s="16" t="b">
        <x:v>0</x:v>
      </x:c>
      <x:c r="M123" s="15" t="n">
        <x:v>0</x:v>
      </x:c>
      <x:c r="N123" s="16" t="b">
        <x:v>0</x:v>
      </x:c>
      <x:c r="O123" s="15"/>
      <x:c r="P123" s="16" t="b">
        <x:v>1</x:v>
      </x:c>
      <x:c r="Q123" s="16" t="b">
        <x:v>1</x:v>
      </x:c>
      <x:c r="R123" s="16" t="b">
        <x:v>1</x:v>
      </x:c>
      <x:c r="S123" s="15"/>
      <x:c r="T123" s="15"/>
    </x:row>
    <x:row r="124">
      <x:c r="A124" s="15" t="str">
        <x:v>V-2039</x:v>
      </x:c>
      <x:c r="B124" s="15" t="str">
        <x:v>APP-2039:qualified</x:v>
      </x:c>
      <x:c r="C124" s="15" t="str">
        <x:v>EV-2039-qualified</x:v>
      </x:c>
      <x:c r="D124" s="15" t="str">
        <x:v>qualified</x:v>
      </x:c>
      <x:c r="E124" s="15" t="str">
        <x:v>2026-08-05</x:v>
      </x:c>
      <x:c r="F124" s="16" t="b">
        <x:v>0</x:v>
      </x:c>
      <x:c r="G124" s="16" t="b">
        <x:v>0</x:v>
      </x:c>
      <x:c r="H124" s="16" t="b">
        <x:v>0</x:v>
      </x:c>
      <x:c r="I124" s="16" t="b">
        <x:v>0</x:v>
      </x:c>
      <x:c r="J124" s="16" t="b">
        <x:v>0</x:v>
      </x:c>
      <x:c r="K124" s="16" t="b">
        <x:v>0</x:v>
      </x:c>
      <x:c r="L124" s="16" t="b">
        <x:v>0</x:v>
      </x:c>
      <x:c r="M124" s="15" t="n">
        <x:v>0</x:v>
      </x:c>
      <x:c r="N124" s="16" t="b">
        <x:v>0</x:v>
      </x:c>
      <x:c r="O124" s="15"/>
      <x:c r="P124" s="16" t="b">
        <x:v>1</x:v>
      </x:c>
      <x:c r="Q124" s="16" t="b">
        <x:v>1</x:v>
      </x:c>
      <x:c r="R124" s="16" t="b">
        <x:v>1</x:v>
      </x:c>
      <x:c r="S124" s="15"/>
      <x:c r="T124" s="15"/>
    </x:row>
    <x:row r="125">
      <x:c r="A125" s="15" t="str">
        <x:v>V-2039</x:v>
      </x:c>
      <x:c r="B125" s="15" t="str">
        <x:v>APP-2039:approved</x:v>
      </x:c>
      <x:c r="C125" s="15" t="str">
        <x:v>EV-2039-approved</x:v>
      </x:c>
      <x:c r="D125" s="15" t="str">
        <x:v>approved</x:v>
      </x:c>
      <x:c r="E125" s="15" t="str">
        <x:v>2026-08-06</x:v>
      </x:c>
      <x:c r="F125" s="16" t="b">
        <x:v>0</x:v>
      </x:c>
      <x:c r="G125" s="16" t="b">
        <x:v>0</x:v>
      </x:c>
      <x:c r="H125" s="16" t="b">
        <x:v>0</x:v>
      </x:c>
      <x:c r="I125" s="16" t="b">
        <x:v>0</x:v>
      </x:c>
      <x:c r="J125" s="16" t="b">
        <x:v>0</x:v>
      </x:c>
      <x:c r="K125" s="16" t="b">
        <x:v>0</x:v>
      </x:c>
      <x:c r="L125" s="16" t="b">
        <x:v>0</x:v>
      </x:c>
      <x:c r="M125" s="15" t="n">
        <x:v>0</x:v>
      </x:c>
      <x:c r="N125" s="16" t="b">
        <x:v>0</x:v>
      </x:c>
      <x:c r="O125" s="15"/>
      <x:c r="P125" s="16" t="b">
        <x:v>1</x:v>
      </x:c>
      <x:c r="Q125" s="16" t="b">
        <x:v>1</x:v>
      </x:c>
      <x:c r="R125" s="16" t="b">
        <x:v>1</x:v>
      </x:c>
      <x:c r="S125" s="15"/>
      <x:c r="T125" s="15"/>
    </x:row>
    <x:row r="126">
      <x:c r="A126" s="15" t="str">
        <x:v>V-2039</x:v>
      </x:c>
      <x:c r="B126" s="15" t="str">
        <x:v>LN-2039:funded</x:v>
      </x:c>
      <x:c r="C126" s="15" t="str">
        <x:v>EV-2039-funded</x:v>
      </x:c>
      <x:c r="D126" s="15" t="str">
        <x:v>funded</x:v>
      </x:c>
      <x:c r="E126" s="15" t="str">
        <x:v>2026-08-08</x:v>
      </x:c>
      <x:c r="F126" s="16" t="b">
        <x:v>0</x:v>
      </x:c>
      <x:c r="G126" s="16" t="b">
        <x:v>0</x:v>
      </x:c>
      <x:c r="H126" s="16" t="b">
        <x:v>0</x:v>
      </x:c>
      <x:c r="I126" s="16" t="b">
        <x:v>0</x:v>
      </x:c>
      <x:c r="J126" s="16" t="b">
        <x:v>0</x:v>
      </x:c>
      <x:c r="K126" s="16" t="b">
        <x:v>0</x:v>
      </x:c>
      <x:c r="L126" s="16" t="b">
        <x:v>0</x:v>
      </x:c>
      <x:c r="M126" s="15" t="n">
        <x:v>0</x:v>
      </x:c>
      <x:c r="N126" s="16" t="b">
        <x:v>0</x:v>
      </x:c>
      <x:c r="O126" s="15"/>
      <x:c r="P126" s="16" t="b">
        <x:v>1</x:v>
      </x:c>
      <x:c r="Q126" s="16" t="b">
        <x:v>1</x:v>
      </x:c>
      <x:c r="R126" s="16" t="b">
        <x:v>1</x:v>
      </x:c>
      <x:c r="S126" s="15"/>
      <x:c r="T126" s="15"/>
    </x:row>
    <x:row r="127">
      <x:c r="A127" s="15" t="str">
        <x:v>V-2040</x:v>
      </x:c>
      <x:c r="B127" s="15" t="str">
        <x:v>APP-2040:submitted</x:v>
      </x:c>
      <x:c r="C127" s="15" t="str">
        <x:v>EV-2040-submitted</x:v>
      </x:c>
      <x:c r="D127" s="15" t="str">
        <x:v>submitted</x:v>
      </x:c>
      <x:c r="E127" s="15" t="str">
        <x:v>2026-07-19</x:v>
      </x:c>
      <x:c r="F127" s="16" t="b">
        <x:v>0</x:v>
      </x:c>
      <x:c r="G127" s="16" t="b">
        <x:v>0</x:v>
      </x:c>
      <x:c r="H127" s="16" t="b">
        <x:v>0</x:v>
      </x:c>
      <x:c r="I127" s="16" t="b">
        <x:v>0</x:v>
      </x:c>
      <x:c r="J127" s="16" t="b">
        <x:v>0</x:v>
      </x:c>
      <x:c r="K127" s="16" t="b">
        <x:v>0</x:v>
      </x:c>
      <x:c r="L127" s="16" t="b">
        <x:v>0</x:v>
      </x:c>
      <x:c r="M127" s="15" t="n">
        <x:v>0</x:v>
      </x:c>
      <x:c r="N127" s="16" t="b">
        <x:v>0</x:v>
      </x:c>
      <x:c r="O127" s="15"/>
      <x:c r="P127" s="16" t="b">
        <x:v>1</x:v>
      </x:c>
      <x:c r="Q127" s="16" t="b">
        <x:v>1</x:v>
      </x:c>
      <x:c r="R127" s="16" t="b">
        <x:v>1</x:v>
      </x:c>
      <x:c r="S127" s="15"/>
      <x:c r="T127" s="15"/>
    </x:row>
    <x:row r="128">
      <x:c r="A128" s="15" t="str">
        <x:v>V-2040</x:v>
      </x:c>
      <x:c r="B128" s="15" t="str">
        <x:v>APP-2040:qualified</x:v>
      </x:c>
      <x:c r="C128" s="15" t="str">
        <x:v>EV-2040-qualified</x:v>
      </x:c>
      <x:c r="D128" s="15" t="str">
        <x:v>qualified</x:v>
      </x:c>
      <x:c r="E128" s="15" t="str">
        <x:v>2026-07-20</x:v>
      </x:c>
      <x:c r="F128" s="16" t="b">
        <x:v>0</x:v>
      </x:c>
      <x:c r="G128" s="16" t="b">
        <x:v>0</x:v>
      </x:c>
      <x:c r="H128" s="16" t="b">
        <x:v>0</x:v>
      </x:c>
      <x:c r="I128" s="16" t="b">
        <x:v>0</x:v>
      </x:c>
      <x:c r="J128" s="16" t="b">
        <x:v>0</x:v>
      </x:c>
      <x:c r="K128" s="16" t="b">
        <x:v>0</x:v>
      </x:c>
      <x:c r="L128" s="16" t="b">
        <x:v>0</x:v>
      </x:c>
      <x:c r="M128" s="15" t="n">
        <x:v>0</x:v>
      </x:c>
      <x:c r="N128" s="16" t="b">
        <x:v>0</x:v>
      </x:c>
      <x:c r="O128" s="15"/>
      <x:c r="P128" s="16" t="b">
        <x:v>1</x:v>
      </x:c>
      <x:c r="Q128" s="16" t="b">
        <x:v>1</x:v>
      </x:c>
      <x:c r="R128" s="16" t="b">
        <x:v>1</x:v>
      </x:c>
      <x:c r="S128" s="15"/>
      <x:c r="T128" s="15"/>
    </x:row>
    <x:row r="129">
      <x:c r="A129" s="15" t="str">
        <x:v>V-2041</x:v>
      </x:c>
      <x:c r="B129" s="15" t="str">
        <x:v>APP-2041:submitted</x:v>
      </x:c>
      <x:c r="C129" s="15" t="str">
        <x:v>EV-2041-submitted</x:v>
      </x:c>
      <x:c r="D129" s="15" t="str">
        <x:v>submitted</x:v>
      </x:c>
      <x:c r="E129" s="15" t="str">
        <x:v>2026-08-27</x:v>
      </x:c>
      <x:c r="F129" s="16" t="b">
        <x:v>0</x:v>
      </x:c>
      <x:c r="G129" s="16" t="b">
        <x:v>0</x:v>
      </x:c>
      <x:c r="H129" s="16" t="b">
        <x:v>0</x:v>
      </x:c>
      <x:c r="I129" s="16" t="b">
        <x:v>0</x:v>
      </x:c>
      <x:c r="J129" s="16" t="b">
        <x:v>0</x:v>
      </x:c>
      <x:c r="K129" s="16" t="b">
        <x:v>0</x:v>
      </x:c>
      <x:c r="L129" s="16" t="b">
        <x:v>0</x:v>
      </x:c>
      <x:c r="M129" s="15" t="n">
        <x:v>0</x:v>
      </x:c>
      <x:c r="N129" s="16" t="b">
        <x:v>0</x:v>
      </x:c>
      <x:c r="O129" s="15"/>
      <x:c r="P129" s="16" t="b">
        <x:v>1</x:v>
      </x:c>
      <x:c r="Q129" s="16" t="b">
        <x:v>1</x:v>
      </x:c>
      <x:c r="R129" s="16" t="b">
        <x:v>1</x:v>
      </x:c>
      <x:c r="S129" s="15"/>
      <x:c r="T129" s="15"/>
    </x:row>
    <x:row r="130">
      <x:c r="A130" s="15" t="str">
        <x:v>V-2043</x:v>
      </x:c>
      <x:c r="B130" s="15" t="str">
        <x:v>APP-2043:submitted</x:v>
      </x:c>
      <x:c r="C130" s="15" t="str">
        <x:v>EV-2043-submitted</x:v>
      </x:c>
      <x:c r="D130" s="15" t="str">
        <x:v>submitted</x:v>
      </x:c>
      <x:c r="E130" s="15" t="str">
        <x:v>2026-09-06</x:v>
      </x:c>
      <x:c r="F130" s="16" t="b">
        <x:v>0</x:v>
      </x:c>
      <x:c r="G130" s="16" t="b">
        <x:v>0</x:v>
      </x:c>
      <x:c r="H130" s="16" t="b">
        <x:v>0</x:v>
      </x:c>
      <x:c r="I130" s="16" t="b">
        <x:v>0</x:v>
      </x:c>
      <x:c r="J130" s="16" t="b">
        <x:v>0</x:v>
      </x:c>
      <x:c r="K130" s="16" t="b">
        <x:v>0</x:v>
      </x:c>
      <x:c r="L130" s="16" t="b">
        <x:v>0</x:v>
      </x:c>
      <x:c r="M130" s="15" t="n">
        <x:v>0</x:v>
      </x:c>
      <x:c r="N130" s="16" t="b">
        <x:v>0</x:v>
      </x:c>
      <x:c r="O130" s="15"/>
      <x:c r="P130" s="16" t="b">
        <x:v>1</x:v>
      </x:c>
      <x:c r="Q130" s="16" t="b">
        <x:v>1</x:v>
      </x:c>
      <x:c r="R130" s="16" t="b">
        <x:v>1</x:v>
      </x:c>
      <x:c r="S130" s="15"/>
      <x:c r="T130" s="15"/>
    </x:row>
    <x:row r="131">
      <x:c r="A131" s="15" t="str">
        <x:v>V-2044</x:v>
      </x:c>
      <x:c r="B131" s="15" t="str">
        <x:v>APP-2044:submitted</x:v>
      </x:c>
      <x:c r="C131" s="15" t="str">
        <x:v>EV-2044-submitted</x:v>
      </x:c>
      <x:c r="D131" s="15" t="str">
        <x:v>submitted</x:v>
      </x:c>
      <x:c r="E131" s="15" t="str">
        <x:v>2026-06-21</x:v>
      </x:c>
      <x:c r="F131" s="16" t="b">
        <x:v>0</x:v>
      </x:c>
      <x:c r="G131" s="16" t="b">
        <x:v>0</x:v>
      </x:c>
      <x:c r="H131" s="16" t="b">
        <x:v>0</x:v>
      </x:c>
      <x:c r="I131" s="16" t="b">
        <x:v>0</x:v>
      </x:c>
      <x:c r="J131" s="16" t="b">
        <x:v>0</x:v>
      </x:c>
      <x:c r="K131" s="16" t="b">
        <x:v>0</x:v>
      </x:c>
      <x:c r="L131" s="16" t="b">
        <x:v>0</x:v>
      </x:c>
      <x:c r="M131" s="15" t="n">
        <x:v>0</x:v>
      </x:c>
      <x:c r="N131" s="16" t="b">
        <x:v>0</x:v>
      </x:c>
      <x:c r="O131" s="15"/>
      <x:c r="P131" s="16" t="b">
        <x:v>1</x:v>
      </x:c>
      <x:c r="Q131" s="16" t="b">
        <x:v>1</x:v>
      </x:c>
      <x:c r="R131" s="16" t="b">
        <x:v>1</x:v>
      </x:c>
      <x:c r="S131" s="15"/>
      <x:c r="T131" s="15"/>
    </x:row>
    <x:row r="132">
      <x:c r="A132" s="15" t="str">
        <x:v>V-2044</x:v>
      </x:c>
      <x:c r="B132" s="15" t="str">
        <x:v>APP-2044:qualified</x:v>
      </x:c>
      <x:c r="C132" s="15" t="str">
        <x:v>EV-2044-qualified</x:v>
      </x:c>
      <x:c r="D132" s="15" t="str">
        <x:v>qualified</x:v>
      </x:c>
      <x:c r="E132" s="15" t="str">
        <x:v>2026-06-22</x:v>
      </x:c>
      <x:c r="F132" s="16" t="b">
        <x:v>0</x:v>
      </x:c>
      <x:c r="G132" s="16" t="b">
        <x:v>0</x:v>
      </x:c>
      <x:c r="H132" s="16" t="b">
        <x:v>0</x:v>
      </x:c>
      <x:c r="I132" s="16" t="b">
        <x:v>0</x:v>
      </x:c>
      <x:c r="J132" s="16" t="b">
        <x:v>0</x:v>
      </x:c>
      <x:c r="K132" s="16" t="b">
        <x:v>0</x:v>
      </x:c>
      <x:c r="L132" s="16" t="b">
        <x:v>0</x:v>
      </x:c>
      <x:c r="M132" s="15" t="n">
        <x:v>0</x:v>
      </x:c>
      <x:c r="N132" s="16" t="b">
        <x:v>0</x:v>
      </x:c>
      <x:c r="O132" s="15"/>
      <x:c r="P132" s="16" t="b">
        <x:v>1</x:v>
      </x:c>
      <x:c r="Q132" s="16" t="b">
        <x:v>1</x:v>
      </x:c>
      <x:c r="R132" s="16" t="b">
        <x:v>1</x:v>
      </x:c>
      <x:c r="S132" s="15"/>
      <x:c r="T132" s="15"/>
    </x:row>
    <x:row r="133">
      <x:c r="A133" s="15" t="str">
        <x:v>V-2044</x:v>
      </x:c>
      <x:c r="B133" s="15" t="str">
        <x:v>APP-2044:approved</x:v>
      </x:c>
      <x:c r="C133" s="15" t="str">
        <x:v>EV-2044-approved</x:v>
      </x:c>
      <x:c r="D133" s="15" t="str">
        <x:v>approved</x:v>
      </x:c>
      <x:c r="E133" s="15" t="str">
        <x:v>2026-06-23</x:v>
      </x:c>
      <x:c r="F133" s="16" t="b">
        <x:v>0</x:v>
      </x:c>
      <x:c r="G133" s="16" t="b">
        <x:v>0</x:v>
      </x:c>
      <x:c r="H133" s="16" t="b">
        <x:v>0</x:v>
      </x:c>
      <x:c r="I133" s="16" t="b">
        <x:v>0</x:v>
      </x:c>
      <x:c r="J133" s="16" t="b">
        <x:v>0</x:v>
      </x:c>
      <x:c r="K133" s="16" t="b">
        <x:v>0</x:v>
      </x:c>
      <x:c r="L133" s="16" t="b">
        <x:v>0</x:v>
      </x:c>
      <x:c r="M133" s="15" t="n">
        <x:v>0</x:v>
      </x:c>
      <x:c r="N133" s="16" t="b">
        <x:v>0</x:v>
      </x:c>
      <x:c r="O133" s="15"/>
      <x:c r="P133" s="16" t="b">
        <x:v>1</x:v>
      </x:c>
      <x:c r="Q133" s="16" t="b">
        <x:v>1</x:v>
      </x:c>
      <x:c r="R133" s="16" t="b">
        <x:v>1</x:v>
      </x:c>
      <x:c r="S133" s="15"/>
      <x:c r="T133" s="15"/>
    </x:row>
    <x:row r="134">
      <x:c r="A134" s="15" t="str">
        <x:v>V-2044</x:v>
      </x:c>
      <x:c r="B134" s="15" t="str">
        <x:v>LN-2044:funded</x:v>
      </x:c>
      <x:c r="C134" s="15" t="str">
        <x:v>EV-2044-funded</x:v>
      </x:c>
      <x:c r="D134" s="15" t="str">
        <x:v>funded</x:v>
      </x:c>
      <x:c r="E134" s="15" t="str">
        <x:v>2026-06-25</x:v>
      </x:c>
      <x:c r="F134" s="16" t="b">
        <x:v>0</x:v>
      </x:c>
      <x:c r="G134" s="16" t="b">
        <x:v>0</x:v>
      </x:c>
      <x:c r="H134" s="16" t="b">
        <x:v>0</x:v>
      </x:c>
      <x:c r="I134" s="16" t="b">
        <x:v>0</x:v>
      </x:c>
      <x:c r="J134" s="16" t="b">
        <x:v>0</x:v>
      </x:c>
      <x:c r="K134" s="16" t="b">
        <x:v>0</x:v>
      </x:c>
      <x:c r="L134" s="16" t="b">
        <x:v>0</x:v>
      </x:c>
      <x:c r="M134" s="15" t="n">
        <x:v>0</x:v>
      </x:c>
      <x:c r="N134" s="16" t="b">
        <x:v>0</x:v>
      </x:c>
      <x:c r="O134" s="15"/>
      <x:c r="P134" s="16" t="b">
        <x:v>1</x:v>
      </x:c>
      <x:c r="Q134" s="16" t="b">
        <x:v>1</x:v>
      </x:c>
      <x:c r="R134" s="16" t="b">
        <x:v>1</x:v>
      </x:c>
      <x:c r="S134" s="15"/>
      <x:c r="T134" s="15"/>
    </x:row>
    <x:row r="135">
      <x:c r="A135" s="15" t="str">
        <x:v>V-2045</x:v>
      </x:c>
      <x:c r="B135" s="15" t="str">
        <x:v>APP-2045:submitted</x:v>
      </x:c>
      <x:c r="C135" s="15" t="str">
        <x:v>EV-2045-submitted</x:v>
      </x:c>
      <x:c r="D135" s="15" t="str">
        <x:v>submitted</x:v>
      </x:c>
      <x:c r="E135" s="15" t="str">
        <x:v>2026-07-07</x:v>
      </x:c>
      <x:c r="F135" s="16" t="b">
        <x:v>0</x:v>
      </x:c>
      <x:c r="G135" s="16" t="b">
        <x:v>0</x:v>
      </x:c>
      <x:c r="H135" s="16" t="b">
        <x:v>0</x:v>
      </x:c>
      <x:c r="I135" s="16" t="b">
        <x:v>0</x:v>
      </x:c>
      <x:c r="J135" s="16" t="b">
        <x:v>0</x:v>
      </x:c>
      <x:c r="K135" s="16" t="b">
        <x:v>0</x:v>
      </x:c>
      <x:c r="L135" s="16" t="b">
        <x:v>0</x:v>
      </x:c>
      <x:c r="M135" s="15" t="n">
        <x:v>0</x:v>
      </x:c>
      <x:c r="N135" s="16" t="b">
        <x:v>0</x:v>
      </x:c>
      <x:c r="O135" s="15"/>
      <x:c r="P135" s="16" t="b">
        <x:v>1</x:v>
      </x:c>
      <x:c r="Q135" s="16" t="b">
        <x:v>1</x:v>
      </x:c>
      <x:c r="R135" s="16" t="b">
        <x:v>1</x:v>
      </x:c>
      <x:c r="S135" s="15"/>
      <x:c r="T135" s="15"/>
    </x:row>
    <x:row r="136">
      <x:c r="A136" s="15" t="str">
        <x:v>V-2045</x:v>
      </x:c>
      <x:c r="B136" s="15" t="str">
        <x:v>APP-2045:qualified</x:v>
      </x:c>
      <x:c r="C136" s="15" t="str">
        <x:v>EV-2045-qualified</x:v>
      </x:c>
      <x:c r="D136" s="15" t="str">
        <x:v>qualified</x:v>
      </x:c>
      <x:c r="E136" s="15" t="str">
        <x:v>2026-07-08</x:v>
      </x:c>
      <x:c r="F136" s="16" t="b">
        <x:v>0</x:v>
      </x:c>
      <x:c r="G136" s="16" t="b">
        <x:v>0</x:v>
      </x:c>
      <x:c r="H136" s="16" t="b">
        <x:v>0</x:v>
      </x:c>
      <x:c r="I136" s="16" t="b">
        <x:v>0</x:v>
      </x:c>
      <x:c r="J136" s="16" t="b">
        <x:v>0</x:v>
      </x:c>
      <x:c r="K136" s="16" t="b">
        <x:v>0</x:v>
      </x:c>
      <x:c r="L136" s="16" t="b">
        <x:v>0</x:v>
      </x:c>
      <x:c r="M136" s="15" t="n">
        <x:v>0</x:v>
      </x:c>
      <x:c r="N136" s="16" t="b">
        <x:v>0</x:v>
      </x:c>
      <x:c r="O136" s="15"/>
      <x:c r="P136" s="16" t="b">
        <x:v>1</x:v>
      </x:c>
      <x:c r="Q136" s="16" t="b">
        <x:v>1</x:v>
      </x:c>
      <x:c r="R136" s="16" t="b">
        <x:v>1</x:v>
      </x:c>
      <x:c r="S136" s="15"/>
      <x:c r="T136" s="15"/>
    </x:row>
    <x:row r="137">
      <x:c r="A137" s="15" t="str">
        <x:v>V-2045</x:v>
      </x:c>
      <x:c r="B137" s="15" t="str">
        <x:v>APP-2045:approved</x:v>
      </x:c>
      <x:c r="C137" s="15" t="str">
        <x:v>EV-2045-approved</x:v>
      </x:c>
      <x:c r="D137" s="15" t="str">
        <x:v>approved</x:v>
      </x:c>
      <x:c r="E137" s="15" t="str">
        <x:v>2026-07-09</x:v>
      </x:c>
      <x:c r="F137" s="16" t="b">
        <x:v>0</x:v>
      </x:c>
      <x:c r="G137" s="16" t="b">
        <x:v>0</x:v>
      </x:c>
      <x:c r="H137" s="16" t="b">
        <x:v>0</x:v>
      </x:c>
      <x:c r="I137" s="16" t="b">
        <x:v>0</x:v>
      </x:c>
      <x:c r="J137" s="16" t="b">
        <x:v>0</x:v>
      </x:c>
      <x:c r="K137" s="16" t="b">
        <x:v>0</x:v>
      </x:c>
      <x:c r="L137" s="16" t="b">
        <x:v>0</x:v>
      </x:c>
      <x:c r="M137" s="15" t="n">
        <x:v>0</x:v>
      </x:c>
      <x:c r="N137" s="16" t="b">
        <x:v>0</x:v>
      </x:c>
      <x:c r="O137" s="15"/>
      <x:c r="P137" s="16" t="b">
        <x:v>1</x:v>
      </x:c>
      <x:c r="Q137" s="16" t="b">
        <x:v>1</x:v>
      </x:c>
      <x:c r="R137" s="16" t="b">
        <x:v>1</x:v>
      </x:c>
      <x:c r="S137" s="15"/>
      <x:c r="T137" s="15"/>
    </x:row>
    <x:row r="138">
      <x:c r="A138" s="15" t="str">
        <x:v>V-2045</x:v>
      </x:c>
      <x:c r="B138" s="15" t="str">
        <x:v>LN-2045:funded</x:v>
      </x:c>
      <x:c r="C138" s="15" t="str">
        <x:v>EV-2045-funded</x:v>
      </x:c>
      <x:c r="D138" s="15" t="str">
        <x:v>funded</x:v>
      </x:c>
      <x:c r="E138" s="15" t="str">
        <x:v>2026-07-11</x:v>
      </x:c>
      <x:c r="F138" s="16" t="b">
        <x:v>0</x:v>
      </x:c>
      <x:c r="G138" s="16" t="b">
        <x:v>0</x:v>
      </x:c>
      <x:c r="H138" s="16" t="b">
        <x:v>0</x:v>
      </x:c>
      <x:c r="I138" s="16" t="b">
        <x:v>0</x:v>
      </x:c>
      <x:c r="J138" s="16" t="b">
        <x:v>0</x:v>
      </x:c>
      <x:c r="K138" s="16" t="b">
        <x:v>0</x:v>
      </x:c>
      <x:c r="L138" s="16" t="b">
        <x:v>0</x:v>
      </x:c>
      <x:c r="M138" s="15" t="n">
        <x:v>0</x:v>
      </x:c>
      <x:c r="N138" s="16" t="b">
        <x:v>0</x:v>
      </x:c>
      <x:c r="O138" s="15"/>
      <x:c r="P138" s="16" t="b">
        <x:v>1</x:v>
      </x:c>
      <x:c r="Q138" s="16" t="b">
        <x:v>1</x:v>
      </x:c>
      <x:c r="R138" s="16" t="b">
        <x:v>1</x:v>
      </x:c>
      <x:c r="S138" s="15"/>
      <x:c r="T138" s="15"/>
    </x:row>
    <x:row r="139">
      <x:c r="A139" s="15" t="str">
        <x:v>V-2046</x:v>
      </x:c>
      <x:c r="B139" s="15" t="str">
        <x:v>APP-2046:submitted</x:v>
      </x:c>
      <x:c r="C139" s="15" t="str">
        <x:v>EV-2046-submitted</x:v>
      </x:c>
      <x:c r="D139" s="15" t="str">
        <x:v>submitted</x:v>
      </x:c>
      <x:c r="E139" s="15" t="str">
        <x:v>2026-08-08</x:v>
      </x:c>
      <x:c r="F139" s="16" t="b">
        <x:v>0</x:v>
      </x:c>
      <x:c r="G139" s="16" t="b">
        <x:v>0</x:v>
      </x:c>
      <x:c r="H139" s="16" t="b">
        <x:v>0</x:v>
      </x:c>
      <x:c r="I139" s="16" t="b">
        <x:v>0</x:v>
      </x:c>
      <x:c r="J139" s="16" t="b">
        <x:v>0</x:v>
      </x:c>
      <x:c r="K139" s="16" t="b">
        <x:v>0</x:v>
      </x:c>
      <x:c r="L139" s="16" t="b">
        <x:v>0</x:v>
      </x:c>
      <x:c r="M139" s="15" t="n">
        <x:v>0</x:v>
      </x:c>
      <x:c r="N139" s="16" t="b">
        <x:v>0</x:v>
      </x:c>
      <x:c r="O139" s="15"/>
      <x:c r="P139" s="16" t="b">
        <x:v>1</x:v>
      </x:c>
      <x:c r="Q139" s="16" t="b">
        <x:v>1</x:v>
      </x:c>
      <x:c r="R139" s="16" t="b">
        <x:v>1</x:v>
      </x:c>
      <x:c r="S139" s="15"/>
      <x:c r="T139" s="15"/>
    </x:row>
    <x:row r="140">
      <x:c r="A140" s="15" t="str">
        <x:v>V-2046</x:v>
      </x:c>
      <x:c r="B140" s="15" t="str">
        <x:v>APP-2046:qualified</x:v>
      </x:c>
      <x:c r="C140" s="15" t="str">
        <x:v>EV-2046-qualified</x:v>
      </x:c>
      <x:c r="D140" s="15" t="str">
        <x:v>qualified</x:v>
      </x:c>
      <x:c r="E140" s="15" t="str">
        <x:v>2026-08-09</x:v>
      </x:c>
      <x:c r="F140" s="16" t="b">
        <x:v>0</x:v>
      </x:c>
      <x:c r="G140" s="16" t="b">
        <x:v>0</x:v>
      </x:c>
      <x:c r="H140" s="16" t="b">
        <x:v>0</x:v>
      </x:c>
      <x:c r="I140" s="16" t="b">
        <x:v>0</x:v>
      </x:c>
      <x:c r="J140" s="16" t="b">
        <x:v>0</x:v>
      </x:c>
      <x:c r="K140" s="16" t="b">
        <x:v>0</x:v>
      </x:c>
      <x:c r="L140" s="16" t="b">
        <x:v>0</x:v>
      </x:c>
      <x:c r="M140" s="15" t="n">
        <x:v>0</x:v>
      </x:c>
      <x:c r="N140" s="16" t="b">
        <x:v>0</x:v>
      </x:c>
      <x:c r="O140" s="15"/>
      <x:c r="P140" s="16" t="b">
        <x:v>1</x:v>
      </x:c>
      <x:c r="Q140" s="16" t="b">
        <x:v>1</x:v>
      </x:c>
      <x:c r="R140" s="16" t="b">
        <x:v>1</x:v>
      </x:c>
      <x:c r="S140" s="15"/>
      <x:c r="T140" s="15"/>
    </x:row>
    <x:row r="141">
      <x:c r="A141" s="15" t="str">
        <x:v>V-2046</x:v>
      </x:c>
      <x:c r="B141" s="15" t="str">
        <x:v>APP-2046:approved</x:v>
      </x:c>
      <x:c r="C141" s="15" t="str">
        <x:v>EV-2046-approved</x:v>
      </x:c>
      <x:c r="D141" s="15" t="str">
        <x:v>approved</x:v>
      </x:c>
      <x:c r="E141" s="15" t="str">
        <x:v>2026-08-10</x:v>
      </x:c>
      <x:c r="F141" s="16" t="b">
        <x:v>0</x:v>
      </x:c>
      <x:c r="G141" s="16" t="b">
        <x:v>0</x:v>
      </x:c>
      <x:c r="H141" s="16" t="b">
        <x:v>0</x:v>
      </x:c>
      <x:c r="I141" s="16" t="b">
        <x:v>0</x:v>
      </x:c>
      <x:c r="J141" s="16" t="b">
        <x:v>0</x:v>
      </x:c>
      <x:c r="K141" s="16" t="b">
        <x:v>0</x:v>
      </x:c>
      <x:c r="L141" s="16" t="b">
        <x:v>0</x:v>
      </x:c>
      <x:c r="M141" s="15" t="n">
        <x:v>0</x:v>
      </x:c>
      <x:c r="N141" s="16" t="b">
        <x:v>0</x:v>
      </x:c>
      <x:c r="O141" s="15"/>
      <x:c r="P141" s="16" t="b">
        <x:v>1</x:v>
      </x:c>
      <x:c r="Q141" s="16" t="b">
        <x:v>1</x:v>
      </x:c>
      <x:c r="R141" s="16" t="b">
        <x:v>1</x:v>
      </x:c>
      <x:c r="S141" s="15"/>
      <x:c r="T141" s="15"/>
    </x:row>
    <x:row r="142">
      <x:c r="A142" s="15" t="str">
        <x:v>V-2047</x:v>
      </x:c>
      <x:c r="B142" s="15" t="str">
        <x:v>APP-2047:submitted</x:v>
      </x:c>
      <x:c r="C142" s="15" t="str">
        <x:v>EV-2047-submitted</x:v>
      </x:c>
      <x:c r="D142" s="15" t="str">
        <x:v>submitted</x:v>
      </x:c>
      <x:c r="E142" s="15" t="str">
        <x:v>2026-08-29</x:v>
      </x:c>
      <x:c r="F142" s="16" t="b">
        <x:v>0</x:v>
      </x:c>
      <x:c r="G142" s="16" t="b">
        <x:v>0</x:v>
      </x:c>
      <x:c r="H142" s="16" t="b">
        <x:v>0</x:v>
      </x:c>
      <x:c r="I142" s="16" t="b">
        <x:v>0</x:v>
      </x:c>
      <x:c r="J142" s="16" t="b">
        <x:v>0</x:v>
      </x:c>
      <x:c r="K142" s="16" t="b">
        <x:v>0</x:v>
      </x:c>
      <x:c r="L142" s="16" t="b">
        <x:v>0</x:v>
      </x:c>
      <x:c r="M142" s="15" t="n">
        <x:v>0</x:v>
      </x:c>
      <x:c r="N142" s="16" t="b">
        <x:v>0</x:v>
      </x:c>
      <x:c r="O142" s="15"/>
      <x:c r="P142" s="16" t="b">
        <x:v>1</x:v>
      </x:c>
      <x:c r="Q142" s="16" t="b">
        <x:v>1</x:v>
      </x:c>
      <x:c r="R142" s="16" t="b">
        <x:v>1</x:v>
      </x:c>
      <x:c r="S142" s="15"/>
      <x:c r="T142" s="15"/>
    </x:row>
    <x:row r="143">
      <x:c r="A143" s="15" t="str">
        <x:v>V-2047</x:v>
      </x:c>
      <x:c r="B143" s="15" t="str">
        <x:v>APP-2047:qualified</x:v>
      </x:c>
      <x:c r="C143" s="15" t="str">
        <x:v>EV-2047-qualified</x:v>
      </x:c>
      <x:c r="D143" s="15" t="str">
        <x:v>qualified</x:v>
      </x:c>
      <x:c r="E143" s="15" t="str">
        <x:v>2026-08-30</x:v>
      </x:c>
      <x:c r="F143" s="16" t="b">
        <x:v>0</x:v>
      </x:c>
      <x:c r="G143" s="16" t="b">
        <x:v>0</x:v>
      </x:c>
      <x:c r="H143" s="16" t="b">
        <x:v>0</x:v>
      </x:c>
      <x:c r="I143" s="16" t="b">
        <x:v>0</x:v>
      </x:c>
      <x:c r="J143" s="16" t="b">
        <x:v>0</x:v>
      </x:c>
      <x:c r="K143" s="16" t="b">
        <x:v>0</x:v>
      </x:c>
      <x:c r="L143" s="16" t="b">
        <x:v>0</x:v>
      </x:c>
      <x:c r="M143" s="15" t="n">
        <x:v>0</x:v>
      </x:c>
      <x:c r="N143" s="16" t="b">
        <x:v>0</x:v>
      </x:c>
      <x:c r="O143" s="15"/>
      <x:c r="P143" s="16" t="b">
        <x:v>1</x:v>
      </x:c>
      <x:c r="Q143" s="16" t="b">
        <x:v>1</x:v>
      </x:c>
      <x:c r="R143" s="16" t="b">
        <x:v>1</x:v>
      </x:c>
      <x:c r="S143" s="15"/>
      <x:c r="T143" s="15"/>
    </x:row>
    <x:row r="144">
      <x:c r="A144" s="15" t="str">
        <x:v>V-2050</x:v>
      </x:c>
      <x:c r="B144" s="15" t="str">
        <x:v>APP-2050:submitted</x:v>
      </x:c>
      <x:c r="C144" s="15" t="str">
        <x:v>EV-2050-submitted</x:v>
      </x:c>
      <x:c r="D144" s="15" t="str">
        <x:v>submitted</x:v>
      </x:c>
      <x:c r="E144" s="15" t="str">
        <x:v>2026-08-15</x:v>
      </x:c>
      <x:c r="F144" s="16" t="b">
        <x:v>1</x:v>
      </x:c>
      <x:c r="G144" s="16" t="b">
        <x:v>1</x:v>
      </x:c>
      <x:c r="H144" s="16" t="b">
        <x:v>1</x:v>
      </x:c>
      <x:c r="I144" s="16" t="b">
        <x:v>1</x:v>
      </x:c>
      <x:c r="J144" s="16" t="b">
        <x:v>1</x:v>
      </x:c>
      <x:c r="K144" s="16" t="b">
        <x:v>1</x:v>
      </x:c>
      <x:c r="L144" s="16" t="b">
        <x:v>1</x:v>
      </x:c>
      <x:c r="M144" s="15" t="n">
        <x:v>1</x:v>
      </x:c>
      <x:c r="N144" s="16" t="b">
        <x:v>1</x:v>
      </x:c>
      <x:c r="O144" s="15" t="n">
        <x:v>12</x:v>
      </x:c>
      <x:c r="P144" s="16" t="b">
        <x:v>1</x:v>
      </x:c>
      <x:c r="Q144" s="16" t="b">
        <x:v>1</x:v>
      </x:c>
      <x:c r="R144" s="16" t="b">
        <x:v>1</x:v>
      </x:c>
      <x:c r="S144" s="15" t="str">
        <x:v>2026-08-15 19:10</x:v>
      </x:c>
      <x:c r="T144" s="15" t="str">
        <x:v>2026-08-15 19:22</x:v>
      </x:c>
    </x:row>
    <x:row r="145">
      <x:c r="A145" s="15" t="str">
        <x:v>V-2052</x:v>
      </x:c>
      <x:c r="B145" s="15" t="str">
        <x:v>APP-2052:submitted</x:v>
      </x:c>
      <x:c r="C145" s="15" t="str">
        <x:v>EV-2052-submitted</x:v>
      </x:c>
      <x:c r="D145" s="15" t="str">
        <x:v>submitted</x:v>
      </x:c>
      <x:c r="E145" s="15" t="str">
        <x:v>2026-08-04</x:v>
      </x:c>
      <x:c r="F145" s="16" t="b">
        <x:v>1</x:v>
      </x:c>
      <x:c r="G145" s="16" t="b">
        <x:v>1</x:v>
      </x:c>
      <x:c r="H145" s="16" t="b">
        <x:v>1</x:v>
      </x:c>
      <x:c r="I145" s="16" t="b">
        <x:v>1</x:v>
      </x:c>
      <x:c r="J145" s="16" t="b">
        <x:v>1</x:v>
      </x:c>
      <x:c r="K145" s="16" t="b">
        <x:v>1</x:v>
      </x:c>
      <x:c r="L145" s="16" t="b">
        <x:v>1</x:v>
      </x:c>
      <x:c r="M145" s="15" t="n">
        <x:v>1</x:v>
      </x:c>
      <x:c r="N145" s="16" t="b">
        <x:v>1</x:v>
      </x:c>
      <x:c r="O145" s="15" t="n">
        <x:v>5</x:v>
      </x:c>
      <x:c r="P145" s="16" t="b">
        <x:v>1</x:v>
      </x:c>
      <x:c r="Q145" s="16" t="b">
        <x:v>1</x:v>
      </x:c>
      <x:c r="R145" s="16" t="b">
        <x:v>1</x:v>
      </x:c>
      <x:c r="S145" s="15" t="str">
        <x:v>2026-08-04 09:12</x:v>
      </x:c>
      <x:c r="T145" s="15" t="str">
        <x:v>2026-08-04 09:17</x:v>
      </x:c>
    </x:row>
    <x:row r="146">
      <x:c r="A146" s="15" t="str">
        <x:v>V-2054</x:v>
      </x:c>
      <x:c r="B146" s="15" t="str">
        <x:v>APP-2054:submitted</x:v>
      </x:c>
      <x:c r="C146" s="15" t="str">
        <x:v>EV-2054-submitted</x:v>
      </x:c>
      <x:c r="D146" s="15" t="str">
        <x:v>submitted</x:v>
      </x:c>
      <x:c r="E146" s="15" t="str">
        <x:v>2026-07-26</x:v>
      </x:c>
      <x:c r="F146" s="16" t="b">
        <x:v>0</x:v>
      </x:c>
      <x:c r="G146" s="16" t="b">
        <x:v>0</x:v>
      </x:c>
      <x:c r="H146" s="16" t="b">
        <x:v>0</x:v>
      </x:c>
      <x:c r="I146" s="16" t="b">
        <x:v>0</x:v>
      </x:c>
      <x:c r="J146" s="16" t="b">
        <x:v>0</x:v>
      </x:c>
      <x:c r="K146" s="16" t="b">
        <x:v>0</x:v>
      </x:c>
      <x:c r="L146" s="16" t="b">
        <x:v>0</x:v>
      </x:c>
      <x:c r="M146" s="15" t="n">
        <x:v>0</x:v>
      </x:c>
      <x:c r="N146" s="16" t="b">
        <x:v>0</x:v>
      </x:c>
      <x:c r="O146" s="15"/>
      <x:c r="P146" s="16" t="b">
        <x:v>1</x:v>
      </x:c>
      <x:c r="Q146" s="16" t="b">
        <x:v>1</x:v>
      </x:c>
      <x:c r="R146" s="16" t="b">
        <x:v>1</x:v>
      </x:c>
      <x:c r="S146" s="15"/>
      <x:c r="T146" s="15"/>
    </x:row>
    <x:row r="147">
      <x:c r="A147" s="15" t="str">
        <x:v>V-2054</x:v>
      </x:c>
      <x:c r="B147" s="15" t="str">
        <x:v>APP-2054:qualified</x:v>
      </x:c>
      <x:c r="C147" s="15" t="str">
        <x:v>EV-2054-qualified</x:v>
      </x:c>
      <x:c r="D147" s="15" t="str">
        <x:v>qualified</x:v>
      </x:c>
      <x:c r="E147" s="15" t="str">
        <x:v>2026-07-27</x:v>
      </x:c>
      <x:c r="F147" s="16" t="b">
        <x:v>0</x:v>
      </x:c>
      <x:c r="G147" s="16" t="b">
        <x:v>0</x:v>
      </x:c>
      <x:c r="H147" s="16" t="b">
        <x:v>0</x:v>
      </x:c>
      <x:c r="I147" s="16" t="b">
        <x:v>0</x:v>
      </x:c>
      <x:c r="J147" s="16" t="b">
        <x:v>0</x:v>
      </x:c>
      <x:c r="K147" s="16" t="b">
        <x:v>0</x:v>
      </x:c>
      <x:c r="L147" s="16" t="b">
        <x:v>0</x:v>
      </x:c>
      <x:c r="M147" s="15" t="n">
        <x:v>0</x:v>
      </x:c>
      <x:c r="N147" s="16" t="b">
        <x:v>0</x:v>
      </x:c>
      <x:c r="O147" s="15"/>
      <x:c r="P147" s="16" t="b">
        <x:v>1</x:v>
      </x:c>
      <x:c r="Q147" s="16" t="b">
        <x:v>1</x:v>
      </x:c>
      <x:c r="R147" s="16" t="b">
        <x:v>1</x:v>
      </x:c>
      <x:c r="S147" s="15"/>
      <x:c r="T147" s="15"/>
    </x:row>
    <x:row r="148">
      <x:c r="A148" s="15" t="str">
        <x:v>V-2056</x:v>
      </x:c>
      <x:c r="B148" s="15" t="str">
        <x:v>APP-2056:submitted</x:v>
      </x:c>
      <x:c r="C148" s="15" t="str">
        <x:v>EV-2056-submitted</x:v>
      </x:c>
      <x:c r="D148" s="15" t="str">
        <x:v>submitted</x:v>
      </x:c>
      <x:c r="E148" s="15" t="str">
        <x:v>2026-07-13</x:v>
      </x:c>
      <x:c r="F148" s="16" t="b">
        <x:v>0</x:v>
      </x:c>
      <x:c r="G148" s="16" t="b">
        <x:v>0</x:v>
      </x:c>
      <x:c r="H148" s="16" t="b">
        <x:v>0</x:v>
      </x:c>
      <x:c r="I148" s="16" t="b">
        <x:v>0</x:v>
      </x:c>
      <x:c r="J148" s="16" t="b">
        <x:v>0</x:v>
      </x:c>
      <x:c r="K148" s="16" t="b">
        <x:v>0</x:v>
      </x:c>
      <x:c r="L148" s="16" t="b">
        <x:v>0</x:v>
      </x:c>
      <x:c r="M148" s="15" t="n">
        <x:v>0</x:v>
      </x:c>
      <x:c r="N148" s="16" t="b">
        <x:v>0</x:v>
      </x:c>
      <x:c r="O148" s="15"/>
      <x:c r="P148" s="16" t="b">
        <x:v>1</x:v>
      </x:c>
      <x:c r="Q148" s="16" t="b">
        <x:v>1</x:v>
      </x:c>
      <x:c r="R148" s="16" t="b">
        <x:v>1</x:v>
      </x:c>
      <x:c r="S148" s="15"/>
      <x:c r="T148" s="15"/>
    </x:row>
    <x:row r="149">
      <x:c r="A149" s="15" t="str">
        <x:v>V-2057</x:v>
      </x:c>
      <x:c r="B149" s="15" t="str">
        <x:v>APP-2057:submitted</x:v>
      </x:c>
      <x:c r="C149" s="15" t="str">
        <x:v>EV-2057-submitted</x:v>
      </x:c>
      <x:c r="D149" s="15" t="str">
        <x:v>submitted</x:v>
      </x:c>
      <x:c r="E149" s="15" t="str">
        <x:v>2026-06-26</x:v>
      </x:c>
      <x:c r="F149" s="16" t="b">
        <x:v>0</x:v>
      </x:c>
      <x:c r="G149" s="16" t="b">
        <x:v>0</x:v>
      </x:c>
      <x:c r="H149" s="16" t="b">
        <x:v>0</x:v>
      </x:c>
      <x:c r="I149" s="16" t="b">
        <x:v>0</x:v>
      </x:c>
      <x:c r="J149" s="16" t="b">
        <x:v>0</x:v>
      </x:c>
      <x:c r="K149" s="16" t="b">
        <x:v>0</x:v>
      </x:c>
      <x:c r="L149" s="16" t="b">
        <x:v>0</x:v>
      </x:c>
      <x:c r="M149" s="15" t="n">
        <x:v>0</x:v>
      </x:c>
      <x:c r="N149" s="16" t="b">
        <x:v>0</x:v>
      </x:c>
      <x:c r="O149" s="15"/>
      <x:c r="P149" s="16" t="b">
        <x:v>1</x:v>
      </x:c>
      <x:c r="Q149" s="16" t="b">
        <x:v>1</x:v>
      </x:c>
      <x:c r="R149" s="16" t="b">
        <x:v>1</x:v>
      </x:c>
      <x:c r="S149" s="15"/>
      <x:c r="T149" s="15"/>
    </x:row>
    <x:row r="150">
      <x:c r="A150" s="15" t="str">
        <x:v>V-2057</x:v>
      </x:c>
      <x:c r="B150" s="15" t="str">
        <x:v>APP-2057:qualified</x:v>
      </x:c>
      <x:c r="C150" s="15" t="str">
        <x:v>EV-2057-qualified</x:v>
      </x:c>
      <x:c r="D150" s="15" t="str">
        <x:v>qualified</x:v>
      </x:c>
      <x:c r="E150" s="15" t="str">
        <x:v>2026-06-27</x:v>
      </x:c>
      <x:c r="F150" s="16" t="b">
        <x:v>0</x:v>
      </x:c>
      <x:c r="G150" s="16" t="b">
        <x:v>0</x:v>
      </x:c>
      <x:c r="H150" s="16" t="b">
        <x:v>0</x:v>
      </x:c>
      <x:c r="I150" s="16" t="b">
        <x:v>0</x:v>
      </x:c>
      <x:c r="J150" s="16" t="b">
        <x:v>0</x:v>
      </x:c>
      <x:c r="K150" s="16" t="b">
        <x:v>0</x:v>
      </x:c>
      <x:c r="L150" s="16" t="b">
        <x:v>0</x:v>
      </x:c>
      <x:c r="M150" s="15" t="n">
        <x:v>0</x:v>
      </x:c>
      <x:c r="N150" s="16" t="b">
        <x:v>0</x:v>
      </x:c>
      <x:c r="O150" s="15"/>
      <x:c r="P150" s="16" t="b">
        <x:v>1</x:v>
      </x:c>
      <x:c r="Q150" s="16" t="b">
        <x:v>1</x:v>
      </x:c>
      <x:c r="R150" s="16" t="b">
        <x:v>1</x:v>
      </x:c>
      <x:c r="S150" s="15"/>
      <x:c r="T150" s="15"/>
    </x:row>
    <x:row r="151">
      <x:c r="A151" s="15" t="str">
        <x:v>V-2057</x:v>
      </x:c>
      <x:c r="B151" s="15" t="str">
        <x:v>APP-2057:approved</x:v>
      </x:c>
      <x:c r="C151" s="15" t="str">
        <x:v>EV-2057-approved</x:v>
      </x:c>
      <x:c r="D151" s="15" t="str">
        <x:v>approved</x:v>
      </x:c>
      <x:c r="E151" s="15" t="str">
        <x:v>2026-06-28</x:v>
      </x:c>
      <x:c r="F151" s="16" t="b">
        <x:v>0</x:v>
      </x:c>
      <x:c r="G151" s="16" t="b">
        <x:v>0</x:v>
      </x:c>
      <x:c r="H151" s="16" t="b">
        <x:v>0</x:v>
      </x:c>
      <x:c r="I151" s="16" t="b">
        <x:v>0</x:v>
      </x:c>
      <x:c r="J151" s="16" t="b">
        <x:v>0</x:v>
      </x:c>
      <x:c r="K151" s="16" t="b">
        <x:v>0</x:v>
      </x:c>
      <x:c r="L151" s="16" t="b">
        <x:v>0</x:v>
      </x:c>
      <x:c r="M151" s="15" t="n">
        <x:v>0</x:v>
      </x:c>
      <x:c r="N151" s="16" t="b">
        <x:v>0</x:v>
      </x:c>
      <x:c r="O151" s="15"/>
      <x:c r="P151" s="16" t="b">
        <x:v>1</x:v>
      </x:c>
      <x:c r="Q151" s="16" t="b">
        <x:v>1</x:v>
      </x:c>
      <x:c r="R151" s="16" t="b">
        <x:v>1</x:v>
      </x:c>
      <x:c r="S151" s="15"/>
      <x:c r="T151" s="15"/>
    </x:row>
    <x:row r="152">
      <x:c r="A152" s="15" t="str">
        <x:v>V-2059</x:v>
      </x:c>
      <x:c r="B152" s="15" t="str">
        <x:v>APP-2059:submitted</x:v>
      </x:c>
      <x:c r="C152" s="15" t="str">
        <x:v>EV-2059-submitted</x:v>
      </x:c>
      <x:c r="D152" s="15" t="str">
        <x:v>submitted</x:v>
      </x:c>
      <x:c r="E152" s="15" t="str">
        <x:v>2026-07-22</x:v>
      </x:c>
      <x:c r="F152" s="16" t="b">
        <x:v>0</x:v>
      </x:c>
      <x:c r="G152" s="16" t="b">
        <x:v>0</x:v>
      </x:c>
      <x:c r="H152" s="16" t="b">
        <x:v>0</x:v>
      </x:c>
      <x:c r="I152" s="16" t="b">
        <x:v>0</x:v>
      </x:c>
      <x:c r="J152" s="16" t="b">
        <x:v>0</x:v>
      </x:c>
      <x:c r="K152" s="16" t="b">
        <x:v>0</x:v>
      </x:c>
      <x:c r="L152" s="16" t="b">
        <x:v>0</x:v>
      </x:c>
      <x:c r="M152" s="15" t="n">
        <x:v>0</x:v>
      </x:c>
      <x:c r="N152" s="16" t="b">
        <x:v>0</x:v>
      </x:c>
      <x:c r="O152" s="15"/>
      <x:c r="P152" s="16" t="b">
        <x:v>1</x:v>
      </x:c>
      <x:c r="Q152" s="16" t="b">
        <x:v>1</x:v>
      </x:c>
      <x:c r="R152" s="16" t="b">
        <x:v>1</x:v>
      </x:c>
      <x:c r="S152" s="15"/>
      <x:c r="T152" s="15"/>
    </x:row>
    <x:row r="153">
      <x:c r="A153" s="15" t="str">
        <x:v>V-2060</x:v>
      </x:c>
      <x:c r="B153" s="15" t="str">
        <x:v>APP-2060:submitted</x:v>
      </x:c>
      <x:c r="C153" s="15" t="str">
        <x:v>EV-2060-submitted</x:v>
      </x:c>
      <x:c r="D153" s="15" t="str">
        <x:v>submitted</x:v>
      </x:c>
      <x:c r="E153" s="15" t="str">
        <x:v>2026-08-10</x:v>
      </x:c>
      <x:c r="F153" s="16" t="b">
        <x:v>0</x:v>
      </x:c>
      <x:c r="G153" s="16" t="b">
        <x:v>0</x:v>
      </x:c>
      <x:c r="H153" s="16" t="b">
        <x:v>0</x:v>
      </x:c>
      <x:c r="I153" s="16" t="b">
        <x:v>0</x:v>
      </x:c>
      <x:c r="J153" s="16" t="b">
        <x:v>0</x:v>
      </x:c>
      <x:c r="K153" s="16" t="b">
        <x:v>0</x:v>
      </x:c>
      <x:c r="L153" s="16" t="b">
        <x:v>0</x:v>
      </x:c>
      <x:c r="M153" s="15" t="n">
        <x:v>0</x:v>
      </x:c>
      <x:c r="N153" s="16" t="b">
        <x:v>0</x:v>
      </x:c>
      <x:c r="O153" s="15"/>
      <x:c r="P153" s="16" t="b">
        <x:v>1</x:v>
      </x:c>
      <x:c r="Q153" s="16" t="b">
        <x:v>1</x:v>
      </x:c>
      <x:c r="R153" s="16" t="b">
        <x:v>1</x:v>
      </x:c>
      <x:c r="S153" s="15"/>
      <x:c r="T153" s="15"/>
    </x:row>
    <x:row r="154">
      <x:c r="A154" s="15" t="str">
        <x:v>V-2060</x:v>
      </x:c>
      <x:c r="B154" s="15" t="str">
        <x:v>APP-2060:qualified</x:v>
      </x:c>
      <x:c r="C154" s="15" t="str">
        <x:v>EV-2060-qualified</x:v>
      </x:c>
      <x:c r="D154" s="15" t="str">
        <x:v>qualified</x:v>
      </x:c>
      <x:c r="E154" s="15" t="str">
        <x:v>2026-08-11</x:v>
      </x:c>
      <x:c r="F154" s="16" t="b">
        <x:v>0</x:v>
      </x:c>
      <x:c r="G154" s="16" t="b">
        <x:v>0</x:v>
      </x:c>
      <x:c r="H154" s="16" t="b">
        <x:v>0</x:v>
      </x:c>
      <x:c r="I154" s="16" t="b">
        <x:v>0</x:v>
      </x:c>
      <x:c r="J154" s="16" t="b">
        <x:v>0</x:v>
      </x:c>
      <x:c r="K154" s="16" t="b">
        <x:v>0</x:v>
      </x:c>
      <x:c r="L154" s="16" t="b">
        <x:v>0</x:v>
      </x:c>
      <x:c r="M154" s="15" t="n">
        <x:v>0</x:v>
      </x:c>
      <x:c r="N154" s="16" t="b">
        <x:v>0</x:v>
      </x:c>
      <x:c r="O154" s="15"/>
      <x:c r="P154" s="16" t="b">
        <x:v>1</x:v>
      </x:c>
      <x:c r="Q154" s="16" t="b">
        <x:v>1</x:v>
      </x:c>
      <x:c r="R154" s="16" t="b">
        <x:v>1</x:v>
      </x:c>
      <x:c r="S154" s="15"/>
      <x:c r="T154" s="15"/>
    </x:row>
  </x:sheetData>
  <x:pageMargins left="0.7" right="0.7" top="0.75" bottom="0.75" header="0.3" footer="0.3"/>
  <x:tableParts count="1">
    <x:tablePart xmlns:r="http://schemas.openxmlformats.org/officeDocument/2006/relationships" r:id="R78d4529b6e60450d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</x:cols>
  <x:sheetData>
    <x:row r="1">
      <x:c r="A1" s="9" t="str">
        <x:v>name</x:v>
      </x:c>
      <x:c r="B1" s="9" t="str">
        <x:v>owner</x:v>
      </x:c>
      <x:c r="C1" s="9" t="str">
        <x:v>freshness</x:v>
      </x:c>
      <x:c r="D1" s="9" t="str">
        <x:v>sla</x:v>
      </x:c>
      <x:c r="E1" s="9" t="str">
        <x:v>success</x:v>
      </x:c>
    </x:row>
    <x:row r="2">
      <x:c r="A2" s="15" t="str">
        <x:v>Web Tracking</x:v>
      </x:c>
      <x:c r="B2" s="15" t="str">
        <x:v>Web</x:v>
      </x:c>
      <x:c r="C2" s="15" t="n">
        <x:v>2</x:v>
      </x:c>
      <x:c r="D2" s="15" t="n">
        <x:v>5</x:v>
      </x:c>
      <x:c r="E2" s="15" t="n">
        <x:v>99.92</x:v>
      </x:c>
    </x:row>
    <x:row r="3">
      <x:c r="A3" s="15" t="str">
        <x:v>CRM / LOS Truth Sync</x:v>
      </x:c>
      <x:c r="B3" s="15" t="str">
        <x:v>Data</x:v>
      </x:c>
      <x:c r="C3" s="15" t="n">
        <x:v>6</x:v>
      </x:c>
      <x:c r="D3" s="15" t="n">
        <x:v>15</x:v>
      </x:c>
      <x:c r="E3" s="15" t="n">
        <x:v>99.86</x:v>
      </x:c>
    </x:row>
    <x:row r="4">
      <x:c r="A4" s="15" t="str">
        <x:v>Identity Bridge</x:v>
      </x:c>
      <x:c r="B4" s="15" t="str">
        <x:v>Data</x:v>
      </x:c>
      <x:c r="C4" s="15" t="n">
        <x:v>18</x:v>
      </x:c>
      <x:c r="D4" s="15" t="n">
        <x:v>20</x:v>
      </x:c>
      <x:c r="E4" s="15" t="n">
        <x:v>98.71</x:v>
      </x:c>
    </x:row>
    <x:row r="5">
      <x:c r="A5" s="15" t="str">
        <x:v>Owned Attribution</x:v>
      </x:c>
      <x:c r="B5" s="15" t="str">
        <x:v>Analytics</x:v>
      </x:c>
      <x:c r="C5" s="15" t="n">
        <x:v>46</x:v>
      </x:c>
      <x:c r="D5" s="15" t="n">
        <x:v>60</x:v>
      </x:c>
      <x:c r="E5" s="15" t="n">
        <x:v>99.4</x:v>
      </x:c>
    </x:row>
    <x:row r="6">
      <x:c r="A6" s="15" t="str">
        <x:v>Google Postback Worker</x:v>
      </x:c>
      <x:c r="B6" s="15" t="str">
        <x:v>Data Platform</x:v>
      </x:c>
      <x:c r="C6" s="15" t="n">
        <x:v>4</x:v>
      </x:c>
      <x:c r="D6" s="15" t="n">
        <x:v>10</x:v>
      </x:c>
      <x:c r="E6" s="15" t="n">
        <x:v>99.48</x:v>
      </x:c>
    </x:row>
    <x:row r="7">
      <x:c r="A7" s="15" t="str">
        <x:v>Google Diagnostics Poller</x:v>
      </x:c>
      <x:c r="B7" s="15" t="str">
        <x:v>MarTech</x:v>
      </x:c>
      <x:c r="C7" s="15" t="n">
        <x:v>38</x:v>
      </x:c>
      <x:c r="D7" s="15" t="n">
        <x:v>45</x:v>
      </x:c>
      <x:c r="E7" s="15" t="n">
        <x:v>97.9</x:v>
      </x:c>
    </x:row>
    <x:row r="8">
      <x:c r="A8" s="15" t="str">
        <x:v>Platform Cost Ingestion</x:v>
      </x:c>
      <x:c r="B8" s="15" t="str">
        <x:v>Data</x:v>
      </x:c>
      <x:c r="C8" s="15" t="n">
        <x:v>190</x:v>
      </x:c>
      <x:c r="D8" s="15" t="n">
        <x:v>180</x:v>
      </x:c>
      <x:c r="E8" s="15" t="n">
        <x:v>99.76</x:v>
      </x:c>
    </x:row>
  </x:sheetData>
  <x:pageMargins left="0.7" right="0.7" top="0.75" bottom="0.75" header="0.3" footer="0.3"/>
  <x:tableParts count="1">
    <x:tablePart xmlns:r="http://schemas.openxmlformats.org/officeDocument/2006/relationships" r:id="Rc9f0e23297e64e11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22" hidden="0" customWidth="1"/>
    <x:col min="3" max="3" width="14" hidden="0" customWidth="1"/>
    <x:col min="4" max="4" width="18" hidden="0" customWidth="1"/>
    <x:col min="5" max="5" width="14" hidden="0" customWidth="1"/>
    <x:col min="6" max="6" width="14" hidden="0" customWidth="1"/>
  </x:cols>
  <x:sheetData>
    <x:row r="1">
      <x:c r="A1" s="9" t="str">
        <x:v>experimentId</x:v>
      </x:c>
      <x:c r="B1" s="9" t="str">
        <x:v>experimentName</x:v>
      </x:c>
      <x:c r="C1" s="9" t="str">
        <x:v>experimentType</x:v>
      </x:c>
      <x:c r="D1" s="9" t="str">
        <x:v>randomizationUnit</x:v>
      </x:c>
      <x:c r="E1" s="9" t="str">
        <x:v>periodStart</x:v>
      </x:c>
      <x:c r="F1" s="9" t="str">
        <x:v>periodEnd</x:v>
      </x:c>
    </x:row>
    <x:row r="2">
      <x:c r="A2" s="15" t="str">
        <x:v>GEO-2026-02</x:v>
      </x:c>
      <x:c r="B2" s="15" t="str">
        <x:v>QLD+VIC 品牌搜索投放增量（Geo Lift）</x:v>
      </x:c>
      <x:c r="C2" s="15" t="str">
        <x:v>geo_lift</x:v>
      </x:c>
      <x:c r="D2" s="15" t="str">
        <x:v>region</x:v>
      </x:c>
      <x:c r="E2" s="15" t="str">
        <x:v>2026-05-01</x:v>
      </x:c>
      <x:c r="F2" s="15" t="str">
        <x:v>2026-06-30</x:v>
      </x:c>
    </x:row>
    <x:row r="3">
      <x:c r="A3" s="15" t="str">
        <x:v>HOLD-2026-03</x:v>
      </x:c>
      <x:c r="B3" s="15" t="str">
        <x:v>新客获客渠道关闭 Holdout</x:v>
      </x:c>
      <x:c r="C3" s="15" t="str">
        <x:v>holdout</x:v>
      </x:c>
      <x:c r="D3" s="15" t="str">
        <x:v>user</x:v>
      </x:c>
      <x:c r="E3" s="15" t="str">
        <x:v>2026-05-01</x:v>
      </x:c>
      <x:c r="F3" s="15" t="str">
        <x:v>2026-06-30</x:v>
      </x:c>
    </x:row>
    <x:row r="4">
      <x:c r="A4" s="15" t="str">
        <x:v>HOLD-2026-04</x:v>
      </x:c>
      <x:c r="B4" s="15" t="str">
        <x:v>CRM 触达频率提升测试</x:v>
      </x:c>
      <x:c r="C4" s="15" t="str">
        <x:v>holdout</x:v>
      </x:c>
      <x:c r="D4" s="15" t="str">
        <x:v>user</x:v>
      </x:c>
      <x:c r="E4" s="15" t="str">
        <x:v>2026-06-15</x:v>
      </x:c>
      <x:c r="F4" s="15" t="str">
        <x:v>2026-08-15</x:v>
      </x:c>
    </x:row>
  </x:sheetData>
  <x:pageMargins left="0.7" right="0.7" top="0.75" bottom="0.75" header="0.3" footer="0.3"/>
  <x:tableParts count="1">
    <x:tablePart xmlns:r="http://schemas.openxmlformats.org/officeDocument/2006/relationships" r:id="R09583539a1884733"/>
  </x:tableParts>
</x:worksheet>
</file>

<file path=xl/worksheets/sheet1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4" hidden="0" customWidth="1"/>
    <x:col min="3" max="3" width="14" hidden="0" customWidth="1"/>
    <x:col min="4" max="4" width="14" hidden="0" customWidth="1"/>
    <x:col min="5" max="5" width="18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</x:cols>
  <x:sheetData>
    <x:row r="1">
      <x:c r="A1" s="9" t="str">
        <x:v>experimentId</x:v>
      </x:c>
      <x:c r="B1" s="9" t="str">
        <x:v>unitValue</x:v>
      </x:c>
      <x:c r="C1" s="9" t="str">
        <x:v>group</x:v>
      </x:c>
      <x:c r="D1" s="9" t="str">
        <x:v>assignedUsers</x:v>
      </x:c>
      <x:c r="E1" s="9" t="str">
        <x:v>prePeriodFirstLoans</x:v>
      </x:c>
      <x:c r="F1" s="9" t="str">
        <x:v>firstLoanUsers</x:v>
      </x:c>
      <x:c r="G1" s="9" t="str">
        <x:v>mediaSpendAud</x:v>
      </x:c>
      <x:c r="H1" s="9" t="str">
        <x:v>contributionAud</x:v>
      </x:c>
      <x:c r="I1" s="9" t="str">
        <x:v>sourceTable</x:v>
      </x:c>
    </x:row>
    <x:row r="2">
      <x:c r="A2" s="15" t="str">
        <x:v>HOLD-2026-03</x:v>
      </x:c>
      <x:c r="B2" s="15" t="str">
        <x:v>ALL</x:v>
      </x:c>
      <x:c r="C2" s="15" t="str">
        <x:v>test</x:v>
      </x:c>
      <x:c r="D2" s="15" t="n">
        <x:v>10000</x:v>
      </x:c>
      <x:c r="E2" s="15"/>
      <x:c r="F2" s="15" t="n">
        <x:v>1000</x:v>
      </x:c>
      <x:c r="G2" s="18" t="n">
        <x:v>20000</x:v>
      </x:c>
      <x:c r="H2" s="18" t="n">
        <x:v>450000</x:v>
      </x:c>
      <x:c r="I2" s="15" t="str">
        <x:v>11_增量实验Holdout_Experiment_样例</x:v>
      </x:c>
    </x:row>
    <x:row r="3">
      <x:c r="A3" s="15" t="str">
        <x:v>HOLD-2026-03</x:v>
      </x:c>
      <x:c r="B3" s="15" t="str">
        <x:v>ALL</x:v>
      </x:c>
      <x:c r="C3" s="15" t="str">
        <x:v>control</x:v>
      </x:c>
      <x:c r="D3" s="15" t="n">
        <x:v>10000</x:v>
      </x:c>
      <x:c r="E3" s="15"/>
      <x:c r="F3" s="15" t="n">
        <x:v>780</x:v>
      </x:c>
      <x:c r="G3" s="18" t="n">
        <x:v>0</x:v>
      </x:c>
      <x:c r="H3" s="18" t="n">
        <x:v>351000</x:v>
      </x:c>
      <x:c r="I3" s="15" t="str">
        <x:v>11_增量实验Holdout_Experiment_样例</x:v>
      </x:c>
    </x:row>
    <x:row r="4">
      <x:c r="A4" s="15" t="str">
        <x:v>HOLD-2026-04</x:v>
      </x:c>
      <x:c r="B4" s="15" t="str">
        <x:v>ALL</x:v>
      </x:c>
      <x:c r="C4" s="15" t="str">
        <x:v>test</x:v>
      </x:c>
      <x:c r="D4" s="15" t="n">
        <x:v>6000</x:v>
      </x:c>
      <x:c r="E4" s="15"/>
      <x:c r="F4" s="15" t="n">
        <x:v>480</x:v>
      </x:c>
      <x:c r="G4" s="18" t="n">
        <x:v>9000</x:v>
      </x:c>
      <x:c r="H4" s="18" t="n">
        <x:v>216000</x:v>
      </x:c>
      <x:c r="I4" s="15" t="str">
        <x:v>11_增量实验Holdout_Experiment_样例</x:v>
      </x:c>
    </x:row>
    <x:row r="5">
      <x:c r="A5" s="15" t="str">
        <x:v>HOLD-2026-04</x:v>
      </x:c>
      <x:c r="B5" s="15" t="str">
        <x:v>ALL</x:v>
      </x:c>
      <x:c r="C5" s="15" t="str">
        <x:v>control</x:v>
      </x:c>
      <x:c r="D5" s="15" t="n">
        <x:v>6000</x:v>
      </x:c>
      <x:c r="E5" s="15"/>
      <x:c r="F5" s="15" t="n">
        <x:v>430</x:v>
      </x:c>
      <x:c r="G5" s="18" t="n">
        <x:v>6000</x:v>
      </x:c>
      <x:c r="H5" s="18" t="n">
        <x:v>190000</x:v>
      </x:c>
      <x:c r="I5" s="15" t="str">
        <x:v>11_增量实验Holdout_Experiment_样例</x:v>
      </x:c>
    </x:row>
    <x:row r="6">
      <x:c r="A6" s="15" t="str">
        <x:v>GEO-2026-02</x:v>
      </x:c>
      <x:c r="B6" s="15" t="str">
        <x:v>QLD</x:v>
      </x:c>
      <x:c r="C6" s="15" t="str">
        <x:v>test</x:v>
      </x:c>
      <x:c r="D6" s="15"/>
      <x:c r="E6" s="15" t="n">
        <x:v>380</x:v>
      </x:c>
      <x:c r="F6" s="15" t="n">
        <x:v>425</x:v>
      </x:c>
      <x:c r="G6" s="18" t="n">
        <x:v>58000</x:v>
      </x:c>
      <x:c r="H6" s="18" t="n">
        <x:v>191000</x:v>
      </x:c>
      <x:c r="I6" s="15" t="str">
        <x:v>16_地域实验GeoLift_GeoExperiment_样例</x:v>
      </x:c>
    </x:row>
    <x:row r="7">
      <x:c r="A7" s="15" t="str">
        <x:v>GEO-2026-02</x:v>
      </x:c>
      <x:c r="B7" s="15" t="str">
        <x:v>VIC</x:v>
      </x:c>
      <x:c r="C7" s="15" t="str">
        <x:v>test</x:v>
      </x:c>
      <x:c r="D7" s="15"/>
      <x:c r="E7" s="15" t="n">
        <x:v>420</x:v>
      </x:c>
      <x:c r="F7" s="15" t="n">
        <x:v>460</x:v>
      </x:c>
      <x:c r="G7" s="18" t="n">
        <x:v>47000</x:v>
      </x:c>
      <x:c r="H7" s="18" t="n">
        <x:v>207000</x:v>
      </x:c>
      <x:c r="I7" s="15" t="str">
        <x:v>16_地域实验GeoLift_GeoExperiment_样例</x:v>
      </x:c>
    </x:row>
    <x:row r="8">
      <x:c r="A8" s="15" t="str">
        <x:v>GEO-2026-02</x:v>
      </x:c>
      <x:c r="B8" s="15" t="str">
        <x:v>NSW</x:v>
      </x:c>
      <x:c r="C8" s="15" t="str">
        <x:v>control</x:v>
      </x:c>
      <x:c r="D8" s="15"/>
      <x:c r="E8" s="15" t="n">
        <x:v>950</x:v>
      </x:c>
      <x:c r="F8" s="15" t="n">
        <x:v>985</x:v>
      </x:c>
      <x:c r="G8" s="18" t="n">
        <x:v>12000</x:v>
      </x:c>
      <x:c r="H8" s="18" t="n">
        <x:v>443000</x:v>
      </x:c>
      <x:c r="I8" s="15" t="str">
        <x:v>16_地域实验GeoLift_GeoExperiment_样例</x:v>
      </x:c>
    </x:row>
    <x:row r="9">
      <x:c r="A9" s="15" t="str">
        <x:v>GEO-2026-02</x:v>
      </x:c>
      <x:c r="B9" s="15" t="str">
        <x:v>WA</x:v>
      </x:c>
      <x:c r="C9" s="15" t="str">
        <x:v>control</x:v>
      </x:c>
      <x:c r="D9" s="15"/>
      <x:c r="E9" s="15" t="n">
        <x:v>260</x:v>
      </x:c>
      <x:c r="F9" s="15" t="n">
        <x:v>255</x:v>
      </x:c>
      <x:c r="G9" s="18" t="n">
        <x:v>8000</x:v>
      </x:c>
      <x:c r="H9" s="18" t="n">
        <x:v>115000</x:v>
      </x:c>
      <x:c r="I9" s="15" t="str">
        <x:v>16_地域实验GeoLift_GeoExperiment_样例</x:v>
      </x:c>
    </x:row>
    <x:row r="10">
      <x:c r="A10" s="15" t="str">
        <x:v>GEO-2026-02</x:v>
      </x:c>
      <x:c r="B10" s="15" t="str">
        <x:v>SA</x:v>
      </x:c>
      <x:c r="C10" s="15" t="str">
        <x:v>control</x:v>
      </x:c>
      <x:c r="D10" s="15"/>
      <x:c r="E10" s="15" t="n">
        <x:v>180</x:v>
      </x:c>
      <x:c r="F10" s="15" t="n">
        <x:v>170</x:v>
      </x:c>
      <x:c r="G10" s="18" t="n">
        <x:v>6000</x:v>
      </x:c>
      <x:c r="H10" s="18" t="n">
        <x:v>76500</x:v>
      </x:c>
      <x:c r="I10" s="15" t="str">
        <x:v>16_地域实验GeoLift_GeoExperiment_样例</x:v>
      </x:c>
    </x:row>
    <x:row r="11">
      <x:c r="A11" s="15" t="str">
        <x:v>GEO-2026-02</x:v>
      </x:c>
      <x:c r="B11" s="15" t="str">
        <x:v>TAS</x:v>
      </x:c>
      <x:c r="C11" s="15" t="str">
        <x:v>control</x:v>
      </x:c>
      <x:c r="D11" s="15"/>
      <x:c r="E11" s="15" t="n">
        <x:v>90</x:v>
      </x:c>
      <x:c r="F11" s="15" t="n">
        <x:v>88</x:v>
      </x:c>
      <x:c r="G11" s="18" t="n">
        <x:v>3000</x:v>
      </x:c>
      <x:c r="H11" s="18" t="n">
        <x:v>39600</x:v>
      </x:c>
      <x:c r="I11" s="15" t="str">
        <x:v>16_地域实验GeoLift_GeoExperiment_样例</x:v>
      </x:c>
    </x:row>
  </x:sheetData>
  <x:pageMargins left="0.7" right="0.7" top="0.75" bottom="0.75" header="0.3" footer="0.3"/>
  <x:tableParts count="1">
    <x:tablePart xmlns:r="http://schemas.openxmlformats.org/officeDocument/2006/relationships" r:id="Ra5657103a733480c"/>
  </x:tableParts>
</x:worksheet>
</file>

<file path=xl/worksheets/sheet1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22" hidden="0" customWidth="1"/>
    <x:col min="3" max="3" width="22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</x:cols>
  <x:sheetData>
    <x:row r="1">
      <x:c r="A1" s="9" t="str">
        <x:v>month</x:v>
      </x:c>
      <x:c r="B1" s="9" t="str">
        <x:v>channel</x:v>
      </x:c>
      <x:c r="C1" s="9" t="str">
        <x:v>campaign</x:v>
      </x:c>
      <x:c r="D1" s="9" t="str">
        <x:v>currency</x:v>
      </x:c>
      <x:c r="E1" s="9" t="str">
        <x:v>mediaCost</x:v>
      </x:c>
      <x:c r="F1" s="9" t="str">
        <x:v>impressions</x:v>
      </x:c>
      <x:c r="G1" s="9" t="str">
        <x:v>clicks</x:v>
      </x:c>
    </x:row>
    <x:row r="2">
      <x:c r="A2" s="15" t="str">
        <x:v>2026-06</x:v>
      </x:c>
      <x:c r="B2" s="15" t="str">
        <x:v>Google Search</x:v>
      </x:c>
      <x:c r="C2" s="15" t="str">
        <x:v>AU_Search_Brand</x:v>
      </x:c>
      <x:c r="D2" s="15" t="str">
        <x:v>AUD</x:v>
      </x:c>
      <x:c r="E2" s="18" t="n">
        <x:v>18000</x:v>
      </x:c>
      <x:c r="F2" s="15" t="n">
        <x:v>692308</x:v>
      </x:c>
      <x:c r="G2" s="15" t="n">
        <x:v>19385</x:v>
      </x:c>
    </x:row>
    <x:row r="3">
      <x:c r="A3" s="15" t="str">
        <x:v>2026-06</x:v>
      </x:c>
      <x:c r="B3" s="15" t="str">
        <x:v>Google Search</x:v>
      </x:c>
      <x:c r="C3" s="15" t="str">
        <x:v>AU_Search_NonBrand_HighIntent</x:v>
      </x:c>
      <x:c r="D3" s="15" t="str">
        <x:v>AUD</x:v>
      </x:c>
      <x:c r="E3" s="18" t="n">
        <x:v>62000</x:v>
      </x:c>
      <x:c r="F3" s="15" t="n">
        <x:v>2583333</x:v>
      </x:c>
      <x:c r="G3" s="15" t="n">
        <x:v>41333</x:v>
      </x:c>
    </x:row>
    <x:row r="4">
      <x:c r="A4" s="15" t="str">
        <x:v>2026-06</x:v>
      </x:c>
      <x:c r="B4" s="15" t="str">
        <x:v>Google Search</x:v>
      </x:c>
      <x:c r="C4" s="15" t="str">
        <x:v>AU_Search_Rates</x:v>
      </x:c>
      <x:c r="D4" s="15" t="str">
        <x:v>AUD</x:v>
      </x:c>
      <x:c r="E4" s="18" t="n">
        <x:v>14000</x:v>
      </x:c>
      <x:c r="F4" s="15" t="n">
        <x:v>636364</x:v>
      </x:c>
      <x:c r="G4" s="15" t="n">
        <x:v>7636</x:v>
      </x:c>
    </x:row>
    <x:row r="5">
      <x:c r="A5" s="15" t="str">
        <x:v>2026-06</x:v>
      </x:c>
      <x:c r="B5" s="15" t="str">
        <x:v>Google PMax</x:v>
      </x:c>
      <x:c r="C5" s="15" t="str">
        <x:v>AU_PMax_QualifiedLead</x:v>
      </x:c>
      <x:c r="D5" s="15" t="str">
        <x:v>AUD</x:v>
      </x:c>
      <x:c r="E5" s="18" t="n">
        <x:v>48000</x:v>
      </x:c>
      <x:c r="F5" s="15" t="n">
        <x:v>3000000</x:v>
      </x:c>
      <x:c r="G5" s="15" t="n">
        <x:v>33000</x:v>
      </x:c>
    </x:row>
    <x:row r="6">
      <x:c r="A6" s="15" t="str">
        <x:v>2026-06</x:v>
      </x:c>
      <x:c r="B6" s="15" t="str">
        <x:v>Meta</x:v>
      </x:c>
      <x:c r="C6" s="15" t="str">
        <x:v>AU_Meta_Prospecting</x:v>
      </x:c>
      <x:c r="D6" s="15" t="str">
        <x:v>AUD</x:v>
      </x:c>
      <x:c r="E6" s="18" t="n">
        <x:v>27000</x:v>
      </x:c>
      <x:c r="F6" s="15" t="n">
        <x:v>1500000</x:v>
      </x:c>
      <x:c r="G6" s="15" t="n">
        <x:v>21000</x:v>
      </x:c>
    </x:row>
    <x:row r="7">
      <x:c r="A7" s="15" t="str">
        <x:v>2026-06</x:v>
      </x:c>
      <x:c r="B7" s="15" t="str">
        <x:v>Meta</x:v>
      </x:c>
      <x:c r="C7" s="15" t="str">
        <x:v>AU_Meta_Retargeting</x:v>
      </x:c>
      <x:c r="D7" s="15" t="str">
        <x:v>AUD</x:v>
      </x:c>
      <x:c r="E7" s="18" t="n">
        <x:v>12000</x:v>
      </x:c>
      <x:c r="F7" s="15" t="n">
        <x:v>705882</x:v>
      </x:c>
      <x:c r="G7" s="15" t="n">
        <x:v>10588</x:v>
      </x:c>
    </x:row>
    <x:row r="8">
      <x:c r="A8" s="15" t="str">
        <x:v>2026-06</x:v>
      </x:c>
      <x:c r="B8" s="15" t="str">
        <x:v>TikTok</x:v>
      </x:c>
      <x:c r="C8" s="15" t="str">
        <x:v>AU_TikTok_Video</x:v>
      </x:c>
      <x:c r="D8" s="15" t="str">
        <x:v>AUD</x:v>
      </x:c>
      <x:c r="E8" s="18" t="n">
        <x:v>8000</x:v>
      </x:c>
      <x:c r="F8" s="15" t="n">
        <x:v>800000</x:v>
      </x:c>
      <x:c r="G8" s="15" t="n">
        <x:v>7200</x:v>
      </x:c>
    </x:row>
    <x:row r="9">
      <x:c r="A9" s="15" t="str">
        <x:v>2026-06</x:v>
      </x:c>
      <x:c r="B9" s="15" t="str">
        <x:v>Bing</x:v>
      </x:c>
      <x:c r="C9" s="15" t="str">
        <x:v>AU_Bing_Search</x:v>
      </x:c>
      <x:c r="D9" s="15" t="str">
        <x:v>AUD</x:v>
      </x:c>
      <x:c r="E9" s="18" t="n">
        <x:v>6500</x:v>
      </x:c>
      <x:c r="F9" s="15" t="n">
        <x:v>541667</x:v>
      </x:c>
      <x:c r="G9" s="15" t="n">
        <x:v>9750</x:v>
      </x:c>
    </x:row>
    <x:row r="10">
      <x:c r="A10" s="15" t="str">
        <x:v>2026-06</x:v>
      </x:c>
      <x:c r="B10" s="15" t="str">
        <x:v>Lead Partner</x:v>
      </x:c>
      <x:c r="C10" s="15" t="str">
        <x:v>AU_LeadPartner_Compare</x:v>
      </x:c>
      <x:c r="D10" s="15" t="str">
        <x:v>AUD</x:v>
      </x:c>
      <x:c r="E10" s="18" t="n">
        <x:v>22000</x:v>
      </x:c>
      <x:c r="F10" s="15" t="n">
        <x:v>733333</x:v>
      </x:c>
      <x:c r="G10" s="15" t="n">
        <x:v>16133</x:v>
      </x:c>
    </x:row>
    <x:row r="11">
      <x:c r="A11" s="15" t="str">
        <x:v>2026-06</x:v>
      </x:c>
      <x:c r="B11" s="15" t="str">
        <x:v>Affiliate</x:v>
      </x:c>
      <x:c r="C11" s="15" t="str">
        <x:v>AU_Affiliate_AF17</x:v>
      </x:c>
      <x:c r="D11" s="15" t="str">
        <x:v>AUD</x:v>
      </x:c>
      <x:c r="E11" s="18" t="n">
        <x:v>4500</x:v>
      </x:c>
      <x:c r="F11" s="15" t="n">
        <x:v>321429</x:v>
      </x:c>
      <x:c r="G11" s="15" t="n">
        <x:v>4821</x:v>
      </x:c>
    </x:row>
    <x:row r="12">
      <x:c r="A12" s="15" t="str">
        <x:v>2026-06</x:v>
      </x:c>
      <x:c r="B12" s="15" t="str">
        <x:v>GEO</x:v>
      </x:c>
      <x:c r="C12" s="15" t="str">
        <x:v>AU_GEO_AppStore</x:v>
      </x:c>
      <x:c r="D12" s="15" t="str">
        <x:v>AUD</x:v>
      </x:c>
      <x:c r="E12" s="18" t="n">
        <x:v>9000</x:v>
      </x:c>
      <x:c r="F12" s="15" t="n">
        <x:v>600000</x:v>
      </x:c>
      <x:c r="G12" s="15" t="n">
        <x:v>7200</x:v>
      </x:c>
    </x:row>
    <x:row r="13">
      <x:c r="A13" s="15" t="str">
        <x:v>2026-06</x:v>
      </x:c>
      <x:c r="B13" s="15" t="str">
        <x:v>Owned Channels</x:v>
      </x:c>
      <x:c r="C13" s="15" t="str">
        <x:v>AU_Owned_Push</x:v>
      </x:c>
      <x:c r="D13" s="15" t="str">
        <x:v>AUD</x:v>
      </x:c>
      <x:c r="E13" s="18" t="n">
        <x:v>3000</x:v>
      </x:c>
      <x:c r="F13" s="15" t="n">
        <x:v>600000</x:v>
      </x:c>
      <x:c r="G13" s="15" t="n">
        <x:v>21000</x:v>
      </x:c>
    </x:row>
    <x:row r="14">
      <x:c r="A14" s="15" t="str">
        <x:v>2026-07</x:v>
      </x:c>
      <x:c r="B14" s="15" t="str">
        <x:v>Google Search</x:v>
      </x:c>
      <x:c r="C14" s="15" t="str">
        <x:v>AU_Search_Brand</x:v>
      </x:c>
      <x:c r="D14" s="15" t="str">
        <x:v>AUD</x:v>
      </x:c>
      <x:c r="E14" s="18" t="n">
        <x:v>21000</x:v>
      </x:c>
      <x:c r="F14" s="15" t="n">
        <x:v>807692</x:v>
      </x:c>
      <x:c r="G14" s="15" t="n">
        <x:v>22615</x:v>
      </x:c>
    </x:row>
    <x:row r="15">
      <x:c r="A15" s="15" t="str">
        <x:v>2026-07</x:v>
      </x:c>
      <x:c r="B15" s="15" t="str">
        <x:v>Google Search</x:v>
      </x:c>
      <x:c r="C15" s="15" t="str">
        <x:v>AU_Search_NonBrand_HighIntent</x:v>
      </x:c>
      <x:c r="D15" s="15" t="str">
        <x:v>AUD</x:v>
      </x:c>
      <x:c r="E15" s="18" t="n">
        <x:v>71000</x:v>
      </x:c>
      <x:c r="F15" s="15" t="n">
        <x:v>2958333</x:v>
      </x:c>
      <x:c r="G15" s="15" t="n">
        <x:v>47333</x:v>
      </x:c>
    </x:row>
    <x:row r="16">
      <x:c r="A16" s="15" t="str">
        <x:v>2026-07</x:v>
      </x:c>
      <x:c r="B16" s="15" t="str">
        <x:v>Google Search</x:v>
      </x:c>
      <x:c r="C16" s="15" t="str">
        <x:v>AU_Search_Rates</x:v>
      </x:c>
      <x:c r="D16" s="15" t="str">
        <x:v>AUD</x:v>
      </x:c>
      <x:c r="E16" s="18" t="n">
        <x:v>15000</x:v>
      </x:c>
      <x:c r="F16" s="15" t="n">
        <x:v>681818</x:v>
      </x:c>
      <x:c r="G16" s="15" t="n">
        <x:v>8182</x:v>
      </x:c>
    </x:row>
    <x:row r="17">
      <x:c r="A17" s="15" t="str">
        <x:v>2026-07</x:v>
      </x:c>
      <x:c r="B17" s="15" t="str">
        <x:v>Google PMax</x:v>
      </x:c>
      <x:c r="C17" s="15" t="str">
        <x:v>AU_PMax_QualifiedLead</x:v>
      </x:c>
      <x:c r="D17" s="15" t="str">
        <x:v>AUD</x:v>
      </x:c>
      <x:c r="E17" s="18" t="n">
        <x:v>55000</x:v>
      </x:c>
      <x:c r="F17" s="15" t="n">
        <x:v>3437500</x:v>
      </x:c>
      <x:c r="G17" s="15" t="n">
        <x:v>37813</x:v>
      </x:c>
    </x:row>
    <x:row r="18">
      <x:c r="A18" s="15" t="str">
        <x:v>2026-07</x:v>
      </x:c>
      <x:c r="B18" s="15" t="str">
        <x:v>Meta</x:v>
      </x:c>
      <x:c r="C18" s="15" t="str">
        <x:v>AU_Meta_Prospecting</x:v>
      </x:c>
      <x:c r="D18" s="15" t="str">
        <x:v>AUD</x:v>
      </x:c>
      <x:c r="E18" s="18" t="n">
        <x:v>30000</x:v>
      </x:c>
      <x:c r="F18" s="15" t="n">
        <x:v>1666667</x:v>
      </x:c>
      <x:c r="G18" s="15" t="n">
        <x:v>23333</x:v>
      </x:c>
    </x:row>
    <x:row r="19">
      <x:c r="A19" s="15" t="str">
        <x:v>2026-07</x:v>
      </x:c>
      <x:c r="B19" s="15" t="str">
        <x:v>Meta</x:v>
      </x:c>
      <x:c r="C19" s="15" t="str">
        <x:v>AU_Meta_Retargeting</x:v>
      </x:c>
      <x:c r="D19" s="15" t="str">
        <x:v>AUD</x:v>
      </x:c>
      <x:c r="E19" s="18" t="n">
        <x:v>13000</x:v>
      </x:c>
      <x:c r="F19" s="15" t="n">
        <x:v>764706</x:v>
      </x:c>
      <x:c r="G19" s="15" t="n">
        <x:v>11471</x:v>
      </x:c>
    </x:row>
    <x:row r="20">
      <x:c r="A20" s="15" t="str">
        <x:v>2026-07</x:v>
      </x:c>
      <x:c r="B20" s="15" t="str">
        <x:v>TikTok</x:v>
      </x:c>
      <x:c r="C20" s="15" t="str">
        <x:v>AU_TikTok_Video</x:v>
      </x:c>
      <x:c r="D20" s="15" t="str">
        <x:v>AUD</x:v>
      </x:c>
      <x:c r="E20" s="18" t="n">
        <x:v>9000</x:v>
      </x:c>
      <x:c r="F20" s="15" t="n">
        <x:v>900000</x:v>
      </x:c>
      <x:c r="G20" s="15" t="n">
        <x:v>8100</x:v>
      </x:c>
    </x:row>
    <x:row r="21">
      <x:c r="A21" s="15" t="str">
        <x:v>2026-07</x:v>
      </x:c>
      <x:c r="B21" s="15" t="str">
        <x:v>Bing</x:v>
      </x:c>
      <x:c r="C21" s="15" t="str">
        <x:v>AU_Bing_Search</x:v>
      </x:c>
      <x:c r="D21" s="15" t="str">
        <x:v>AUD</x:v>
      </x:c>
      <x:c r="E21" s="18" t="n">
        <x:v>7000</x:v>
      </x:c>
      <x:c r="F21" s="15" t="n">
        <x:v>583333</x:v>
      </x:c>
      <x:c r="G21" s="15" t="n">
        <x:v>10500</x:v>
      </x:c>
    </x:row>
    <x:row r="22">
      <x:c r="A22" s="15" t="str">
        <x:v>2026-07</x:v>
      </x:c>
      <x:c r="B22" s="15" t="str">
        <x:v>Lead Partner</x:v>
      </x:c>
      <x:c r="C22" s="15" t="str">
        <x:v>AU_LeadPartner_Compare</x:v>
      </x:c>
      <x:c r="D22" s="15" t="str">
        <x:v>AUD</x:v>
      </x:c>
      <x:c r="E22" s="18" t="n">
        <x:v>25000</x:v>
      </x:c>
      <x:c r="F22" s="15" t="n">
        <x:v>833333</x:v>
      </x:c>
      <x:c r="G22" s="15" t="n">
        <x:v>18333</x:v>
      </x:c>
    </x:row>
    <x:row r="23">
      <x:c r="A23" s="15" t="str">
        <x:v>2026-07</x:v>
      </x:c>
      <x:c r="B23" s="15" t="str">
        <x:v>Affiliate</x:v>
      </x:c>
      <x:c r="C23" s="15" t="str">
        <x:v>AU_Affiliate_AF17</x:v>
      </x:c>
      <x:c r="D23" s="15" t="str">
        <x:v>AUD</x:v>
      </x:c>
      <x:c r="E23" s="18" t="n">
        <x:v>5000</x:v>
      </x:c>
      <x:c r="F23" s="15" t="n">
        <x:v>357143</x:v>
      </x:c>
      <x:c r="G23" s="15" t="n">
        <x:v>5357</x:v>
      </x:c>
    </x:row>
    <x:row r="24">
      <x:c r="A24" s="15" t="str">
        <x:v>2026-07</x:v>
      </x:c>
      <x:c r="B24" s="15" t="str">
        <x:v>GEO</x:v>
      </x:c>
      <x:c r="C24" s="15" t="str">
        <x:v>AU_GEO_AppStore</x:v>
      </x:c>
      <x:c r="D24" s="15" t="str">
        <x:v>AUD</x:v>
      </x:c>
      <x:c r="E24" s="18" t="n">
        <x:v>10000</x:v>
      </x:c>
      <x:c r="F24" s="15" t="n">
        <x:v>666667</x:v>
      </x:c>
      <x:c r="G24" s="15" t="n">
        <x:v>8000</x:v>
      </x:c>
    </x:row>
    <x:row r="25">
      <x:c r="A25" s="15" t="str">
        <x:v>2026-07</x:v>
      </x:c>
      <x:c r="B25" s="15" t="str">
        <x:v>Owned Channels</x:v>
      </x:c>
      <x:c r="C25" s="15" t="str">
        <x:v>AU_Owned_Push</x:v>
      </x:c>
      <x:c r="D25" s="15" t="str">
        <x:v>AUD</x:v>
      </x:c>
      <x:c r="E25" s="18" t="n">
        <x:v>3500</x:v>
      </x:c>
      <x:c r="F25" s="15" t="n">
        <x:v>700000</x:v>
      </x:c>
      <x:c r="G25" s="15" t="n">
        <x:v>24500</x:v>
      </x:c>
    </x:row>
    <x:row r="26">
      <x:c r="A26" s="15" t="str">
        <x:v>2026-08</x:v>
      </x:c>
      <x:c r="B26" s="15" t="str">
        <x:v>Google Search</x:v>
      </x:c>
      <x:c r="C26" s="15" t="str">
        <x:v>AU_Search_Brand</x:v>
      </x:c>
      <x:c r="D26" s="15" t="str">
        <x:v>AUD</x:v>
      </x:c>
      <x:c r="E26" s="18" t="n">
        <x:v>23000</x:v>
      </x:c>
      <x:c r="F26" s="15" t="n">
        <x:v>884615</x:v>
      </x:c>
      <x:c r="G26" s="15" t="n">
        <x:v>24769</x:v>
      </x:c>
    </x:row>
    <x:row r="27">
      <x:c r="A27" s="15" t="str">
        <x:v>2026-08</x:v>
      </x:c>
      <x:c r="B27" s="15" t="str">
        <x:v>Google Search</x:v>
      </x:c>
      <x:c r="C27" s="15" t="str">
        <x:v>AU_Search_NonBrand_HighIntent</x:v>
      </x:c>
      <x:c r="D27" s="15" t="str">
        <x:v>AUD</x:v>
      </x:c>
      <x:c r="E27" s="18" t="n">
        <x:v>76000</x:v>
      </x:c>
      <x:c r="F27" s="15" t="n">
        <x:v>3166667</x:v>
      </x:c>
      <x:c r="G27" s="15" t="n">
        <x:v>50667</x:v>
      </x:c>
    </x:row>
    <x:row r="28">
      <x:c r="A28" s="15" t="str">
        <x:v>2026-08</x:v>
      </x:c>
      <x:c r="B28" s="15" t="str">
        <x:v>Google Search</x:v>
      </x:c>
      <x:c r="C28" s="15" t="str">
        <x:v>AU_Search_Rates</x:v>
      </x:c>
      <x:c r="D28" s="15" t="str">
        <x:v>AUD</x:v>
      </x:c>
      <x:c r="E28" s="18" t="n">
        <x:v>16000</x:v>
      </x:c>
      <x:c r="F28" s="15" t="n">
        <x:v>727273</x:v>
      </x:c>
      <x:c r="G28" s="15" t="n">
        <x:v>8727</x:v>
      </x:c>
    </x:row>
    <x:row r="29">
      <x:c r="A29" s="15" t="str">
        <x:v>2026-08</x:v>
      </x:c>
      <x:c r="B29" s="15" t="str">
        <x:v>Google PMax</x:v>
      </x:c>
      <x:c r="C29" s="15" t="str">
        <x:v>AU_PMax_QualifiedLead</x:v>
      </x:c>
      <x:c r="D29" s="15" t="str">
        <x:v>AUD</x:v>
      </x:c>
      <x:c r="E29" s="18" t="n">
        <x:v>58000</x:v>
      </x:c>
      <x:c r="F29" s="15" t="n">
        <x:v>3625000</x:v>
      </x:c>
      <x:c r="G29" s="15" t="n">
        <x:v>39875</x:v>
      </x:c>
    </x:row>
    <x:row r="30">
      <x:c r="A30" s="15" t="str">
        <x:v>2026-08</x:v>
      </x:c>
      <x:c r="B30" s="15" t="str">
        <x:v>Meta</x:v>
      </x:c>
      <x:c r="C30" s="15" t="str">
        <x:v>AU_Meta_Prospecting</x:v>
      </x:c>
      <x:c r="D30" s="15" t="str">
        <x:v>AUD</x:v>
      </x:c>
      <x:c r="E30" s="18" t="n">
        <x:v>28000</x:v>
      </x:c>
      <x:c r="F30" s="15" t="n">
        <x:v>1555556</x:v>
      </x:c>
      <x:c r="G30" s="15" t="n">
        <x:v>21778</x:v>
      </x:c>
    </x:row>
    <x:row r="31">
      <x:c r="A31" s="15" t="str">
        <x:v>2026-08</x:v>
      </x:c>
      <x:c r="B31" s="15" t="str">
        <x:v>Meta</x:v>
      </x:c>
      <x:c r="C31" s="15" t="str">
        <x:v>AU_Meta_Retargeting</x:v>
      </x:c>
      <x:c r="D31" s="15" t="str">
        <x:v>AUD</x:v>
      </x:c>
      <x:c r="E31" s="18" t="n">
        <x:v>12500</x:v>
      </x:c>
      <x:c r="F31" s="15" t="n">
        <x:v>735294</x:v>
      </x:c>
      <x:c r="G31" s="15" t="n">
        <x:v>11029</x:v>
      </x:c>
    </x:row>
    <x:row r="32">
      <x:c r="A32" s="15" t="str">
        <x:v>2026-08</x:v>
      </x:c>
      <x:c r="B32" s="15" t="str">
        <x:v>TikTok</x:v>
      </x:c>
      <x:c r="C32" s="15" t="str">
        <x:v>AU_TikTok_Video</x:v>
      </x:c>
      <x:c r="D32" s="15" t="str">
        <x:v>AUD</x:v>
      </x:c>
      <x:c r="E32" s="18" t="n">
        <x:v>8500</x:v>
      </x:c>
      <x:c r="F32" s="15" t="n">
        <x:v>850000</x:v>
      </x:c>
      <x:c r="G32" s="15" t="n">
        <x:v>7650</x:v>
      </x:c>
    </x:row>
    <x:row r="33">
      <x:c r="A33" s="15" t="str">
        <x:v>2026-08</x:v>
      </x:c>
      <x:c r="B33" s="15" t="str">
        <x:v>Bing</x:v>
      </x:c>
      <x:c r="C33" s="15" t="str">
        <x:v>AU_Bing_Search</x:v>
      </x:c>
      <x:c r="D33" s="15" t="str">
        <x:v>AUD</x:v>
      </x:c>
      <x:c r="E33" s="18" t="n">
        <x:v>7200</x:v>
      </x:c>
      <x:c r="F33" s="15" t="n">
        <x:v>600000</x:v>
      </x:c>
      <x:c r="G33" s="15" t="n">
        <x:v>10800</x:v>
      </x:c>
    </x:row>
    <x:row r="34">
      <x:c r="A34" s="15" t="str">
        <x:v>2026-08</x:v>
      </x:c>
      <x:c r="B34" s="15" t="str">
        <x:v>Lead Partner</x:v>
      </x:c>
      <x:c r="C34" s="15" t="str">
        <x:v>AU_LeadPartner_Compare</x:v>
      </x:c>
      <x:c r="D34" s="15" t="str">
        <x:v>AUD</x:v>
      </x:c>
      <x:c r="E34" s="18" t="n">
        <x:v>24000</x:v>
      </x:c>
      <x:c r="F34" s="15" t="n">
        <x:v>800000</x:v>
      </x:c>
      <x:c r="G34" s="15" t="n">
        <x:v>17600</x:v>
      </x:c>
    </x:row>
    <x:row r="35">
      <x:c r="A35" s="15" t="str">
        <x:v>2026-08</x:v>
      </x:c>
      <x:c r="B35" s="15" t="str">
        <x:v>Affiliate</x:v>
      </x:c>
      <x:c r="C35" s="15" t="str">
        <x:v>AU_Affiliate_AF17</x:v>
      </x:c>
      <x:c r="D35" s="15" t="str">
        <x:v>AUD</x:v>
      </x:c>
      <x:c r="E35" s="18" t="n">
        <x:v>5200</x:v>
      </x:c>
      <x:c r="F35" s="15" t="n">
        <x:v>371429</x:v>
      </x:c>
      <x:c r="G35" s="15" t="n">
        <x:v>5571</x:v>
      </x:c>
    </x:row>
    <x:row r="36">
      <x:c r="A36" s="15" t="str">
        <x:v>2026-08</x:v>
      </x:c>
      <x:c r="B36" s="15" t="str">
        <x:v>GEO</x:v>
      </x:c>
      <x:c r="C36" s="15" t="str">
        <x:v>AU_GEO_AppStore</x:v>
      </x:c>
      <x:c r="D36" s="15" t="str">
        <x:v>AUD</x:v>
      </x:c>
      <x:c r="E36" s="18" t="n">
        <x:v>11000</x:v>
      </x:c>
      <x:c r="F36" s="15" t="n">
        <x:v>733333</x:v>
      </x:c>
      <x:c r="G36" s="15" t="n">
        <x:v>8800</x:v>
      </x:c>
    </x:row>
    <x:row r="37">
      <x:c r="A37" s="15" t="str">
        <x:v>2026-08</x:v>
      </x:c>
      <x:c r="B37" s="15" t="str">
        <x:v>Owned Channels</x:v>
      </x:c>
      <x:c r="C37" s="15" t="str">
        <x:v>AU_Owned_Push</x:v>
      </x:c>
      <x:c r="D37" s="15" t="str">
        <x:v>AUD</x:v>
      </x:c>
      <x:c r="E37" s="18" t="n">
        <x:v>3800</x:v>
      </x:c>
      <x:c r="F37" s="15" t="n">
        <x:v>760000</x:v>
      </x:c>
      <x:c r="G37" s="15" t="n">
        <x:v>26600</x:v>
      </x:c>
    </x:row>
  </x:sheetData>
  <x:pageMargins left="0.7" right="0.7" top="0.75" bottom="0.75" header="0.3" footer="0.3"/>
  <x:tableParts count="1">
    <x:tablePart xmlns:r="http://schemas.openxmlformats.org/officeDocument/2006/relationships" r:id="R800da014175242b3"/>
  </x:tableParts>
</x:worksheet>
</file>

<file path=xl/worksheets/sheet1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22" hidden="0" customWidth="1"/>
    <x:col min="3" max="3" width="22" hidden="0" customWidth="1"/>
    <x:col min="4" max="4" width="22" hidden="0" customWidth="1"/>
    <x:col min="5" max="5" width="14" hidden="0" customWidth="1"/>
    <x:col min="6" max="6" width="14" hidden="0" customWidth="1"/>
  </x:cols>
  <x:sheetData>
    <x:row r="1">
      <x:c r="A1" s="9" t="str">
        <x:v>month</x:v>
      </x:c>
      <x:c r="B1" s="9" t="str">
        <x:v>channel</x:v>
      </x:c>
      <x:c r="C1" s="9" t="str">
        <x:v>campaign</x:v>
      </x:c>
      <x:c r="D1" s="9" t="str">
        <x:v>conversionAction</x:v>
      </x:c>
      <x:c r="E1" s="9" t="str">
        <x:v>conversions</x:v>
      </x:c>
      <x:c r="F1" s="9" t="str">
        <x:v>conversionValue</x:v>
      </x:c>
    </x:row>
    <x:row r="2">
      <x:c r="A2" s="15" t="str">
        <x:v>2026-07</x:v>
      </x:c>
      <x:c r="B2" s="15" t="str">
        <x:v>Google</x:v>
      </x:c>
      <x:c r="C2" s="15" t="str">
        <x:v>AU_Search_Brand</x:v>
      </x:c>
      <x:c r="D2" s="15" t="str">
        <x:v>application_submitted</x:v>
      </x:c>
      <x:c r="E2" s="18" t="n">
        <x:v>52</x:v>
      </x:c>
      <x:c r="F2" s="18" t="n">
        <x:v>0</x:v>
      </x:c>
    </x:row>
    <x:row r="3">
      <x:c r="A3" s="15" t="str">
        <x:v>2026-07</x:v>
      </x:c>
      <x:c r="B3" s="15" t="str">
        <x:v>Google</x:v>
      </x:c>
      <x:c r="C3" s="15" t="str">
        <x:v>AU_Search_Brand</x:v>
      </x:c>
      <x:c r="D3" s="15" t="str">
        <x:v>qualified_lead</x:v>
      </x:c>
      <x:c r="E3" s="18" t="n">
        <x:v>34</x:v>
      </x:c>
      <x:c r="F3" s="18" t="n">
        <x:v>0</x:v>
      </x:c>
    </x:row>
    <x:row r="4">
      <x:c r="A4" s="15" t="str">
        <x:v>2026-07</x:v>
      </x:c>
      <x:c r="B4" s="15" t="str">
        <x:v>Google</x:v>
      </x:c>
      <x:c r="C4" s="15" t="str">
        <x:v>AU_Search_Brand</x:v>
      </x:c>
      <x:c r="D4" s="15" t="str">
        <x:v>application_approved</x:v>
      </x:c>
      <x:c r="E4" s="18" t="n">
        <x:v>25</x:v>
      </x:c>
      <x:c r="F4" s="18" t="n">
        <x:v>0</x:v>
      </x:c>
    </x:row>
    <x:row r="5">
      <x:c r="A5" s="15" t="str">
        <x:v>2026-07</x:v>
      </x:c>
      <x:c r="B5" s="15" t="str">
        <x:v>Google</x:v>
      </x:c>
      <x:c r="C5" s="15" t="str">
        <x:v>AU_Search_Brand</x:v>
      </x:c>
      <x:c r="D5" s="15" t="str">
        <x:v>loan_funded</x:v>
      </x:c>
      <x:c r="E5" s="18" t="n">
        <x:v>21</x:v>
      </x:c>
      <x:c r="F5" s="18" t="n">
        <x:v>157500</x:v>
      </x:c>
    </x:row>
    <x:row r="6">
      <x:c r="A6" s="15" t="str">
        <x:v>2026-07</x:v>
      </x:c>
      <x:c r="B6" s="15" t="str">
        <x:v>Google</x:v>
      </x:c>
      <x:c r="C6" s="15" t="str">
        <x:v>AU_Search_NonBrand_HighIntent</x:v>
      </x:c>
      <x:c r="D6" s="15" t="str">
        <x:v>application_submitted</x:v>
      </x:c>
      <x:c r="E6" s="18" t="n">
        <x:v>310</x:v>
      </x:c>
      <x:c r="F6" s="18" t="n">
        <x:v>0</x:v>
      </x:c>
    </x:row>
    <x:row r="7">
      <x:c r="A7" s="15" t="str">
        <x:v>2026-07</x:v>
      </x:c>
      <x:c r="B7" s="15" t="str">
        <x:v>Google</x:v>
      </x:c>
      <x:c r="C7" s="15" t="str">
        <x:v>AU_Search_NonBrand_HighIntent</x:v>
      </x:c>
      <x:c r="D7" s="15" t="str">
        <x:v>qualified_lead</x:v>
      </x:c>
      <x:c r="E7" s="18" t="n">
        <x:v>185</x:v>
      </x:c>
      <x:c r="F7" s="18" t="n">
        <x:v>0</x:v>
      </x:c>
    </x:row>
    <x:row r="8">
      <x:c r="A8" s="15" t="str">
        <x:v>2026-07</x:v>
      </x:c>
      <x:c r="B8" s="15" t="str">
        <x:v>Google</x:v>
      </x:c>
      <x:c r="C8" s="15" t="str">
        <x:v>AU_Search_NonBrand_HighIntent</x:v>
      </x:c>
      <x:c r="D8" s="15" t="str">
        <x:v>application_approved</x:v>
      </x:c>
      <x:c r="E8" s="18" t="n">
        <x:v>128</x:v>
      </x:c>
      <x:c r="F8" s="18" t="n">
        <x:v>0</x:v>
      </x:c>
    </x:row>
    <x:row r="9">
      <x:c r="A9" s="15" t="str">
        <x:v>2026-07</x:v>
      </x:c>
      <x:c r="B9" s="15" t="str">
        <x:v>Google</x:v>
      </x:c>
      <x:c r="C9" s="15" t="str">
        <x:v>AU_Search_NonBrand_HighIntent</x:v>
      </x:c>
      <x:c r="D9" s="15" t="str">
        <x:v>loan_funded</x:v>
      </x:c>
      <x:c r="E9" s="18" t="n">
        <x:v>102</x:v>
      </x:c>
      <x:c r="F9" s="18" t="n">
        <x:v>765000</x:v>
      </x:c>
    </x:row>
    <x:row r="10">
      <x:c r="A10" s="15" t="str">
        <x:v>2026-07</x:v>
      </x:c>
      <x:c r="B10" s="15" t="str">
        <x:v>Google</x:v>
      </x:c>
      <x:c r="C10" s="15" t="str">
        <x:v>AU_Search_Rates</x:v>
      </x:c>
      <x:c r="D10" s="15" t="str">
        <x:v>application_submitted</x:v>
      </x:c>
      <x:c r="E10" s="18" t="n">
        <x:v>64</x:v>
      </x:c>
      <x:c r="F10" s="18" t="n">
        <x:v>0</x:v>
      </x:c>
    </x:row>
    <x:row r="11">
      <x:c r="A11" s="15" t="str">
        <x:v>2026-07</x:v>
      </x:c>
      <x:c r="B11" s="15" t="str">
        <x:v>Google</x:v>
      </x:c>
      <x:c r="C11" s="15" t="str">
        <x:v>AU_Search_Rates</x:v>
      </x:c>
      <x:c r="D11" s="15" t="str">
        <x:v>qualified_lead</x:v>
      </x:c>
      <x:c r="E11" s="18" t="n">
        <x:v>41</x:v>
      </x:c>
      <x:c r="F11" s="18" t="n">
        <x:v>0</x:v>
      </x:c>
    </x:row>
    <x:row r="12">
      <x:c r="A12" s="15" t="str">
        <x:v>2026-07</x:v>
      </x:c>
      <x:c r="B12" s="15" t="str">
        <x:v>Google</x:v>
      </x:c>
      <x:c r="C12" s="15" t="str">
        <x:v>AU_Search_Rates</x:v>
      </x:c>
      <x:c r="D12" s="15" t="str">
        <x:v>application_approved</x:v>
      </x:c>
      <x:c r="E12" s="18" t="n">
        <x:v>30</x:v>
      </x:c>
      <x:c r="F12" s="18" t="n">
        <x:v>0</x:v>
      </x:c>
    </x:row>
    <x:row r="13">
      <x:c r="A13" s="15" t="str">
        <x:v>2026-07</x:v>
      </x:c>
      <x:c r="B13" s="15" t="str">
        <x:v>Google</x:v>
      </x:c>
      <x:c r="C13" s="15" t="str">
        <x:v>AU_Search_Rates</x:v>
      </x:c>
      <x:c r="D13" s="15" t="str">
        <x:v>loan_funded</x:v>
      </x:c>
      <x:c r="E13" s="18" t="n">
        <x:v>25</x:v>
      </x:c>
      <x:c r="F13" s="18" t="n">
        <x:v>187500</x:v>
      </x:c>
    </x:row>
    <x:row r="14">
      <x:c r="A14" s="15" t="str">
        <x:v>2026-07</x:v>
      </x:c>
      <x:c r="B14" s="15" t="str">
        <x:v>Google</x:v>
      </x:c>
      <x:c r="C14" s="15" t="str">
        <x:v>AU_PMax_QualifiedLead</x:v>
      </x:c>
      <x:c r="D14" s="15" t="str">
        <x:v>application_submitted</x:v>
      </x:c>
      <x:c r="E14" s="18" t="n">
        <x:v>240</x:v>
      </x:c>
      <x:c r="F14" s="18" t="n">
        <x:v>0</x:v>
      </x:c>
    </x:row>
    <x:row r="15">
      <x:c r="A15" s="15" t="str">
        <x:v>2026-07</x:v>
      </x:c>
      <x:c r="B15" s="15" t="str">
        <x:v>Google</x:v>
      </x:c>
      <x:c r="C15" s="15" t="str">
        <x:v>AU_PMax_QualifiedLead</x:v>
      </x:c>
      <x:c r="D15" s="15" t="str">
        <x:v>qualified_lead</x:v>
      </x:c>
      <x:c r="E15" s="18" t="n">
        <x:v>150</x:v>
      </x:c>
      <x:c r="F15" s="18" t="n">
        <x:v>0</x:v>
      </x:c>
    </x:row>
    <x:row r="16">
      <x:c r="A16" s="15" t="str">
        <x:v>2026-07</x:v>
      </x:c>
      <x:c r="B16" s="15" t="str">
        <x:v>Google</x:v>
      </x:c>
      <x:c r="C16" s="15" t="str">
        <x:v>AU_PMax_QualifiedLead</x:v>
      </x:c>
      <x:c r="D16" s="15" t="str">
        <x:v>application_approved</x:v>
      </x:c>
      <x:c r="E16" s="18" t="n">
        <x:v>106</x:v>
      </x:c>
      <x:c r="F16" s="18" t="n">
        <x:v>0</x:v>
      </x:c>
    </x:row>
    <x:row r="17">
      <x:c r="A17" s="15" t="str">
        <x:v>2026-07</x:v>
      </x:c>
      <x:c r="B17" s="15" t="str">
        <x:v>Google</x:v>
      </x:c>
      <x:c r="C17" s="15" t="str">
        <x:v>AU_PMax_QualifiedLead</x:v>
      </x:c>
      <x:c r="D17" s="15" t="str">
        <x:v>loan_funded</x:v>
      </x:c>
      <x:c r="E17" s="18" t="n">
        <x:v>84</x:v>
      </x:c>
      <x:c r="F17" s="18" t="n">
        <x:v>630000</x:v>
      </x:c>
    </x:row>
    <x:row r="18">
      <x:c r="A18" s="15" t="str">
        <x:v>2026-08</x:v>
      </x:c>
      <x:c r="B18" s="15" t="str">
        <x:v>Google</x:v>
      </x:c>
      <x:c r="C18" s="15" t="str">
        <x:v>AU_Search_Brand</x:v>
      </x:c>
      <x:c r="D18" s="15" t="str">
        <x:v>application_submitted</x:v>
      </x:c>
      <x:c r="E18" s="18" t="n">
        <x:v>56</x:v>
      </x:c>
      <x:c r="F18" s="18" t="n">
        <x:v>0</x:v>
      </x:c>
    </x:row>
    <x:row r="19">
      <x:c r="A19" s="15" t="str">
        <x:v>2026-08</x:v>
      </x:c>
      <x:c r="B19" s="15" t="str">
        <x:v>Google</x:v>
      </x:c>
      <x:c r="C19" s="15" t="str">
        <x:v>AU_Search_Brand</x:v>
      </x:c>
      <x:c r="D19" s="15" t="str">
        <x:v>qualified_lead</x:v>
      </x:c>
      <x:c r="E19" s="18" t="n">
        <x:v>36</x:v>
      </x:c>
      <x:c r="F19" s="18" t="n">
        <x:v>0</x:v>
      </x:c>
    </x:row>
    <x:row r="20">
      <x:c r="A20" s="15" t="str">
        <x:v>2026-08</x:v>
      </x:c>
      <x:c r="B20" s="15" t="str">
        <x:v>Google</x:v>
      </x:c>
      <x:c r="C20" s="15" t="str">
        <x:v>AU_Search_Brand</x:v>
      </x:c>
      <x:c r="D20" s="15" t="str">
        <x:v>application_approved</x:v>
      </x:c>
      <x:c r="E20" s="18" t="n">
        <x:v>27</x:v>
      </x:c>
      <x:c r="F20" s="18" t="n">
        <x:v>0</x:v>
      </x:c>
    </x:row>
    <x:row r="21">
      <x:c r="A21" s="15" t="str">
        <x:v>2026-08</x:v>
      </x:c>
      <x:c r="B21" s="15" t="str">
        <x:v>Google</x:v>
      </x:c>
      <x:c r="C21" s="15" t="str">
        <x:v>AU_Search_Brand</x:v>
      </x:c>
      <x:c r="D21" s="15" t="str">
        <x:v>loan_funded</x:v>
      </x:c>
      <x:c r="E21" s="18" t="n">
        <x:v>22</x:v>
      </x:c>
      <x:c r="F21" s="18" t="n">
        <x:v>165000</x:v>
      </x:c>
    </x:row>
    <x:row r="22">
      <x:c r="A22" s="15" t="str">
        <x:v>2026-08</x:v>
      </x:c>
      <x:c r="B22" s="15" t="str">
        <x:v>Google</x:v>
      </x:c>
      <x:c r="C22" s="15" t="str">
        <x:v>AU_Search_NonBrand_HighIntent</x:v>
      </x:c>
      <x:c r="D22" s="15" t="str">
        <x:v>application_submitted</x:v>
      </x:c>
      <x:c r="E22" s="18" t="n">
        <x:v>330</x:v>
      </x:c>
      <x:c r="F22" s="18" t="n">
        <x:v>0</x:v>
      </x:c>
    </x:row>
    <x:row r="23">
      <x:c r="A23" s="15" t="str">
        <x:v>2026-08</x:v>
      </x:c>
      <x:c r="B23" s="15" t="str">
        <x:v>Google</x:v>
      </x:c>
      <x:c r="C23" s="15" t="str">
        <x:v>AU_Search_NonBrand_HighIntent</x:v>
      </x:c>
      <x:c r="D23" s="15" t="str">
        <x:v>qualified_lead</x:v>
      </x:c>
      <x:c r="E23" s="18" t="n">
        <x:v>198</x:v>
      </x:c>
      <x:c r="F23" s="18" t="n">
        <x:v>0</x:v>
      </x:c>
    </x:row>
    <x:row r="24">
      <x:c r="A24" s="15" t="str">
        <x:v>2026-08</x:v>
      </x:c>
      <x:c r="B24" s="15" t="str">
        <x:v>Google</x:v>
      </x:c>
      <x:c r="C24" s="15" t="str">
        <x:v>AU_Search_NonBrand_HighIntent</x:v>
      </x:c>
      <x:c r="D24" s="15" t="str">
        <x:v>application_approved</x:v>
      </x:c>
      <x:c r="E24" s="18" t="n">
        <x:v>136</x:v>
      </x:c>
      <x:c r="F24" s="18" t="n">
        <x:v>0</x:v>
      </x:c>
    </x:row>
    <x:row r="25">
      <x:c r="A25" s="15" t="str">
        <x:v>2026-08</x:v>
      </x:c>
      <x:c r="B25" s="15" t="str">
        <x:v>Google</x:v>
      </x:c>
      <x:c r="C25" s="15" t="str">
        <x:v>AU_Search_NonBrand_HighIntent</x:v>
      </x:c>
      <x:c r="D25" s="15" t="str">
        <x:v>loan_funded</x:v>
      </x:c>
      <x:c r="E25" s="18" t="n">
        <x:v>108</x:v>
      </x:c>
      <x:c r="F25" s="18" t="n">
        <x:v>810000</x:v>
      </x:c>
    </x:row>
    <x:row r="26">
      <x:c r="A26" s="15" t="str">
        <x:v>2026-08</x:v>
      </x:c>
      <x:c r="B26" s="15" t="str">
        <x:v>Google</x:v>
      </x:c>
      <x:c r="C26" s="15" t="str">
        <x:v>AU_Search_Rates</x:v>
      </x:c>
      <x:c r="D26" s="15" t="str">
        <x:v>application_submitted</x:v>
      </x:c>
      <x:c r="E26" s="18" t="n">
        <x:v>68</x:v>
      </x:c>
      <x:c r="F26" s="18" t="n">
        <x:v>0</x:v>
      </x:c>
    </x:row>
    <x:row r="27">
      <x:c r="A27" s="15" t="str">
        <x:v>2026-08</x:v>
      </x:c>
      <x:c r="B27" s="15" t="str">
        <x:v>Google</x:v>
      </x:c>
      <x:c r="C27" s="15" t="str">
        <x:v>AU_Search_Rates</x:v>
      </x:c>
      <x:c r="D27" s="15" t="str">
        <x:v>qualified_lead</x:v>
      </x:c>
      <x:c r="E27" s="18" t="n">
        <x:v>44</x:v>
      </x:c>
      <x:c r="F27" s="18" t="n">
        <x:v>0</x:v>
      </x:c>
    </x:row>
    <x:row r="28">
      <x:c r="A28" s="15" t="str">
        <x:v>2026-08</x:v>
      </x:c>
      <x:c r="B28" s="15" t="str">
        <x:v>Google</x:v>
      </x:c>
      <x:c r="C28" s="15" t="str">
        <x:v>AU_Search_Rates</x:v>
      </x:c>
      <x:c r="D28" s="15" t="str">
        <x:v>application_approved</x:v>
      </x:c>
      <x:c r="E28" s="18" t="n">
        <x:v>32</x:v>
      </x:c>
      <x:c r="F28" s="18" t="n">
        <x:v>0</x:v>
      </x:c>
    </x:row>
    <x:row r="29">
      <x:c r="A29" s="15" t="str">
        <x:v>2026-08</x:v>
      </x:c>
      <x:c r="B29" s="15" t="str">
        <x:v>Google</x:v>
      </x:c>
      <x:c r="C29" s="15" t="str">
        <x:v>AU_Search_Rates</x:v>
      </x:c>
      <x:c r="D29" s="15" t="str">
        <x:v>loan_funded</x:v>
      </x:c>
      <x:c r="E29" s="18" t="n">
        <x:v>27</x:v>
      </x:c>
      <x:c r="F29" s="18" t="n">
        <x:v>202500</x:v>
      </x:c>
    </x:row>
    <x:row r="30">
      <x:c r="A30" s="15" t="str">
        <x:v>2026-08</x:v>
      </x:c>
      <x:c r="B30" s="15" t="str">
        <x:v>Google</x:v>
      </x:c>
      <x:c r="C30" s="15" t="str">
        <x:v>AU_PMax_QualifiedLead</x:v>
      </x:c>
      <x:c r="D30" s="15" t="str">
        <x:v>application_submitted</x:v>
      </x:c>
      <x:c r="E30" s="18" t="n">
        <x:v>255</x:v>
      </x:c>
      <x:c r="F30" s="18" t="n">
        <x:v>0</x:v>
      </x:c>
    </x:row>
    <x:row r="31">
      <x:c r="A31" s="15" t="str">
        <x:v>2026-08</x:v>
      </x:c>
      <x:c r="B31" s="15" t="str">
        <x:v>Google</x:v>
      </x:c>
      <x:c r="C31" s="15" t="str">
        <x:v>AU_PMax_QualifiedLead</x:v>
      </x:c>
      <x:c r="D31" s="15" t="str">
        <x:v>qualified_lead</x:v>
      </x:c>
      <x:c r="E31" s="18" t="n">
        <x:v>160</x:v>
      </x:c>
      <x:c r="F31" s="18" t="n">
        <x:v>0</x:v>
      </x:c>
    </x:row>
    <x:row r="32">
      <x:c r="A32" s="15" t="str">
        <x:v>2026-08</x:v>
      </x:c>
      <x:c r="B32" s="15" t="str">
        <x:v>Google</x:v>
      </x:c>
      <x:c r="C32" s="15" t="str">
        <x:v>AU_PMax_QualifiedLead</x:v>
      </x:c>
      <x:c r="D32" s="15" t="str">
        <x:v>application_approved</x:v>
      </x:c>
      <x:c r="E32" s="18" t="n">
        <x:v>112</x:v>
      </x:c>
      <x:c r="F32" s="18" t="n">
        <x:v>0</x:v>
      </x:c>
    </x:row>
    <x:row r="33">
      <x:c r="A33" s="15" t="str">
        <x:v>2026-08</x:v>
      </x:c>
      <x:c r="B33" s="15" t="str">
        <x:v>Google</x:v>
      </x:c>
      <x:c r="C33" s="15" t="str">
        <x:v>AU_PMax_QualifiedLead</x:v>
      </x:c>
      <x:c r="D33" s="15" t="str">
        <x:v>loan_funded</x:v>
      </x:c>
      <x:c r="E33" s="18" t="n">
        <x:v>90</x:v>
      </x:c>
      <x:c r="F33" s="18" t="n">
        <x:v>675000</x:v>
      </x:c>
    </x:row>
  </x:sheetData>
  <x:pageMargins left="0.7" right="0.7" top="0.75" bottom="0.75" header="0.3" footer="0.3"/>
  <x:tableParts count="1">
    <x:tablePart xmlns:r="http://schemas.openxmlformats.org/officeDocument/2006/relationships" r:id="Raf75ee82cb894fcc"/>
  </x:tableParts>
</x:worksheet>
</file>

<file path=xl/worksheets/sheet1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4" hidden="0" customWidth="1"/>
  </x:cols>
  <x:sheetData>
    <x:row r="1">
      <x:c r="A1" s="9" t="str">
        <x:v>metric_name</x:v>
      </x:c>
      <x:c r="B1" s="9" t="str">
        <x:v>month</x:v>
      </x:c>
      <x:c r="C1" s="9" t="str">
        <x:v>metric_value</x:v>
      </x:c>
    </x:row>
    <x:row r="2">
      <x:c r="A2" s="15" t="str">
        <x:v>leads</x:v>
      </x:c>
      <x:c r="B2" s="15" t="str">
        <x:v>avg_2026</x:v>
      </x:c>
      <x:c r="C2" s="15" t="n">
        <x:v>65570.44689142997</x:v>
      </x:c>
    </x:row>
    <x:row r="3">
      <x:c r="A3" s="15" t="str">
        <x:v>leads</x:v>
      </x:c>
      <x:c r="B3" s="15" t="str">
        <x:v>value_2026_01</x:v>
      </x:c>
      <x:c r="C3" s="15" t="n">
        <x:v>49445.22072688304</x:v>
      </x:c>
    </x:row>
    <x:row r="4">
      <x:c r="A4" s="15" t="str">
        <x:v>leads</x:v>
      </x:c>
      <x:c r="B4" s="15" t="str">
        <x:v>value_2026_02</x:v>
      </x:c>
      <x:c r="C4" s="15" t="n">
        <x:v>53165.36590922963</x:v>
      </x:c>
    </x:row>
    <x:row r="5">
      <x:c r="A5" s="15" t="str">
        <x:v>leads</x:v>
      </x:c>
      <x:c r="B5" s="15" t="str">
        <x:v>value_2026_03</x:v>
      </x:c>
      <x:c r="C5" s="15" t="n">
        <x:v>60538.06667682196</x:v>
      </x:c>
    </x:row>
    <x:row r="6">
      <x:c r="A6" s="15" t="str">
        <x:v>leads</x:v>
      </x:c>
      <x:c r="B6" s="15" t="str">
        <x:v>value_2026_04</x:v>
      </x:c>
      <x:c r="C6" s="15" t="n">
        <x:v>63399.807710493114</x:v>
      </x:c>
    </x:row>
    <x:row r="7">
      <x:c r="A7" s="15" t="str">
        <x:v>leads</x:v>
      </x:c>
      <x:c r="B7" s="15" t="str">
        <x:v>value_2026_05</x:v>
      </x:c>
      <x:c r="C7" s="15" t="n">
        <x:v>66489.30268464523</x:v>
      </x:c>
    </x:row>
    <x:row r="8">
      <x:c r="A8" s="15" t="str">
        <x:v>leads</x:v>
      </x:c>
      <x:c r="B8" s="15" t="str">
        <x:v>value_2026_06</x:v>
      </x:c>
      <x:c r="C8" s="15" t="n">
        <x:v>67798.8178999747</x:v>
      </x:c>
    </x:row>
    <x:row r="9">
      <x:c r="A9" s="15" t="str">
        <x:v>leads</x:v>
      </x:c>
      <x:c r="B9" s="15" t="str">
        <x:v>value_2026_07</x:v>
      </x:c>
      <x:c r="C9" s="15" t="n">
        <x:v>66834.45498679025</x:v>
      </x:c>
    </x:row>
    <x:row r="10">
      <x:c r="A10" s="15" t="str">
        <x:v>leads</x:v>
      </x:c>
      <x:c r="B10" s="15" t="str">
        <x:v>value_2026_08</x:v>
      </x:c>
      <x:c r="C10" s="15" t="n">
        <x:v>63000.60994239324</x:v>
      </x:c>
    </x:row>
    <x:row r="11">
      <x:c r="A11" s="15" t="str">
        <x:v>leads</x:v>
      </x:c>
      <x:c r="B11" s="15" t="str">
        <x:v>value_2026_09</x:v>
      </x:c>
      <x:c r="C11" s="15" t="n">
        <x:v>67498.36829783769</x:v>
      </x:c>
    </x:row>
    <x:row r="12">
      <x:c r="A12" s="15" t="str">
        <x:v>leads</x:v>
      </x:c>
      <x:c r="B12" s="15" t="str">
        <x:v>value_2026_10</x:v>
      </x:c>
      <x:c r="C12" s="15" t="n">
        <x:v>75192.78913069401</x:v>
      </x:c>
    </x:row>
    <x:row r="13">
      <x:c r="A13" s="15" t="str">
        <x:v>leads</x:v>
      </x:c>
      <x:c r="B13" s="15" t="str">
        <x:v>value_2026_11</x:v>
      </x:c>
      <x:c r="C13" s="15" t="n">
        <x:v>74580.43818944249</x:v>
      </x:c>
    </x:row>
    <x:row r="14">
      <x:c r="A14" s="15" t="str">
        <x:v>leads</x:v>
      </x:c>
      <x:c r="B14" s="15" t="str">
        <x:v>value_2026_12</x:v>
      </x:c>
      <x:c r="C14" s="15" t="n">
        <x:v>78902.1205419543</x:v>
      </x:c>
    </x:row>
    <x:row r="15">
      <x:c r="A15" s="15" t="str">
        <x:v>cpfl_variable_cost</x:v>
      </x:c>
      <x:c r="B15" s="15" t="str">
        <x:v>avg_2026</x:v>
      </x:c>
      <x:c r="C15" s="15" t="n">
        <x:v>65.43199582542047</x:v>
      </x:c>
    </x:row>
    <x:row r="16">
      <x:c r="A16" s="15" t="str">
        <x:v>cpfl_variable_cost</x:v>
      </x:c>
      <x:c r="B16" s="15" t="str">
        <x:v>value_2026_01</x:v>
      </x:c>
      <x:c r="C16" s="15" t="n">
        <x:v>72.33331223100538</x:v>
      </x:c>
    </x:row>
    <x:row r="17">
      <x:c r="A17" s="15" t="str">
        <x:v>cpfl_variable_cost</x:v>
      </x:c>
      <x:c r="B17" s="15" t="str">
        <x:v>value_2026_02</x:v>
      </x:c>
      <x:c r="C17" s="15" t="n">
        <x:v>70.4483742390151</x:v>
      </x:c>
    </x:row>
    <x:row r="18">
      <x:c r="A18" s="15" t="str">
        <x:v>cpfl_variable_cost</x:v>
      </x:c>
      <x:c r="B18" s="15" t="str">
        <x:v>value_2026_03</x:v>
      </x:c>
      <x:c r="C18" s="15" t="n">
        <x:v>67.39084493747926</x:v>
      </x:c>
    </x:row>
    <x:row r="19">
      <x:c r="A19" s="15" t="str">
        <x:v>cpfl_variable_cost</x:v>
      </x:c>
      <x:c r="B19" s="15" t="str">
        <x:v>value_2026_04</x:v>
      </x:c>
      <x:c r="C19" s="15" t="n">
        <x:v>65.36749845767146</x:v>
      </x:c>
    </x:row>
    <x:row r="20">
      <x:c r="A20" s="15" t="str">
        <x:v>cpfl_variable_cost</x:v>
      </x:c>
      <x:c r="B20" s="15" t="str">
        <x:v>value_2026_05</x:v>
      </x:c>
      <x:c r="C20" s="15" t="n">
        <x:v>67.72869612333228</x:v>
      </x:c>
    </x:row>
    <x:row r="21">
      <x:c r="A21" s="15" t="str">
        <x:v>cpfl_variable_cost</x:v>
      </x:c>
      <x:c r="B21" s="15" t="str">
        <x:v>value_2026_06</x:v>
      </x:c>
      <x:c r="C21" s="15" t="n">
        <x:v>67.44310999221504</x:v>
      </x:c>
    </x:row>
    <x:row r="22">
      <x:c r="A22" s="15" t="str">
        <x:v>cpfl_variable_cost</x:v>
      </x:c>
      <x:c r="B22" s="15" t="str">
        <x:v>value_2026_07</x:v>
      </x:c>
      <x:c r="C22" s="15" t="n">
        <x:v>65.36799202415747</x:v>
      </x:c>
    </x:row>
    <x:row r="23">
      <x:c r="A23" s="15" t="str">
        <x:v>cpfl_variable_cost</x:v>
      </x:c>
      <x:c r="B23" s="15" t="str">
        <x:v>value_2026_08</x:v>
      </x:c>
      <x:c r="C23" s="15" t="n">
        <x:v>64.33635308745134</x:v>
      </x:c>
    </x:row>
    <x:row r="24">
      <x:c r="A24" s="15" t="str">
        <x:v>cpfl_variable_cost</x:v>
      </x:c>
      <x:c r="B24" s="15" t="str">
        <x:v>value_2026_09</x:v>
      </x:c>
      <x:c r="C24" s="15" t="n">
        <x:v>62.03874688189535</x:v>
      </x:c>
    </x:row>
    <x:row r="25">
      <x:c r="A25" s="15" t="str">
        <x:v>cpfl_variable_cost</x:v>
      </x:c>
      <x:c r="B25" s="15" t="str">
        <x:v>value_2026_10</x:v>
      </x:c>
      <x:c r="C25" s="15" t="n">
        <x:v>60.163870615004505</x:v>
      </x:c>
    </x:row>
    <x:row r="26">
      <x:c r="A26" s="15" t="str">
        <x:v>cpfl_variable_cost</x:v>
      </x:c>
      <x:c r="B26" s="15" t="str">
        <x:v>value_2026_11</x:v>
      </x:c>
      <x:c r="C26" s="15" t="n">
        <x:v>65.84980711708009</x:v>
      </x:c>
    </x:row>
    <x:row r="27">
      <x:c r="A27" s="15" t="str">
        <x:v>cpfl_variable_cost</x:v>
      </x:c>
      <x:c r="B27" s="15" t="str">
        <x:v>value_2026_12</x:v>
      </x:c>
      <x:c r="C27" s="15" t="n">
        <x:v>63.20388547066617</x:v>
      </x:c>
    </x:row>
    <x:row r="28">
      <x:c r="A28" s="15" t="str">
        <x:v>total_originations</x:v>
      </x:c>
      <x:c r="B28" s="15" t="str">
        <x:v>avg_2026</x:v>
      </x:c>
      <x:c r="C28" s="15" t="n">
        <x:v>17468052.797361508</x:v>
      </x:c>
    </x:row>
    <x:row r="29">
      <x:c r="A29" s="15" t="str">
        <x:v>total_originations</x:v>
      </x:c>
      <x:c r="B29" s="15" t="str">
        <x:v>value_2026_01</x:v>
      </x:c>
      <x:c r="C29" s="15" t="n">
        <x:v>10688471.10708755</x:v>
      </x:c>
    </x:row>
    <x:row r="30">
      <x:c r="A30" s="15" t="str">
        <x:v>total_originations</x:v>
      </x:c>
      <x:c r="B30" s="15" t="str">
        <x:v>value_2026_02</x:v>
      </x:c>
      <x:c r="C30" s="15" t="n">
        <x:v>11923669.216939064</x:v>
      </x:c>
    </x:row>
    <x:row r="31">
      <x:c r="A31" s="15" t="str">
        <x:v>total_originations</x:v>
      </x:c>
      <x:c r="B31" s="15" t="str">
        <x:v>value_2026_03</x:v>
      </x:c>
      <x:c r="C31" s="15" t="n">
        <x:v>14288257.90452892</x:v>
      </x:c>
    </x:row>
    <x:row r="32">
      <x:c r="A32" s="15" t="str">
        <x:v>total_originations</x:v>
      </x:c>
      <x:c r="B32" s="15" t="str">
        <x:v>value_2026_04</x:v>
      </x:c>
      <x:c r="C32" s="15" t="n">
        <x:v>15755712.228493072</x:v>
      </x:c>
    </x:row>
    <x:row r="33">
      <x:c r="A33" s="15" t="str">
        <x:v>total_originations</x:v>
      </x:c>
      <x:c r="B33" s="15" t="str">
        <x:v>value_2026_05</x:v>
      </x:c>
      <x:c r="C33" s="15" t="n">
        <x:v>17166489.921552777</x:v>
      </x:c>
    </x:row>
    <x:row r="34">
      <x:c r="A34" s="15" t="str">
        <x:v>total_originations</x:v>
      </x:c>
      <x:c r="B34" s="15" t="str">
        <x:v>value_2026_06</x:v>
      </x:c>
      <x:c r="C34" s="15" t="n">
        <x:v>17562628.20105061</x:v>
      </x:c>
    </x:row>
    <x:row r="35">
      <x:c r="A35" s="15" t="str">
        <x:v>total_originations</x:v>
      </x:c>
      <x:c r="B35" s="15" t="str">
        <x:v>value_2026_07</x:v>
      </x:c>
      <x:c r="C35" s="15" t="n">
        <x:v>17890754.187235676</x:v>
      </x:c>
    </x:row>
    <x:row r="36">
      <x:c r="A36" s="15" t="str">
        <x:v>total_originations</x:v>
      </x:c>
      <x:c r="B36" s="15" t="str">
        <x:v>value_2026_08</x:v>
      </x:c>
      <x:c r="C36" s="15" t="n">
        <x:v>17094195.08842793</x:v>
      </x:c>
    </x:row>
    <x:row r="37">
      <x:c r="A37" s="15" t="str">
        <x:v>total_originations</x:v>
      </x:c>
      <x:c r="B37" s="15" t="str">
        <x:v>value_2026_09</x:v>
      </x:c>
      <x:c r="C37" s="15" t="n">
        <x:v>19183708.288652908</x:v>
      </x:c>
    </x:row>
    <x:row r="38">
      <x:c r="A38" s="15" t="str">
        <x:v>total_originations</x:v>
      </x:c>
      <x:c r="B38" s="15" t="str">
        <x:v>value_2026_10</x:v>
      </x:c>
      <x:c r="C38" s="15" t="n">
        <x:v>22352394.222818065</x:v>
      </x:c>
    </x:row>
    <x:row r="39">
      <x:c r="A39" s="15" t="str">
        <x:v>total_originations</x:v>
      </x:c>
      <x:c r="B39" s="15" t="str">
        <x:v>value_2026_11</x:v>
      </x:c>
      <x:c r="C39" s="15" t="n">
        <x:v>22134955.14641287</x:v>
      </x:c>
    </x:row>
    <x:row r="40">
      <x:c r="A40" s="15" t="str">
        <x:v>total_originations</x:v>
      </x:c>
      <x:c r="B40" s="15" t="str">
        <x:v>value_2026_12</x:v>
      </x:c>
      <x:c r="C40" s="15" t="n">
        <x:v>23575398.055138648</x:v>
      </x:c>
    </x:row>
    <x:row r="41">
      <x:c r="A41" s="15" t="str">
        <x:v>funded</x:v>
      </x:c>
      <x:c r="B41" s="15" t="str">
        <x:v>avg_2026</x:v>
      </x:c>
      <x:c r="C41" s="15" t="n">
        <x:v>10959.80179420941</x:v>
      </x:c>
    </x:row>
    <x:row r="42">
      <x:c r="A42" s="15" t="str">
        <x:v>funded</x:v>
      </x:c>
      <x:c r="B42" s="15" t="str">
        <x:v>value_2026_01</x:v>
      </x:c>
      <x:c r="C42" s="15" t="n">
        <x:v>7024.869208579294</x:v>
      </x:c>
    </x:row>
    <x:row r="43">
      <x:c r="A43" s="15" t="str">
        <x:v>funded</x:v>
      </x:c>
      <x:c r="B43" s="15" t="str">
        <x:v>value_2026_02</x:v>
      </x:c>
      <x:c r="C43" s="15" t="n">
        <x:v>7755.505449248896</x:v>
      </x:c>
    </x:row>
    <x:row r="44">
      <x:c r="A44" s="15" t="str">
        <x:v>funded</x:v>
      </x:c>
      <x:c r="B44" s="15" t="str">
        <x:v>value_2026_03</x:v>
      </x:c>
      <x:c r="C44" s="15" t="n">
        <x:v>9231.66255032306</x:v>
      </x:c>
    </x:row>
    <x:row r="45">
      <x:c r="A45" s="15" t="str">
        <x:v>funded</x:v>
      </x:c>
      <x:c r="B45" s="15" t="str">
        <x:v>value_2026_04</x:v>
      </x:c>
      <x:c r="C45" s="15" t="n">
        <x:v>9967.318833727111</x:v>
      </x:c>
    </x:row>
    <x:row r="46">
      <x:c r="A46" s="15" t="str">
        <x:v>funded</x:v>
      </x:c>
      <x:c r="B46" s="15" t="str">
        <x:v>value_2026_05</x:v>
      </x:c>
      <x:c r="C46" s="15" t="n">
        <x:v>10798.706772669422</x:v>
      </x:c>
    </x:row>
    <x:row r="47">
      <x:c r="A47" s="15" t="str">
        <x:v>funded</x:v>
      </x:c>
      <x:c r="B47" s="15" t="str">
        <x:v>value_2026_06</x:v>
      </x:c>
      <x:c r="C47" s="15" t="n">
        <x:v>11058.016111442783</x:v>
      </x:c>
    </x:row>
    <x:row r="48">
      <x:c r="A48" s="15" t="str">
        <x:v>funded</x:v>
      </x:c>
      <x:c r="B48" s="15" t="str">
        <x:v>value_2026_07</x:v>
      </x:c>
      <x:c r="C48" s="15" t="n">
        <x:v>11246.773567451777</x:v>
      </x:c>
    </x:row>
    <x:row r="49">
      <x:c r="A49" s="15" t="str">
        <x:v>funded</x:v>
      </x:c>
      <x:c r="B49" s="15" t="str">
        <x:v>value_2026_08</x:v>
      </x:c>
      <x:c r="C49" s="15" t="n">
        <x:v>10771.619405040461</x:v>
      </x:c>
    </x:row>
    <x:row r="50">
      <x:c r="A50" s="15" t="str">
        <x:v>funded</x:v>
      </x:c>
      <x:c r="B50" s="15" t="str">
        <x:v>value_2026_09</x:v>
      </x:c>
      <x:c r="C50" s="15" t="n">
        <x:v>11968.03753450558</x:v>
      </x:c>
    </x:row>
    <x:row r="51">
      <x:c r="A51" s="15" t="str">
        <x:v>funded</x:v>
      </x:c>
      <x:c r="B51" s="15" t="str">
        <x:v>value_2026_10</x:v>
      </x:c>
      <x:c r="C51" s="15" t="n">
        <x:v>13747.797008115951</x:v>
      </x:c>
    </x:row>
    <x:row r="52">
      <x:c r="A52" s="15" t="str">
        <x:v>funded</x:v>
      </x:c>
      <x:c r="B52" s="15" t="str">
        <x:v>value_2026_11</x:v>
      </x:c>
      <x:c r="C52" s="15" t="n">
        <x:v>13591.008044747548</x:v>
      </x:c>
    </x:row>
    <x:row r="53">
      <x:c r="A53" s="15" t="str">
        <x:v>funded</x:v>
      </x:c>
      <x:c r="B53" s="15" t="str">
        <x:v>value_2026_12</x:v>
      </x:c>
      <x:c r="C53" s="15" t="n">
        <x:v>14356.30704466104</x:v>
      </x:c>
    </x:row>
    <x:row r="54">
      <x:c r="A54" s="15" t="str">
        <x:v>avg_ticket_size</x:v>
      </x:c>
      <x:c r="B54" s="15" t="str">
        <x:v>avg_2026</x:v>
      </x:c>
      <x:c r="C54" s="15" t="n">
        <x:v>1593.8292612728378</x:v>
      </x:c>
    </x:row>
    <x:row r="55">
      <x:c r="A55" s="15" t="str">
        <x:v>avg_ticket_size</x:v>
      </x:c>
      <x:c r="B55" s="15" t="str">
        <x:v>value_2026_01</x:v>
      </x:c>
      <x:c r="C55" s="15" t="n">
        <x:v>1521.5188766837102</x:v>
      </x:c>
    </x:row>
    <x:row r="56">
      <x:c r="A56" s="15" t="str">
        <x:v>avg_ticket_size</x:v>
      </x:c>
      <x:c r="B56" s="15" t="str">
        <x:v>value_2026_02</x:v>
      </x:c>
      <x:c r="C56" s="15" t="n">
        <x:v>1537.445791891468</x:v>
      </x:c>
    </x:row>
    <x:row r="57">
      <x:c r="A57" s="15" t="str">
        <x:v>avg_ticket_size</x:v>
      </x:c>
      <x:c r="B57" s="15" t="str">
        <x:v>value_2026_03</x:v>
      </x:c>
      <x:c r="C57" s="15" t="n">
        <x:v>1547.7448213300327</x:v>
      </x:c>
    </x:row>
    <x:row r="58">
      <x:c r="A58" s="15" t="str">
        <x:v>avg_ticket_size</x:v>
      </x:c>
      <x:c r="B58" s="15" t="str">
        <x:v>value_2026_04</x:v>
      </x:c>
      <x:c r="C58" s="15" t="n">
        <x:v>1580.7372565608487</x:v>
      </x:c>
    </x:row>
    <x:row r="59">
      <x:c r="A59" s="15" t="str">
        <x:v>avg_ticket_size</x:v>
      </x:c>
      <x:c r="B59" s="15" t="str">
        <x:v>value_2026_05</x:v>
      </x:c>
      <x:c r="C59" s="15" t="n">
        <x:v>1589.6801610540676</x:v>
      </x:c>
    </x:row>
    <x:row r="60">
      <x:c r="A60" s="15" t="str">
        <x:v>avg_ticket_size</x:v>
      </x:c>
      <x:c r="B60" s="15" t="str">
        <x:v>value_2026_06</x:v>
      </x:c>
      <x:c r="C60" s="15" t="n">
        <x:v>1588.2259551852962</x:v>
      </x:c>
    </x:row>
    <x:row r="61">
      <x:c r="A61" s="15" t="str">
        <x:v>avg_ticket_size</x:v>
      </x:c>
      <x:c r="B61" s="15" t="str">
        <x:v>value_2026_07</x:v>
      </x:c>
      <x:c r="C61" s="15" t="n">
        <x:v>1590.7454773528661</x:v>
      </x:c>
    </x:row>
    <x:row r="62">
      <x:c r="A62" s="15" t="str">
        <x:v>avg_ticket_size</x:v>
      </x:c>
      <x:c r="B62" s="15" t="str">
        <x:v>value_2026_08</x:v>
      </x:c>
      <x:c r="C62" s="15" t="n">
        <x:v>1586.966123258021</x:v>
      </x:c>
    </x:row>
    <x:row r="63">
      <x:c r="A63" s="15" t="str">
        <x:v>avg_ticket_size</x:v>
      </x:c>
      <x:c r="B63" s="15" t="str">
        <x:v>value_2026_09</x:v>
      </x:c>
      <x:c r="C63" s="15" t="n">
        <x:v>1602.9117750795406</x:v>
      </x:c>
    </x:row>
    <x:row r="64">
      <x:c r="A64" s="15" t="str">
        <x:v>avg_ticket_size</x:v>
      </x:c>
      <x:c r="B64" s="15" t="str">
        <x:v>value_2026_10</x:v>
      </x:c>
      <x:c r="C64" s="15" t="n">
        <x:v>1625.8891667968642</x:v>
      </x:c>
    </x:row>
    <x:row r="65">
      <x:c r="A65" s="15" t="str">
        <x:v>avg_ticket_size</x:v>
      </x:c>
      <x:c r="B65" s="15" t="str">
        <x:v>value_2026_11</x:v>
      </x:c>
      <x:c r="C65" s="15" t="n">
        <x:v>1628.6470491029738</x:v>
      </x:c>
    </x:row>
    <x:row r="66">
      <x:c r="A66" s="15" t="str">
        <x:v>avg_ticket_size</x:v>
      </x:c>
      <x:c r="B66" s="15" t="str">
        <x:v>value_2026_12</x:v>
      </x:c>
      <x:c r="C66" s="15" t="n">
        <x:v>1642.163126060061</x:v>
      </x:c>
    </x:row>
    <x:row r="67">
      <x:c r="A67" s="15" t="str">
        <x:v>end_to_end_conversionpct</x:v>
      </x:c>
      <x:c r="B67" s="15" t="str">
        <x:v>avg_2026</x:v>
      </x:c>
      <x:c r="C67" s="15" t="n">
        <x:v>0.1671454491130188</x:v>
      </x:c>
    </x:row>
    <x:row r="68">
      <x:c r="A68" s="15" t="str">
        <x:v>end_to_end_conversionpct</x:v>
      </x:c>
      <x:c r="B68" s="15" t="str">
        <x:v>value_2026_01</x:v>
      </x:c>
      <x:c r="C68" s="15" t="n">
        <x:v>0.1420737758939747</x:v>
      </x:c>
    </x:row>
    <x:row r="69">
      <x:c r="A69" s="15" t="str">
        <x:v>end_to_end_conversionpct</x:v>
      </x:c>
      <x:c r="B69" s="15" t="str">
        <x:v>value_2026_02</x:v>
      </x:c>
      <x:c r="C69" s="15" t="n">
        <x:v>0.14587514477921656</x:v>
      </x:c>
    </x:row>
    <x:row r="70">
      <x:c r="A70" s="15" t="str">
        <x:v>end_to_end_conversionpct</x:v>
      </x:c>
      <x:c r="B70" s="15" t="str">
        <x:v>value_2026_03</x:v>
      </x:c>
      <x:c r="C70" s="15" t="n">
        <x:v>0.1524935145287281</x:v>
      </x:c>
    </x:row>
    <x:row r="71">
      <x:c r="A71" s="15" t="str">
        <x:v>end_to_end_conversionpct</x:v>
      </x:c>
      <x:c r="B71" s="15" t="str">
        <x:v>value_2026_04</x:v>
      </x:c>
      <x:c r="C71" s="15" t="n">
        <x:v>0.15721370763838216</x:v>
      </x:c>
    </x:row>
    <x:row r="72">
      <x:c r="A72" s="15" t="str">
        <x:v>end_to_end_conversionpct</x:v>
      </x:c>
      <x:c r="B72" s="15" t="str">
        <x:v>value_2026_05</x:v>
      </x:c>
      <x:c r="C72" s="15" t="n">
        <x:v>0.16241269402218036</x:v>
      </x:c>
    </x:row>
    <x:row r="73">
      <x:c r="A73" s="15" t="str">
        <x:v>end_to_end_conversionpct</x:v>
      </x:c>
      <x:c r="B73" s="15" t="str">
        <x:v>value_2026_06</x:v>
      </x:c>
      <x:c r="C73" s="15" t="n">
        <x:v>0.16310042643747788</x:v>
      </x:c>
    </x:row>
    <x:row r="74">
      <x:c r="A74" s="15" t="str">
        <x:v>end_to_end_conversionpct</x:v>
      </x:c>
      <x:c r="B74" s="15" t="str">
        <x:v>value_2026_07</x:v>
      </x:c>
      <x:c r="C74" s="15" t="n">
        <x:v>0.16827807707378908</x:v>
      </x:c>
    </x:row>
    <x:row r="75">
      <x:c r="A75" s="15" t="str">
        <x:v>end_to_end_conversionpct</x:v>
      </x:c>
      <x:c r="B75" s="15" t="str">
        <x:v>value_2026_08</x:v>
      </x:c>
      <x:c r="C75" s="15" t="n">
        <x:v>0.1709764304645599</x:v>
      </x:c>
    </x:row>
    <x:row r="76">
      <x:c r="A76" s="15" t="str">
        <x:v>end_to_end_conversionpct</x:v>
      </x:c>
      <x:c r="B76" s="15" t="str">
        <x:v>value_2026_09</x:v>
      </x:c>
      <x:c r="C76" s="15" t="n">
        <x:v>0.1773085459147162</x:v>
      </x:c>
    </x:row>
    <x:row r="77">
      <x:c r="A77" s="15" t="str">
        <x:v>end_to_end_conversionpct</x:v>
      </x:c>
      <x:c r="B77" s="15" t="str">
        <x:v>value_2026_10</x:v>
      </x:c>
      <x:c r="C77" s="15" t="n">
        <x:v>0.18283398138378198</x:v>
      </x:c>
    </x:row>
    <x:row r="78">
      <x:c r="A78" s="15" t="str">
        <x:v>end_to_end_conversionpct</x:v>
      </x:c>
      <x:c r="B78" s="15" t="str">
        <x:v>value_2026_11</x:v>
      </x:c>
      <x:c r="C78" s="15" t="n">
        <x:v>0.18223288002444957</x:v>
      </x:c>
    </x:row>
    <x:row r="79">
      <x:c r="A79" s="15" t="str">
        <x:v>end_to_end_conversionpct</x:v>
      </x:c>
      <x:c r="B79" s="15" t="str">
        <x:v>value_2026_12</x:v>
      </x:c>
      <x:c r="C79" s="15" t="n">
        <x:v>0.18195083916695776</x:v>
      </x:c>
    </x:row>
    <x:row r="80">
      <x:c r="A80" s="15" t="str">
        <x:v>completedpct</x:v>
      </x:c>
      <x:c r="B80" s="15" t="str">
        <x:v>avg_2026</x:v>
      </x:c>
      <x:c r="C80" s="15" t="n">
        <x:v>0.6616086910547172</x:v>
      </x:c>
    </x:row>
    <x:row r="81">
      <x:c r="A81" s="15" t="str">
        <x:v>completedpct</x:v>
      </x:c>
      <x:c r="B81" s="15" t="str">
        <x:v>value_2026_01</x:v>
      </x:c>
      <x:c r="C81" s="15" t="n">
        <x:v>0.6370996329748989</x:v>
      </x:c>
    </x:row>
    <x:row r="82">
      <x:c r="A82" s="15" t="str">
        <x:v>completedpct</x:v>
      </x:c>
      <x:c r="B82" s="15" t="str">
        <x:v>value_2026_02</x:v>
      </x:c>
      <x:c r="C82" s="15" t="n">
        <x:v>0.640800420715394</x:v>
      </x:c>
    </x:row>
    <x:row r="83">
      <x:c r="A83" s="15" t="str">
        <x:v>completedpct</x:v>
      </x:c>
      <x:c r="B83" s="15" t="str">
        <x:v>value_2026_03</x:v>
      </x:c>
      <x:c r="C83" s="15" t="n">
        <x:v>0.64653657726293</x:v>
      </x:c>
    </x:row>
    <x:row r="84">
      <x:c r="A84" s="15" t="str">
        <x:v>completedpct</x:v>
      </x:c>
      <x:c r="B84" s="15" t="str">
        <x:v>value_2026_04</x:v>
      </x:c>
      <x:c r="C84" s="15" t="n">
        <x:v>0.6507332064162654</x:v>
      </x:c>
    </x:row>
    <x:row r="85">
      <x:c r="A85" s="15" t="str">
        <x:v>completedpct</x:v>
      </x:c>
      <x:c r="B85" s="15" t="str">
        <x:v>value_2026_05</x:v>
      </x:c>
      <x:c r="C85" s="15" t="n">
        <x:v>0.6552708263736151</x:v>
      </x:c>
    </x:row>
    <x:row r="86">
      <x:c r="A86" s="15" t="str">
        <x:v>completedpct</x:v>
      </x:c>
      <x:c r="B86" s="15" t="str">
        <x:v>value_2026_06</x:v>
      </x:c>
      <x:c r="C86" s="15" t="n">
        <x:v>0.6568292705012063</x:v>
      </x:c>
    </x:row>
    <x:row r="87">
      <x:c r="A87" s="15" t="str">
        <x:v>completedpct</x:v>
      </x:c>
      <x:c r="B87" s="15" t="str">
        <x:v>value_2026_07</x:v>
      </x:c>
      <x:c r="C87" s="15" t="n">
        <x:v>0.6612780405716864</x:v>
      </x:c>
    </x:row>
    <x:row r="88">
      <x:c r="A88" s="15" t="str">
        <x:v>completedpct</x:v>
      </x:c>
      <x:c r="B88" s="15" t="str">
        <x:v>value_2026_08</x:v>
      </x:c>
      <x:c r="C88" s="15" t="n">
        <x:v>0.6642049365985279</x:v>
      </x:c>
    </x:row>
    <x:row r="89">
      <x:c r="A89" s="15" t="str">
        <x:v>completedpct</x:v>
      </x:c>
      <x:c r="B89" s="15" t="str">
        <x:v>value_2026_09</x:v>
      </x:c>
      <x:c r="C89" s="15" t="n">
        <x:v>0.6701869849983051</x:v>
      </x:c>
    </x:row>
    <x:row r="90">
      <x:c r="A90" s="15" t="str">
        <x:v>completedpct</x:v>
      </x:c>
      <x:c r="B90" s="15" t="str">
        <x:v>value_2026_10</x:v>
      </x:c>
      <x:c r="C90" s="15" t="n">
        <x:v>0.676204246396169</x:v>
      </x:c>
    </x:row>
    <x:row r="91">
      <x:c r="A91" s="15" t="str">
        <x:v>completedpct</x:v>
      </x:c>
      <x:c r="B91" s="15" t="str">
        <x:v>value_2026_11</x:v>
      </x:c>
      <x:c r="C91" s="15" t="n">
        <x:v>0.6797745819541663</x:v>
      </x:c>
    </x:row>
    <x:row r="92">
      <x:c r="A92" s="15" t="str">
        <x:v>completedpct</x:v>
      </x:c>
      <x:c r="B92" s="15" t="str">
        <x:v>value_2026_12</x:v>
      </x:c>
      <x:c r="C92" s="15" t="n">
        <x:v>0.6805274088776366</x:v>
      </x:c>
    </x:row>
    <x:row r="93">
      <x:c r="A93" s="15" t="str">
        <x:v>approvalpct</x:v>
      </x:c>
      <x:c r="B93" s="15" t="str">
        <x:v>avg_2026</x:v>
      </x:c>
      <x:c r="C93" s="15" t="n">
        <x:v>0.2804510846889207</x:v>
      </x:c>
    </x:row>
    <x:row r="94">
      <x:c r="A94" s="15" t="str">
        <x:v>approvalpct</x:v>
      </x:c>
      <x:c r="B94" s="15" t="str">
        <x:v>value_2026_01</x:v>
      </x:c>
      <x:c r="C94" s="15" t="n">
        <x:v>0.24823611612873847</x:v>
      </x:c>
    </x:row>
    <x:row r="95">
      <x:c r="A95" s="15" t="str">
        <x:v>approvalpct</x:v>
      </x:c>
      <x:c r="B95" s="15" t="str">
        <x:v>value_2026_02</x:v>
      </x:c>
      <x:c r="C95" s="15" t="n">
        <x:v>0.25337445106750733</x:v>
      </x:c>
    </x:row>
    <x:row r="96">
      <x:c r="A96" s="15" t="str">
        <x:v>approvalpct</x:v>
      </x:c>
      <x:c r="B96" s="15" t="str">
        <x:v>value_2026_03</x:v>
      </x:c>
      <x:c r="C96" s="15" t="n">
        <x:v>0.26210162861183306</x:v>
      </x:c>
    </x:row>
    <x:row r="97">
      <x:c r="A97" s="15" t="str">
        <x:v>approvalpct</x:v>
      </x:c>
      <x:c r="B97" s="15" t="str">
        <x:v>value_2026_04</x:v>
      </x:c>
      <x:c r="C97" s="15" t="n">
        <x:v>0.2682210577687269</x:v>
      </x:c>
    </x:row>
    <x:row r="98">
      <x:c r="A98" s="15" t="str">
        <x:v>approvalpct</x:v>
      </x:c>
      <x:c r="B98" s="15" t="str">
        <x:v>value_2026_05</x:v>
      </x:c>
      <x:c r="C98" s="15" t="n">
        <x:v>0.2750192748324733</x:v>
      </x:c>
    </x:row>
    <x:row r="99">
      <x:c r="A99" s="15" t="str">
        <x:v>approvalpct</x:v>
      </x:c>
      <x:c r="B99" s="15" t="str">
        <x:v>value_2026_06</x:v>
      </x:c>
      <x:c r="C99" s="15" t="n">
        <x:v>0.27611797763665785</x:v>
      </x:c>
    </x:row>
    <x:row r="100">
      <x:c r="A100" s="15" t="str">
        <x:v>approvalpct</x:v>
      </x:c>
      <x:c r="B100" s="15" t="str">
        <x:v>value_2026_07</x:v>
      </x:c>
      <x:c r="C100" s="15" t="n">
        <x:v>0.28273082160443075</x:v>
      </x:c>
    </x:row>
    <x:row r="101">
      <x:c r="A101" s="15" t="str">
        <x:v>approvalpct</x:v>
      </x:c>
      <x:c r="B101" s="15" t="str">
        <x:v>value_2026_08</x:v>
      </x:c>
      <x:c r="C101" s="15" t="n">
        <x:v>0.28626744685685745</x:v>
      </x:c>
    </x:row>
    <x:row r="102">
      <x:c r="A102" s="15" t="str">
        <x:v>approvalpct</x:v>
      </x:c>
      <x:c r="B102" s="15" t="str">
        <x:v>value_2026_09</x:v>
      </x:c>
      <x:c r="C102" s="15" t="n">
        <x:v>0.2937675901322195</x:v>
      </x:c>
    </x:row>
    <x:row r="103">
      <x:c r="A103" s="15" t="str">
        <x:v>approvalpct</x:v>
      </x:c>
      <x:c r="B103" s="15" t="str">
        <x:v>value_2026_10</x:v>
      </x:c>
      <x:c r="C103" s="15" t="n">
        <x:v>0.2995955242055551</x:v>
      </x:c>
    </x:row>
    <x:row r="104">
      <x:c r="A104" s="15" t="str">
        <x:v>approvalpct</x:v>
      </x:c>
      <x:c r="B104" s="15" t="str">
        <x:v>value_2026_11</x:v>
      </x:c>
      <x:c r="C104" s="15" t="n">
        <x:v>0.29693007095787904</x:v>
      </x:c>
    </x:row>
    <x:row r="105">
      <x:c r="A105" s="15" t="str">
        <x:v>approvalpct</x:v>
      </x:c>
      <x:c r="B105" s="15" t="str">
        <x:v>value_2026_12</x:v>
      </x:c>
      <x:c r="C105" s="15" t="n">
        <x:v>0.2959881753849012</x:v>
      </x:c>
    </x:row>
    <x:row r="106">
      <x:c r="A106" s="15" t="str">
        <x:v>fundedpct</x:v>
      </x:c>
      <x:c r="B106" s="15" t="str">
        <x:v>avg_2026</x:v>
      </x:c>
      <x:c r="C106" s="15" t="n">
        <x:v>0.9008162893558912</x:v>
      </x:c>
    </x:row>
    <x:row r="107">
      <x:c r="A107" s="15" t="str">
        <x:v>fundedpct</x:v>
      </x:c>
      <x:c r="B107" s="15" t="str">
        <x:v>value_2026_01</x:v>
      </x:c>
      <x:c r="C107" s="15" t="n">
        <x:v>0.8983417840831782</x:v>
      </x:c>
    </x:row>
    <x:row r="108">
      <x:c r="A108" s="15" t="str">
        <x:v>fundedpct</x:v>
      </x:c>
      <x:c r="B108" s="15" t="str">
        <x:v>value_2026_02</x:v>
      </x:c>
      <x:c r="C108" s="15" t="n">
        <x:v>0.8984536783497237</x:v>
      </x:c>
    </x:row>
    <x:row r="109">
      <x:c r="A109" s="15" t="str">
        <x:v>fundedpct</x:v>
      </x:c>
      <x:c r="B109" s="15" t="str">
        <x:v>value_2026_03</x:v>
      </x:c>
      <x:c r="C109" s="15" t="n">
        <x:v>0.8998881946510344</x:v>
      </x:c>
    </x:row>
    <x:row r="110">
      <x:c r="A110" s="15" t="str">
        <x:v>fundedpct</x:v>
      </x:c>
      <x:c r="B110" s="15" t="str">
        <x:v>value_2026_04</x:v>
      </x:c>
      <x:c r="C110" s="15" t="n">
        <x:v>0.9007298804199887</x:v>
      </x:c>
    </x:row>
    <x:row r="111">
      <x:c r="A111" s="15" t="str">
        <x:v>fundedpct</x:v>
      </x:c>
      <x:c r="B111" s="15" t="str">
        <x:v>value_2026_05</x:v>
      </x:c>
      <x:c r="C111" s="15" t="n">
        <x:v>0.9012307568339297</x:v>
      </x:c>
    </x:row>
    <x:row r="112">
      <x:c r="A112" s="15" t="str">
        <x:v>fundedpct</x:v>
      </x:c>
      <x:c r="B112" s="15" t="str">
        <x:v>value_2026_06</x:v>
      </x:c>
      <x:c r="C112" s="15" t="n">
        <x:v>0.8993068771451128</x:v>
      </x:c>
    </x:row>
    <x:row r="113">
      <x:c r="A113" s="15" t="str">
        <x:v>fundedpct</x:v>
      </x:c>
      <x:c r="B113" s="15" t="str">
        <x:v>value_2026_07</x:v>
      </x:c>
      <x:c r="C113" s="15" t="n">
        <x:v>0.9000575605152513</x:v>
      </x:c>
    </x:row>
    <x:row r="114">
      <x:c r="A114" s="15" t="str">
        <x:v>fundedpct</x:v>
      </x:c>
      <x:c r="B114" s="15" t="str">
        <x:v>value_2026_08</x:v>
      </x:c>
      <x:c r="C114" s="15" t="n">
        <x:v>0.8992121826643835</x:v>
      </x:c>
    </x:row>
    <x:row r="115">
      <x:c r="A115" s="15" t="str">
        <x:v>fundedpct</x:v>
      </x:c>
      <x:c r="B115" s="15" t="str">
        <x:v>value_2026_09</x:v>
      </x:c>
      <x:c r="C115" s="15" t="n">
        <x:v>0.9005955526873112</x:v>
      </x:c>
    </x:row>
    <x:row r="116">
      <x:c r="A116" s="15" t="str">
        <x:v>fundedpct</x:v>
      </x:c>
      <x:c r="B116" s="15" t="str">
        <x:v>value_2026_10</x:v>
      </x:c>
      <x:c r="C116" s="15" t="n">
        <x:v>0.9024927086783339</x:v>
      </x:c>
    </x:row>
    <x:row r="117">
      <x:c r="A117" s="15" t="str">
        <x:v>fundedpct</x:v>
      </x:c>
      <x:c r="B117" s="15" t="str">
        <x:v>value_2026_11</x:v>
      </x:c>
      <x:c r="C117" s="15" t="n">
        <x:v>0.9028334375195233</x:v>
      </x:c>
    </x:row>
    <x:row r="118">
      <x:c r="A118" s="15" t="str">
        <x:v>fundedpct</x:v>
      </x:c>
      <x:c r="B118" s="15" t="str">
        <x:v>value_2026_12</x:v>
      </x:c>
      <x:c r="C118" s="15" t="n">
        <x:v>0.9033043047684658</x:v>
      </x:c>
    </x:row>
    <x:row r="119">
      <x:c r="A119" s="15" t="str">
        <x:v>variable_cost</x:v>
      </x:c>
      <x:c r="B119" s="15" t="str">
        <x:v>avg_2026</x:v>
      </x:c>
      <x:c r="C119" s="15" t="n">
        <x:v>717121.705246146</x:v>
      </x:c>
    </x:row>
    <x:row r="120">
      <x:c r="A120" s="15" t="str">
        <x:v>variable_cost</x:v>
      </x:c>
      <x:c r="B120" s="15" t="str">
        <x:v>value_2026_01</x:v>
      </x:c>
      <x:c r="C120" s="15" t="n">
        <x:v>508132.05784614175</x:v>
      </x:c>
    </x:row>
    <x:row r="121">
      <x:c r="A121" s="15" t="str">
        <x:v>variable_cost</x:v>
      </x:c>
      <x:c r="B121" s="15" t="str">
        <x:v>value_2026_02</x:v>
      </x:c>
      <x:c r="C121" s="15" t="n">
        <x:v>546362.7503014072</x:v>
      </x:c>
    </x:row>
    <x:row r="122">
      <x:c r="A122" s="15" t="str">
        <x:v>variable_cost</x:v>
      </x:c>
      <x:c r="B122" s="15" t="str">
        <x:v>value_2026_03</x:v>
      </x:c>
      <x:c r="C122" s="15" t="n">
        <x:v>622129.5394439558</x:v>
      </x:c>
    </x:row>
    <x:row r="123">
      <x:c r="A123" s="15" t="str">
        <x:v>variable_cost</x:v>
      </x:c>
      <x:c r="B123" s="15" t="str">
        <x:v>value_2026_04</x:v>
      </x:c>
      <x:c r="C123" s="15" t="n">
        <x:v>651538.6984907767</x:v>
      </x:c>
    </x:row>
    <x:row r="124">
      <x:c r="A124" s="15" t="str">
        <x:v>variable_cost</x:v>
      </x:c>
      <x:c r="B124" s="15" t="str">
        <x:v>value_2026_05</x:v>
      </x:c>
      <x:c r="C124" s="15" t="n">
        <x:v>731382.3295310976</x:v>
      </x:c>
    </x:row>
    <x:row r="125">
      <x:c r="A125" s="15" t="str">
        <x:v>variable_cost</x:v>
      </x:c>
      <x:c r="B125" s="15" t="str">
        <x:v>value_2026_06</x:v>
      </x:c>
      <x:c r="C125" s="15" t="n">
        <x:v>745786.9968997217</x:v>
      </x:c>
    </x:row>
    <x:row r="126">
      <x:c r="A126" s="15" t="str">
        <x:v>variable_cost</x:v>
      </x:c>
      <x:c r="B126" s="15" t="str">
        <x:v>value_2026_07</x:v>
      </x:c>
      <x:c r="C126" s="15" t="n">
        <x:v>735179.0048546928</x:v>
      </x:c>
    </x:row>
    <x:row r="127">
      <x:c r="A127" s="15" t="str">
        <x:v>variable_cost</x:v>
      </x:c>
      <x:c r="B127" s="15" t="str">
        <x:v>value_2026_08</x:v>
      </x:c>
      <x:c r="C127" s="15" t="n">
        <x:v>693006.7093663256</x:v>
      </x:c>
    </x:row>
    <x:row r="128">
      <x:c r="A128" s="15" t="str">
        <x:v>variable_cost</x:v>
      </x:c>
      <x:c r="B128" s="15" t="str">
        <x:v>value_2026_09</x:v>
      </x:c>
      <x:c r="C128" s="15" t="n">
        <x:v>742482.0512762145</x:v>
      </x:c>
    </x:row>
    <x:row r="129">
      <x:c r="A129" s="15" t="str">
        <x:v>variable_cost</x:v>
      </x:c>
      <x:c r="B129" s="15" t="str">
        <x:v>value_2026_10</x:v>
      </x:c>
      <x:c r="C129" s="15" t="n">
        <x:v>827120.6804376341</x:v>
      </x:c>
    </x:row>
    <x:row r="130">
      <x:c r="A130" s="15" t="str">
        <x:v>variable_cost</x:v>
      </x:c>
      <x:c r="B130" s="15" t="str">
        <x:v>value_2026_11</x:v>
      </x:c>
      <x:c r="C130" s="15" t="n">
        <x:v>894965.2582733098</x:v>
      </x:c>
    </x:row>
    <x:row r="131">
      <x:c r="A131" s="15" t="str">
        <x:v>variable_cost</x:v>
      </x:c>
      <x:c r="B131" s="15" t="str">
        <x:v>value_2026_12</x:v>
      </x:c>
      <x:c r="C131" s="15" t="n">
        <x:v>907374.3862324744</x:v>
      </x:c>
    </x:row>
    <x:row r="132">
      <x:c r="A132" s="15" t="str">
        <x:v>cpl_variable_cost</x:v>
      </x:c>
      <x:c r="B132" s="15" t="str">
        <x:v>avg_2026</x:v>
      </x:c>
      <x:c r="C132" s="15" t="n">
        <x:v>10.936660328601077</x:v>
      </x:c>
    </x:row>
    <x:row r="133">
      <x:c r="A133" s="15" t="str">
        <x:v>cpl_variable_cost</x:v>
      </x:c>
      <x:c r="B133" s="15" t="str">
        <x:v>value_2026_01</x:v>
      </x:c>
      <x:c r="C133" s="15" t="n">
        <x:v>10.276666791576758</x:v>
      </x:c>
    </x:row>
    <x:row r="134">
      <x:c r="A134" s="15" t="str">
        <x:v>cpl_variable_cost</x:v>
      </x:c>
      <x:c r="B134" s="15" t="str">
        <x:v>value_2026_02</x:v>
      </x:c>
      <x:c r="C134" s="15" t="n">
        <x:v>10.276666791576758</x:v>
      </x:c>
    </x:row>
    <x:row r="135">
      <x:c r="A135" s="15" t="str">
        <x:v>cpl_variable_cost</x:v>
      </x:c>
      <x:c r="B135" s="15" t="str">
        <x:v>value_2026_03</x:v>
      </x:c>
      <x:c r="C135" s="15" t="n">
        <x:v>10.276666791576758</x:v>
      </x:c>
    </x:row>
    <x:row r="136">
      <x:c r="A136" s="15" t="str">
        <x:v>cpl_variable_cost</x:v>
      </x:c>
      <x:c r="B136" s="15" t="str">
        <x:v>value_2026_04</x:v>
      </x:c>
      <x:c r="C136" s="15" t="n">
        <x:v>10.276666791576758</x:v>
      </x:c>
    </x:row>
    <x:row r="137">
      <x:c r="A137" s="15" t="str">
        <x:v>cpl_variable_cost</x:v>
      </x:c>
      <x:c r="B137" s="15" t="str">
        <x:v>value_2026_05</x:v>
      </x:c>
      <x:c r="C137" s="15" t="n">
        <x:v>11</x:v>
      </x:c>
    </x:row>
    <x:row r="138">
      <x:c r="A138" s="15" t="str">
        <x:v>cpl_variable_cost</x:v>
      </x:c>
      <x:c r="B138" s="15" t="str">
        <x:v>value_2026_06</x:v>
      </x:c>
      <x:c r="C138" s="15" t="n">
        <x:v>11</x:v>
      </x:c>
    </x:row>
    <x:row r="139">
      <x:c r="A139" s="15" t="str">
        <x:v>cpl_variable_cost</x:v>
      </x:c>
      <x:c r="B139" s="15" t="str">
        <x:v>value_2026_07</x:v>
      </x:c>
      <x:c r="C139" s="15" t="n">
        <x:v>11</x:v>
      </x:c>
    </x:row>
    <x:row r="140">
      <x:c r="A140" s="15" t="str">
        <x:v>cpl_variable_cost</x:v>
      </x:c>
      <x:c r="B140" s="15" t="str">
        <x:v>value_2026_08</x:v>
      </x:c>
      <x:c r="C140" s="15" t="n">
        <x:v>11</x:v>
      </x:c>
    </x:row>
    <x:row r="141">
      <x:c r="A141" s="15" t="str">
        <x:v>cpl_variable_cost</x:v>
      </x:c>
      <x:c r="B141" s="15" t="str">
        <x:v>value_2026_09</x:v>
      </x:c>
      <x:c r="C141" s="15" t="n">
        <x:v>11</x:v>
      </x:c>
    </x:row>
    <x:row r="142">
      <x:c r="A142" s="15" t="str">
        <x:v>cpl_variable_cost</x:v>
      </x:c>
      <x:c r="B142" s="15" t="str">
        <x:v>value_2026_10</x:v>
      </x:c>
      <x:c r="C142" s="15" t="n">
        <x:v>11</x:v>
      </x:c>
    </x:row>
    <x:row r="143">
      <x:c r="A143" s="15" t="str">
        <x:v>cpl_variable_cost</x:v>
      </x:c>
      <x:c r="B143" s="15" t="str">
        <x:v>value_2026_11</x:v>
      </x:c>
      <x:c r="C143" s="15" t="n">
        <x:v>12</x:v>
      </x:c>
    </x:row>
    <x:row r="144">
      <x:c r="A144" s="15" t="str">
        <x:v>cpl_variable_cost</x:v>
      </x:c>
      <x:c r="B144" s="15" t="str">
        <x:v>value_2026_12</x:v>
      </x:c>
      <x:c r="C144" s="15" t="n">
        <x:v>11.5</x:v>
      </x:c>
    </x:row>
  </x:sheetData>
  <x:pageMargins left="0.7" right="0.7" top="0.75" bottom="0.75" header="0.3" footer="0.3"/>
  <x:tableParts count="1">
    <x:tablePart xmlns:r="http://schemas.openxmlformats.org/officeDocument/2006/relationships" r:id="R822f400f9317448f"/>
  </x:tableParts>
</x:worksheet>
</file>

<file path=xl/worksheets/sheet1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32" hidden="0" customWidth="1"/>
    <x:col min="9" max="9" width="14" hidden="0" customWidth="1"/>
    <x:col min="10" max="10" width="32" hidden="0" customWidth="1"/>
  </x:cols>
  <x:sheetData>
    <x:row r="1">
      <x:c r="A1" s="9" t="str">
        <x:v>表名</x:v>
      </x:c>
      <x:c r="B1" s="9" t="str">
        <x:v>字段</x:v>
      </x:c>
      <x:c r="C1" s="9" t="str">
        <x:v>中文意思</x:v>
      </x:c>
      <x:c r="D1" s="9" t="str">
        <x:v>数据类型</x:v>
      </x:c>
      <x:c r="E1" s="9" t="str">
        <x:v>字段类型</x:v>
      </x:c>
      <x:c r="F1" s="9" t="str">
        <x:v>是否必填</x:v>
      </x:c>
      <x:c r="G1" s="9" t="str">
        <x:v>键角色</x:v>
      </x:c>
      <x:c r="H1" s="9" t="str">
        <x:v>来源字段/配置</x:v>
      </x:c>
      <x:c r="I1" s="9" t="str">
        <x:v>HTML映射</x:v>
      </x:c>
      <x:c r="J1" s="9" t="str">
        <x:v>备注</x:v>
      </x:c>
    </x:row>
    <x:row r="2">
      <x:c r="A2" s="15" t="str">
        <x:v>snapshot_meta</x:v>
      </x:c>
      <x:c r="B2" s="15" t="str">
        <x:v>key</x:v>
      </x:c>
      <x:c r="C2" s="15" t="str">
        <x:v>元数据键</x:v>
      </x:c>
      <x:c r="D2" s="15" t="str">
        <x:v>文本</x:v>
      </x:c>
      <x:c r="E2" s="15" t="str">
        <x:v>原始字段</x:v>
      </x:c>
      <x:c r="F2" s="15" t="str">
        <x:v>是</x:v>
      </x:c>
      <x:c r="G2" s="15" t="str">
        <x:v>主键组成</x:v>
      </x:c>
      <x:c r="H2" s="15" t="str">
        <x:v>配置+业务确认</x:v>
      </x:c>
      <x:c r="I2" s="15" t="str">
        <x:v>meta.*</x:v>
      </x:c>
      <x:c r="J2" s="15" t="str"/>
    </x:row>
    <x:row r="3">
      <x:c r="A3" s="15" t="str">
        <x:v>snapshot_meta</x:v>
      </x:c>
      <x:c r="B3" s="15" t="str">
        <x:v>value</x:v>
      </x:c>
      <x:c r="C3" s="15" t="str">
        <x:v>元数据值</x:v>
      </x:c>
      <x:c r="D3" s="15" t="str">
        <x:v>文本</x:v>
      </x:c>
      <x:c r="E3" s="15" t="str">
        <x:v>原始字段</x:v>
      </x:c>
      <x:c r="F3" s="15" t="str">
        <x:v>是</x:v>
      </x:c>
      <x:c r="G3" s="15" t="str">
        <x:v>普通字段</x:v>
      </x:c>
      <x:c r="H3" s="15" t="str">
        <x:v>配置+业务确认</x:v>
      </x:c>
      <x:c r="I3" s="15" t="str">
        <x:v>meta.*</x:v>
      </x:c>
      <x:c r="J3" s="15" t="str"/>
    </x:row>
    <x:row r="4">
      <x:c r="A4" s="15" t="str">
        <x:v>snapshot_meta</x:v>
      </x:c>
      <x:c r="B4" s="15" t="str">
        <x:v>required</x:v>
      </x:c>
      <x:c r="C4" s="15" t="str">
        <x:v>是否必填</x:v>
      </x:c>
      <x:c r="D4" s="15" t="str">
        <x:v>布尔</x:v>
      </x:c>
      <x:c r="E4" s="15" t="str">
        <x:v>原始字段</x:v>
      </x:c>
      <x:c r="F4" s="15" t="str">
        <x:v>是</x:v>
      </x:c>
      <x:c r="G4" s="15" t="str">
        <x:v>普通字段</x:v>
      </x:c>
      <x:c r="H4" s="15" t="str">
        <x:v>配置+业务确认</x:v>
      </x:c>
      <x:c r="I4" s="15" t="str">
        <x:v>meta.*</x:v>
      </x:c>
      <x:c r="J4" s="15" t="str"/>
    </x:row>
    <x:row r="5">
      <x:c r="A5" s="15" t="str">
        <x:v>snapshot_meta</x:v>
      </x:c>
      <x:c r="B5" s="15" t="str">
        <x:v>source</x:v>
      </x:c>
      <x:c r="C5" s="15" t="str">
        <x:v>来源</x:v>
      </x:c>
      <x:c r="D5" s="15" t="str">
        <x:v>文本</x:v>
      </x:c>
      <x:c r="E5" s="15" t="str">
        <x:v>原始字段</x:v>
      </x:c>
      <x:c r="F5" s="15" t="str">
        <x:v>是</x:v>
      </x:c>
      <x:c r="G5" s="15" t="str">
        <x:v>普通字段</x:v>
      </x:c>
      <x:c r="H5" s="15" t="str">
        <x:v>配置+业务确认</x:v>
      </x:c>
      <x:c r="I5" s="15" t="str">
        <x:v>meta.*</x:v>
      </x:c>
      <x:c r="J5" s="15" t="str"/>
    </x:row>
    <x:row r="6">
      <x:c r="A6" s="15" t="str">
        <x:v>snapshot_meta</x:v>
      </x:c>
      <x:c r="B6" s="15" t="str">
        <x:v>description</x:v>
      </x:c>
      <x:c r="C6" s="15" t="str">
        <x:v>说明</x:v>
      </x:c>
      <x:c r="D6" s="15" t="str">
        <x:v>文本</x:v>
      </x:c>
      <x:c r="E6" s="15" t="str">
        <x:v>原始字段</x:v>
      </x:c>
      <x:c r="F6" s="15" t="str">
        <x:v>是</x:v>
      </x:c>
      <x:c r="G6" s="15" t="str">
        <x:v>普通字段</x:v>
      </x:c>
      <x:c r="H6" s="15" t="str">
        <x:v>配置+业务确认</x:v>
      </x:c>
      <x:c r="I6" s="15" t="str">
        <x:v>meta.*</x:v>
      </x:c>
      <x:c r="J6" s="15" t="str"/>
    </x:row>
    <x:row r="7">
      <x:c r="A7" s="15" t="str">
        <x:v>channel_mapping</x:v>
      </x:c>
      <x:c r="B7" s="15" t="str">
        <x:v>monthlyChannel</x:v>
      </x:c>
      <x:c r="C7" s="15" t="str">
        <x:v>月报层渠道</x:v>
      </x:c>
      <x:c r="D7" s="15" t="str">
        <x:v>文本</x:v>
      </x:c>
      <x:c r="E7" s="15" t="str">
        <x:v>原始字段</x:v>
      </x:c>
      <x:c r="F7" s="15" t="str">
        <x:v>否</x:v>
      </x:c>
      <x:c r="G7" s="15" t="str">
        <x:v>主键组成</x:v>
      </x:c>
      <x:c r="H7" s="15" t="str">
        <x:v>口径确认</x:v>
      </x:c>
      <x:c r="I7" s="15" t="str">
        <x:v>跨层分析辅助</x:v>
      </x:c>
      <x:c r="J7" s="15" t="str"/>
    </x:row>
    <x:row r="8">
      <x:c r="A8" s="15" t="str">
        <x:v>channel_mapping</x:v>
      </x:c>
      <x:c r="B8" s="15" t="str">
        <x:v>detailChannel</x:v>
      </x:c>
      <x:c r="C8" s="15" t="str">
        <x:v>明细层渠道</x:v>
      </x:c>
      <x:c r="D8" s="15" t="str">
        <x:v>文本</x:v>
      </x:c>
      <x:c r="E8" s="15" t="str">
        <x:v>原始字段</x:v>
      </x:c>
      <x:c r="F8" s="15" t="str">
        <x:v>否</x:v>
      </x:c>
      <x:c r="G8" s="15" t="str">
        <x:v>主键组成</x:v>
      </x:c>
      <x:c r="H8" s="15" t="str">
        <x:v>口径确认</x:v>
      </x:c>
      <x:c r="I8" s="15" t="str">
        <x:v>跨层分析辅助</x:v>
      </x:c>
      <x:c r="J8" s="15" t="str"/>
    </x:row>
    <x:row r="9">
      <x:c r="A9" s="15" t="str">
        <x:v>channel_mapping</x:v>
      </x:c>
      <x:c r="B9" s="15" t="str">
        <x:v>mappingType</x:v>
      </x:c>
      <x:c r="C9" s="15" t="str">
        <x:v>映射类型</x:v>
      </x:c>
      <x:c r="D9" s="15" t="str">
        <x:v>文本</x:v>
      </x:c>
      <x:c r="E9" s="15" t="str">
        <x:v>原始字段</x:v>
      </x:c>
      <x:c r="F9" s="15" t="str">
        <x:v>是</x:v>
      </x:c>
      <x:c r="G9" s="15" t="str">
        <x:v>普通字段</x:v>
      </x:c>
      <x:c r="H9" s="15" t="str">
        <x:v>口径确认</x:v>
      </x:c>
      <x:c r="I9" s="15" t="str">
        <x:v>跨层分析辅助</x:v>
      </x:c>
      <x:c r="J9" s="15" t="str"/>
    </x:row>
    <x:row r="10">
      <x:c r="A10" s="15" t="str">
        <x:v>channel_mapping</x:v>
      </x:c>
      <x:c r="B10" s="15" t="str">
        <x:v>status</x:v>
      </x:c>
      <x:c r="C10" s="15" t="str">
        <x:v>状态</x:v>
      </x:c>
      <x:c r="D10" s="15" t="str">
        <x:v>文本</x:v>
      </x:c>
      <x:c r="E10" s="15" t="str">
        <x:v>原始字段</x:v>
      </x:c>
      <x:c r="F10" s="15" t="str">
        <x:v>是</x:v>
      </x:c>
      <x:c r="G10" s="15" t="str">
        <x:v>普通字段</x:v>
      </x:c>
      <x:c r="H10" s="15" t="str">
        <x:v>口径确认</x:v>
      </x:c>
      <x:c r="I10" s="15" t="str">
        <x:v>跨层分析辅助</x:v>
      </x:c>
      <x:c r="J10" s="15" t="str"/>
    </x:row>
    <x:row r="11">
      <x:c r="A11" s="15" t="str">
        <x:v>channel_mapping</x:v>
      </x:c>
      <x:c r="B11" s="15" t="str">
        <x:v>rule</x:v>
      </x:c>
      <x:c r="C11" s="15" t="str">
        <x:v>映射规则</x:v>
      </x:c>
      <x:c r="D11" s="15" t="str">
        <x:v>文本</x:v>
      </x:c>
      <x:c r="E11" s="15" t="str">
        <x:v>原始字段</x:v>
      </x:c>
      <x:c r="F11" s="15" t="str">
        <x:v>是</x:v>
      </x:c>
      <x:c r="G11" s="15" t="str">
        <x:v>普通字段</x:v>
      </x:c>
      <x:c r="H11" s="15" t="str">
        <x:v>口径确认</x:v>
      </x:c>
      <x:c r="I11" s="15" t="str">
        <x:v>跨层分析辅助</x:v>
      </x:c>
      <x:c r="J11" s="15" t="str"/>
    </x:row>
    <x:row r="12">
      <x:c r="A12" s="15" t="str">
        <x:v>channel_mapping</x:v>
      </x:c>
      <x:c r="B12" s="15" t="str">
        <x:v>notes</x:v>
      </x:c>
      <x:c r="C12" s="15" t="str">
        <x:v>备注</x:v>
      </x:c>
      <x:c r="D12" s="15" t="str">
        <x:v>文本</x:v>
      </x:c>
      <x:c r="E12" s="15" t="str">
        <x:v>原始字段</x:v>
      </x:c>
      <x:c r="F12" s="15" t="str">
        <x:v>否</x:v>
      </x:c>
      <x:c r="G12" s="15" t="str">
        <x:v>普通字段</x:v>
      </x:c>
      <x:c r="H12" s="15" t="str">
        <x:v>口径确认</x:v>
      </x:c>
      <x:c r="I12" s="15" t="str">
        <x:v>跨层分析辅助</x:v>
      </x:c>
      <x:c r="J12" s="15" t="str"/>
    </x:row>
    <x:row r="13">
      <x:c r="A13" s="15" t="str">
        <x:v>monthly_channel_metrics</x:v>
      </x:c>
      <x:c r="B13" s="15" t="str">
        <x:v>month</x:v>
      </x:c>
      <x:c r="C13" s="15" t="str">
        <x:v>月份</x:v>
      </x:c>
      <x:c r="D13" s="15" t="str">
        <x:v>文本</x:v>
      </x:c>
      <x:c r="E13" s="15" t="str">
        <x:v>原始字段</x:v>
      </x:c>
      <x:c r="F13" s="15" t="str">
        <x:v>是</x:v>
      </x:c>
      <x:c r="G13" s="15" t="str">
        <x:v>主键组成</x:v>
      </x:c>
      <x:c r="H13" s="15" t="str">
        <x:v>01/02/03/04/13.month</x:v>
      </x:c>
      <x:c r="I13" s="15" t="str">
        <x:v>加工分析；月度JSON仍由01~05生成</x:v>
      </x:c>
      <x:c r="J13" s="15" t="str"/>
    </x:row>
    <x:row r="14">
      <x:c r="A14" s="15" t="str">
        <x:v>monthly_channel_metrics</x:v>
      </x:c>
      <x:c r="B14" s="15" t="str">
        <x:v>channel</x:v>
      </x:c>
      <x:c r="C14" s="15" t="str">
        <x:v>渠道</x:v>
      </x:c>
      <x:c r="D14" s="15" t="str">
        <x:v>文本</x:v>
      </x:c>
      <x:c r="E14" s="15" t="str">
        <x:v>原始字段</x:v>
      </x:c>
      <x:c r="F14" s="15" t="str">
        <x:v>是</x:v>
      </x:c>
      <x:c r="G14" s="15" t="str">
        <x:v>主键组成</x:v>
      </x:c>
      <x:c r="H14" s="15" t="str">
        <x:v>01/02/03/04/13.channel</x:v>
      </x:c>
      <x:c r="I14" s="15" t="str">
        <x:v>加工分析；月度JSON仍由01~05生成</x:v>
      </x:c>
      <x:c r="J14" s="15" t="str"/>
    </x:row>
    <x:row r="15">
      <x:c r="A15" s="15" t="str">
        <x:v>monthly_channel_metrics</x:v>
      </x:c>
      <x:c r="B15" s="15" t="str">
        <x:v>leads</x:v>
      </x:c>
      <x:c r="C15" s="15" t="str">
        <x:v>线索量</x:v>
      </x:c>
      <x:c r="D15" s="15" t="str">
        <x:v>整数</x:v>
      </x:c>
      <x:c r="E15" s="15" t="str">
        <x:v>原始字段</x:v>
      </x:c>
      <x:c r="F15" s="15" t="str">
        <x:v>否</x:v>
      </x:c>
      <x:c r="G15" s="15" t="str">
        <x:v>普通字段</x:v>
      </x:c>
      <x:c r="H15" s="15" t="str">
        <x:v>01/02/03/04/13.leads</x:v>
      </x:c>
      <x:c r="I15" s="15" t="str">
        <x:v>加工分析；月度JSON仍由01~05生成</x:v>
      </x:c>
      <x:c r="J15" s="15" t="str"/>
    </x:row>
    <x:row r="16">
      <x:c r="A16" s="15" t="str">
        <x:v>monthly_channel_metrics</x:v>
      </x:c>
      <x:c r="B16" s="15" t="str">
        <x:v>funded</x:v>
      </x:c>
      <x:c r="C16" s="15" t="str">
        <x:v>放款笔数</x:v>
      </x:c>
      <x:c r="D16" s="15" t="str">
        <x:v>整数</x:v>
      </x:c>
      <x:c r="E16" s="15" t="str">
        <x:v>原始字段</x:v>
      </x:c>
      <x:c r="F16" s="15" t="str">
        <x:v>否</x:v>
      </x:c>
      <x:c r="G16" s="15" t="str">
        <x:v>普通字段</x:v>
      </x:c>
      <x:c r="H16" s="15" t="str">
        <x:v>01/02/03/04/13.funded</x:v>
      </x:c>
      <x:c r="I16" s="15" t="str">
        <x:v>加工分析；月度JSON仍由01~05生成</x:v>
      </x:c>
      <x:c r="J16" s="15" t="str"/>
    </x:row>
    <x:row r="17">
      <x:c r="A17" s="15" t="str">
        <x:v>monthly_channel_metrics</x:v>
      </x:c>
      <x:c r="B17" s="15" t="str">
        <x:v>cpfl</x:v>
      </x:c>
      <x:c r="C17" s="15" t="str">
        <x:v>单笔放款成本</x:v>
      </x:c>
      <x:c r="D17" s="15" t="str">
        <x:v>数值</x:v>
      </x:c>
      <x:c r="E17" s="15" t="str">
        <x:v>原始字段</x:v>
      </x:c>
      <x:c r="F17" s="15" t="str">
        <x:v>否</x:v>
      </x:c>
      <x:c r="G17" s="15" t="str">
        <x:v>普通字段</x:v>
      </x:c>
      <x:c r="H17" s="15" t="str">
        <x:v>01/02/03/04/13.cpfl</x:v>
      </x:c>
      <x:c r="I17" s="15" t="str">
        <x:v>加工分析；月度JSON仍由01~05生成</x:v>
      </x:c>
      <x:c r="J17" s="15" t="str"/>
    </x:row>
    <x:row r="18">
      <x:c r="A18" s="15" t="str">
        <x:v>monthly_channel_metrics</x:v>
      </x:c>
      <x:c r="B18" s="15" t="str">
        <x:v>green_pct</x:v>
      </x:c>
      <x:c r="C18" s="15" t="str">
        <x:v>绿色占比</x:v>
      </x:c>
      <x:c r="D18" s="15" t="str">
        <x:v>数值</x:v>
      </x:c>
      <x:c r="E18" s="15" t="str">
        <x:v>原始字段</x:v>
      </x:c>
      <x:c r="F18" s="15" t="str">
        <x:v>否</x:v>
      </x:c>
      <x:c r="G18" s="15" t="str">
        <x:v>普通字段</x:v>
      </x:c>
      <x:c r="H18" s="15" t="str">
        <x:v>01/02/03/04/13.green_pct</x:v>
      </x:c>
      <x:c r="I18" s="15" t="str">
        <x:v>加工分析；月度JSON仍由01~05生成</x:v>
      </x:c>
      <x:c r="J18" s="15" t="str"/>
    </x:row>
    <x:row r="19">
      <x:c r="A19" s="15" t="str">
        <x:v>monthly_channel_metrics</x:v>
      </x:c>
      <x:c r="B19" s="15" t="str">
        <x:v>orange_pct</x:v>
      </x:c>
      <x:c r="C19" s="15" t="str">
        <x:v>橙色占比</x:v>
      </x:c>
      <x:c r="D19" s="15" t="str">
        <x:v>数值</x:v>
      </x:c>
      <x:c r="E19" s="15" t="str">
        <x:v>原始字段</x:v>
      </x:c>
      <x:c r="F19" s="15" t="str">
        <x:v>否</x:v>
      </x:c>
      <x:c r="G19" s="15" t="str">
        <x:v>普通字段</x:v>
      </x:c>
      <x:c r="H19" s="15" t="str">
        <x:v>01/02/03/04/13.orange_pct</x:v>
      </x:c>
      <x:c r="I19" s="15" t="str">
        <x:v>加工分析；月度JSON仍由01~05生成</x:v>
      </x:c>
      <x:c r="J19" s="15" t="str"/>
    </x:row>
    <x:row r="20">
      <x:c r="A20" s="15" t="str">
        <x:v>monthly_channel_metrics</x:v>
      </x:c>
      <x:c r="B20" s="15" t="str">
        <x:v>red_pct</x:v>
      </x:c>
      <x:c r="C20" s="15" t="str">
        <x:v>红色占比</x:v>
      </x:c>
      <x:c r="D20" s="15" t="str">
        <x:v>数值</x:v>
      </x:c>
      <x:c r="E20" s="15" t="str">
        <x:v>原始字段</x:v>
      </x:c>
      <x:c r="F20" s="15" t="str">
        <x:v>否</x:v>
      </x:c>
      <x:c r="G20" s="15" t="str">
        <x:v>普通字段</x:v>
      </x:c>
      <x:c r="H20" s="15" t="str">
        <x:v>01/02/03/04/13.red_pct</x:v>
      </x:c>
      <x:c r="I20" s="15" t="str">
        <x:v>加工分析；月度JSON仍由01~05生成</x:v>
      </x:c>
      <x:c r="J20" s="15" t="str"/>
    </x:row>
    <x:row r="21">
      <x:c r="A21" s="15" t="str">
        <x:v>monthly_channel_metrics</x:v>
      </x:c>
      <x:c r="B21" s="15" t="str">
        <x:v>na_pct</x:v>
      </x:c>
      <x:c r="C21" s="15" t="str">
        <x:v>未判定占比</x:v>
      </x:c>
      <x:c r="D21" s="15" t="str">
        <x:v>数值</x:v>
      </x:c>
      <x:c r="E21" s="15" t="str">
        <x:v>原始字段</x:v>
      </x:c>
      <x:c r="F21" s="15" t="str">
        <x:v>否</x:v>
      </x:c>
      <x:c r="G21" s="15" t="str">
        <x:v>普通字段</x:v>
      </x:c>
      <x:c r="H21" s="15" t="str">
        <x:v>01/02/03/04/13.na_pct</x:v>
      </x:c>
      <x:c r="I21" s="15" t="str">
        <x:v>加工分析；月度JSON仍由01~05生成</x:v>
      </x:c>
      <x:c r="J21" s="15" t="str"/>
    </x:row>
    <x:row r="22">
      <x:c r="A22" s="15" t="str">
        <x:v>monthly_channel_metrics</x:v>
      </x:c>
      <x:c r="B22" s="15" t="str">
        <x:v>green_n</x:v>
      </x:c>
      <x:c r="C22" s="15" t="str">
        <x:v>绿色样本数</x:v>
      </x:c>
      <x:c r="D22" s="15" t="str">
        <x:v>整数</x:v>
      </x:c>
      <x:c r="E22" s="15" t="str">
        <x:v>原始字段</x:v>
      </x:c>
      <x:c r="F22" s="15" t="str">
        <x:v>否</x:v>
      </x:c>
      <x:c r="G22" s="15" t="str">
        <x:v>普通字段</x:v>
      </x:c>
      <x:c r="H22" s="15" t="str">
        <x:v>01/02/03/04/13.green_n</x:v>
      </x:c>
      <x:c r="I22" s="15" t="str">
        <x:v>加工分析；月度JSON仍由01~05生成</x:v>
      </x:c>
      <x:c r="J22" s="15" t="str"/>
    </x:row>
    <x:row r="23">
      <x:c r="A23" s="15" t="str">
        <x:v>monthly_channel_metrics</x:v>
      </x:c>
      <x:c r="B23" s="15" t="str">
        <x:v>orange_n</x:v>
      </x:c>
      <x:c r="C23" s="15" t="str">
        <x:v>橙色样本数</x:v>
      </x:c>
      <x:c r="D23" s="15" t="str">
        <x:v>整数</x:v>
      </x:c>
      <x:c r="E23" s="15" t="str">
        <x:v>原始字段</x:v>
      </x:c>
      <x:c r="F23" s="15" t="str">
        <x:v>否</x:v>
      </x:c>
      <x:c r="G23" s="15" t="str">
        <x:v>普通字段</x:v>
      </x:c>
      <x:c r="H23" s="15" t="str">
        <x:v>01/02/03/04/13.orange_n</x:v>
      </x:c>
      <x:c r="I23" s="15" t="str">
        <x:v>加工分析；月度JSON仍由01~05生成</x:v>
      </x:c>
      <x:c r="J23" s="15" t="str"/>
    </x:row>
    <x:row r="24">
      <x:c r="A24" s="15" t="str">
        <x:v>monthly_channel_metrics</x:v>
      </x:c>
      <x:c r="B24" s="15" t="str">
        <x:v>red_n</x:v>
      </x:c>
      <x:c r="C24" s="15" t="str">
        <x:v>红色样本数</x:v>
      </x:c>
      <x:c r="D24" s="15" t="str">
        <x:v>整数</x:v>
      </x:c>
      <x:c r="E24" s="15" t="str">
        <x:v>原始字段</x:v>
      </x:c>
      <x:c r="F24" s="15" t="str">
        <x:v>否</x:v>
      </x:c>
      <x:c r="G24" s="15" t="str">
        <x:v>普通字段</x:v>
      </x:c>
      <x:c r="H24" s="15" t="str">
        <x:v>01/02/03/04/13.red_n</x:v>
      </x:c>
      <x:c r="I24" s="15" t="str">
        <x:v>加工分析；月度JSON仍由01~05生成</x:v>
      </x:c>
      <x:c r="J24" s="15" t="str"/>
    </x:row>
    <x:row r="25">
      <x:c r="A25" s="15" t="str">
        <x:v>monthly_channel_metrics</x:v>
      </x:c>
      <x:c r="B25" s="15" t="str">
        <x:v>na_n</x:v>
      </x:c>
      <x:c r="C25" s="15" t="str">
        <x:v>未判定样本数</x:v>
      </x:c>
      <x:c r="D25" s="15" t="str">
        <x:v>整数</x:v>
      </x:c>
      <x:c r="E25" s="15" t="str">
        <x:v>原始字段</x:v>
      </x:c>
      <x:c r="F25" s="15" t="str">
        <x:v>否</x:v>
      </x:c>
      <x:c r="G25" s="15" t="str">
        <x:v>普通字段</x:v>
      </x:c>
      <x:c r="H25" s="15" t="str">
        <x:v>01/02/03/04/13.na_n</x:v>
      </x:c>
      <x:c r="I25" s="15" t="str">
        <x:v>加工分析；月度JSON仍由01~05生成</x:v>
      </x:c>
      <x:c r="J25" s="15" t="str"/>
    </x:row>
    <x:row r="26">
      <x:c r="A26" s="15" t="str">
        <x:v>monthly_channel_metrics</x:v>
      </x:c>
      <x:c r="B26" s="15" t="str">
        <x:v>quality_sample_n</x:v>
      </x:c>
      <x:c r="C26" s="15" t="str">
        <x:v>质量判定样本总量</x:v>
      </x:c>
      <x:c r="D26" s="15" t="str">
        <x:v>文本</x:v>
      </x:c>
      <x:c r="E26" s="15" t="str">
        <x:v>加工字段</x:v>
      </x:c>
      <x:c r="F26" s="15" t="str">
        <x:v>否</x:v>
      </x:c>
      <x:c r="G26" s="15" t="str">
        <x:v>普通字段</x:v>
      </x:c>
      <x:c r="H26" s="15" t="str">
        <x:v>01/02/03/04/13.quality_sample_n</x:v>
      </x:c>
      <x:c r="I26" s="15" t="str">
        <x:v>加工分析；月度JSON仍由01~05生成</x:v>
      </x:c>
      <x:c r="J26" s="15" t="str"/>
    </x:row>
    <x:row r="27">
      <x:c r="A27" s="15" t="str">
        <x:v>monthly_channel_metrics</x:v>
      </x:c>
      <x:c r="B27" s="15" t="str">
        <x:v>source_status</x:v>
      </x:c>
      <x:c r="C27" s="15" t="str">
        <x:v>数据来源状态</x:v>
      </x:c>
      <x:c r="D27" s="15" t="str">
        <x:v>文本</x:v>
      </x:c>
      <x:c r="E27" s="15" t="str">
        <x:v>加工字段</x:v>
      </x:c>
      <x:c r="F27" s="15" t="str">
        <x:v>是</x:v>
      </x:c>
      <x:c r="G27" s="15" t="str">
        <x:v>普通字段</x:v>
      </x:c>
      <x:c r="H27" s="15" t="str">
        <x:v>01/02/03/04/13.source_status</x:v>
      </x:c>
      <x:c r="I27" s="15" t="str">
        <x:v>加工分析；月度JSON仍由01~05生成</x:v>
      </x:c>
      <x:c r="J27" s="15" t="str"/>
    </x:row>
    <x:row r="28">
      <x:c r="A28" s="15" t="str">
        <x:v>records</x:v>
      </x:c>
      <x:c r="B28" s="15" t="str">
        <x:v>id</x:v>
      </x:c>
      <x:c r="C28" s="15" t="str">
        <x:v>id</x:v>
      </x:c>
      <x:c r="D28" s="15" t="str">
        <x:v>文本</x:v>
      </x:c>
      <x:c r="E28" s="15" t="str">
        <x:v>原始字段</x:v>
      </x:c>
      <x:c r="F28" s="15" t="str">
        <x:v>是</x:v>
      </x:c>
      <x:c r="G28" s="15" t="str">
        <x:v>主键组成</x:v>
      </x:c>
      <x:c r="H28" s="15" t="str">
        <x:v>06.id</x:v>
      </x:c>
      <x:c r="I28" s="15" t="str">
        <x:v>records[].*</x:v>
      </x:c>
      <x:c r="J28" s="15" t="str"/>
    </x:row>
    <x:row r="29">
      <x:c r="A29" s="15" t="str">
        <x:v>records</x:v>
      </x:c>
      <x:c r="B29" s="15" t="str">
        <x:v>userId</x:v>
      </x:c>
      <x:c r="C29" s="15" t="str">
        <x:v>userId</x:v>
      </x:c>
      <x:c r="D29" s="15" t="str">
        <x:v>文本</x:v>
      </x:c>
      <x:c r="E29" s="15" t="str">
        <x:v>原始字段</x:v>
      </x:c>
      <x:c r="F29" s="15" t="str">
        <x:v>是</x:v>
      </x:c>
      <x:c r="G29" s="15" t="str">
        <x:v>普通字段</x:v>
      </x:c>
      <x:c r="H29" s="15" t="str">
        <x:v>06.userId</x:v>
      </x:c>
      <x:c r="I29" s="15" t="str">
        <x:v>records[].*</x:v>
      </x:c>
      <x:c r="J29" s="15" t="str"/>
    </x:row>
    <x:row r="30">
      <x:c r="A30" s="15" t="str">
        <x:v>records</x:v>
      </x:c>
      <x:c r="B30" s="15" t="str">
        <x:v>applicationId</x:v>
      </x:c>
      <x:c r="C30" s="15" t="str">
        <x:v>applicationId</x:v>
      </x:c>
      <x:c r="D30" s="15" t="str">
        <x:v>文本</x:v>
      </x:c>
      <x:c r="E30" s="15" t="str">
        <x:v>原始字段</x:v>
      </x:c>
      <x:c r="F30" s="15" t="str">
        <x:v>否</x:v>
      </x:c>
      <x:c r="G30" s="15" t="str">
        <x:v>普通字段</x:v>
      </x:c>
      <x:c r="H30" s="15" t="str">
        <x:v>06.applicationId</x:v>
      </x:c>
      <x:c r="I30" s="15" t="str">
        <x:v>records[].*</x:v>
      </x:c>
      <x:c r="J30" s="15" t="str"/>
    </x:row>
    <x:row r="31">
      <x:c r="A31" s="15" t="str">
        <x:v>records</x:v>
      </x:c>
      <x:c r="B31" s="15" t="str">
        <x:v>loanId</x:v>
      </x:c>
      <x:c r="C31" s="15" t="str">
        <x:v>loanId</x:v>
      </x:c>
      <x:c r="D31" s="15" t="str">
        <x:v>文本</x:v>
      </x:c>
      <x:c r="E31" s="15" t="str">
        <x:v>原始字段</x:v>
      </x:c>
      <x:c r="F31" s="15" t="str">
        <x:v>否</x:v>
      </x:c>
      <x:c r="G31" s="15" t="str">
        <x:v>普通字段</x:v>
      </x:c>
      <x:c r="H31" s="15" t="str">
        <x:v>06.loanId</x:v>
      </x:c>
      <x:c r="I31" s="15" t="str">
        <x:v>records[].*</x:v>
      </x:c>
      <x:c r="J31" s="15" t="str"/>
    </x:row>
    <x:row r="32">
      <x:c r="A32" s="15" t="str">
        <x:v>records</x:v>
      </x:c>
      <x:c r="B32" s="15" t="str">
        <x:v>cohort</x:v>
      </x:c>
      <x:c r="C32" s="15" t="str">
        <x:v>cohort</x:v>
      </x:c>
      <x:c r="D32" s="15" t="str">
        <x:v>文本</x:v>
      </x:c>
      <x:c r="E32" s="15" t="str">
        <x:v>原始字段</x:v>
      </x:c>
      <x:c r="F32" s="15" t="str">
        <x:v>是</x:v>
      </x:c>
      <x:c r="G32" s="15" t="str">
        <x:v>普通字段</x:v>
      </x:c>
      <x:c r="H32" s="15" t="str">
        <x:v>06.cohort</x:v>
      </x:c>
      <x:c r="I32" s="15" t="str">
        <x:v>records[].*</x:v>
      </x:c>
      <x:c r="J32" s="15" t="str"/>
    </x:row>
    <x:row r="33">
      <x:c r="A33" s="15" t="str">
        <x:v>records</x:v>
      </x:c>
      <x:c r="B33" s="15" t="str">
        <x:v>channel</x:v>
      </x:c>
      <x:c r="C33" s="15" t="str">
        <x:v>渠道</x:v>
      </x:c>
      <x:c r="D33" s="15" t="str">
        <x:v>文本</x:v>
      </x:c>
      <x:c r="E33" s="15" t="str">
        <x:v>原始字段</x:v>
      </x:c>
      <x:c r="F33" s="15" t="str">
        <x:v>是</x:v>
      </x:c>
      <x:c r="G33" s="15" t="str">
        <x:v>普通字段</x:v>
      </x:c>
      <x:c r="H33" s="15" t="str">
        <x:v>06.channel</x:v>
      </x:c>
      <x:c r="I33" s="15" t="str">
        <x:v>records[].*</x:v>
      </x:c>
      <x:c r="J33" s="15" t="str"/>
    </x:row>
    <x:row r="34">
      <x:c r="A34" s="15" t="str">
        <x:v>records</x:v>
      </x:c>
      <x:c r="B34" s="15" t="str">
        <x:v>campaign</x:v>
      </x:c>
      <x:c r="C34" s="15" t="str">
        <x:v>campaign</x:v>
      </x:c>
      <x:c r="D34" s="15" t="str">
        <x:v>文本</x:v>
      </x:c>
      <x:c r="E34" s="15" t="str">
        <x:v>原始字段</x:v>
      </x:c>
      <x:c r="F34" s="15" t="str">
        <x:v>是</x:v>
      </x:c>
      <x:c r="G34" s="15" t="str">
        <x:v>普通字段</x:v>
      </x:c>
      <x:c r="H34" s="15" t="str">
        <x:v>06.campaign</x:v>
      </x:c>
      <x:c r="I34" s="15" t="str">
        <x:v>records[].*</x:v>
      </x:c>
      <x:c r="J34" s="15" t="str"/>
    </x:row>
    <x:row r="35">
      <x:c r="A35" s="15" t="str">
        <x:v>records</x:v>
      </x:c>
      <x:c r="B35" s="15" t="str">
        <x:v>brand</x:v>
      </x:c>
      <x:c r="C35" s="15" t="str">
        <x:v>brand</x:v>
      </x:c>
      <x:c r="D35" s="15" t="str">
        <x:v>文本</x:v>
      </x:c>
      <x:c r="E35" s="15" t="str">
        <x:v>原始字段</x:v>
      </x:c>
      <x:c r="F35" s="15" t="str">
        <x:v>是</x:v>
      </x:c>
      <x:c r="G35" s="15" t="str">
        <x:v>普通字段</x:v>
      </x:c>
      <x:c r="H35" s="15" t="str">
        <x:v>06.brand</x:v>
      </x:c>
      <x:c r="I35" s="15" t="str">
        <x:v>records[].*</x:v>
      </x:c>
      <x:c r="J35" s="15" t="str"/>
    </x:row>
    <x:row r="36">
      <x:c r="A36" s="15" t="str">
        <x:v>records</x:v>
      </x:c>
      <x:c r="B36" s="15" t="str">
        <x:v>customer</x:v>
      </x:c>
      <x:c r="C36" s="15" t="str">
        <x:v>customer</x:v>
      </x:c>
      <x:c r="D36" s="15" t="str">
        <x:v>文本</x:v>
      </x:c>
      <x:c r="E36" s="15" t="str">
        <x:v>原始字段</x:v>
      </x:c>
      <x:c r="F36" s="15" t="str">
        <x:v>是</x:v>
      </x:c>
      <x:c r="G36" s="15" t="str">
        <x:v>普通字段</x:v>
      </x:c>
      <x:c r="H36" s="15" t="str">
        <x:v>06.customer</x:v>
      </x:c>
      <x:c r="I36" s="15" t="str">
        <x:v>records[].*</x:v>
      </x:c>
      <x:c r="J36" s="15" t="str"/>
    </x:row>
    <x:row r="37">
      <x:c r="A37" s="15" t="str">
        <x:v>records</x:v>
      </x:c>
      <x:c r="B37" s="15" t="str">
        <x:v>region</x:v>
      </x:c>
      <x:c r="C37" s="15" t="str">
        <x:v>region</x:v>
      </x:c>
      <x:c r="D37" s="15" t="str">
        <x:v>文本</x:v>
      </x:c>
      <x:c r="E37" s="15" t="str">
        <x:v>原始字段</x:v>
      </x:c>
      <x:c r="F37" s="15" t="str">
        <x:v>是</x:v>
      </x:c>
      <x:c r="G37" s="15" t="str">
        <x:v>普通字段</x:v>
      </x:c>
      <x:c r="H37" s="15" t="str">
        <x:v>06.region</x:v>
      </x:c>
      <x:c r="I37" s="15" t="str">
        <x:v>records[].*</x:v>
      </x:c>
      <x:c r="J37" s="15" t="str"/>
    </x:row>
    <x:row r="38">
      <x:c r="A38" s="15" t="str">
        <x:v>records</x:v>
      </x:c>
      <x:c r="B38" s="15" t="str">
        <x:v>device</x:v>
      </x:c>
      <x:c r="C38" s="15" t="str">
        <x:v>device</x:v>
      </x:c>
      <x:c r="D38" s="15" t="str">
        <x:v>文本</x:v>
      </x:c>
      <x:c r="E38" s="15" t="str">
        <x:v>原始字段</x:v>
      </x:c>
      <x:c r="F38" s="15" t="str">
        <x:v>是</x:v>
      </x:c>
      <x:c r="G38" s="15" t="str">
        <x:v>普通字段</x:v>
      </x:c>
      <x:c r="H38" s="15" t="str">
        <x:v>06.device</x:v>
      </x:c>
      <x:c r="I38" s="15" t="str">
        <x:v>records[].*</x:v>
      </x:c>
      <x:c r="J38" s="15" t="str"/>
    </x:row>
    <x:row r="39">
      <x:c r="A39" s="15" t="str">
        <x:v>records</x:v>
      </x:c>
      <x:c r="B39" s="15" t="str">
        <x:v>product</x:v>
      </x:c>
      <x:c r="C39" s="15" t="str">
        <x:v>product</x:v>
      </x:c>
      <x:c r="D39" s="15" t="str">
        <x:v>文本</x:v>
      </x:c>
      <x:c r="E39" s="15" t="str">
        <x:v>原始字段</x:v>
      </x:c>
      <x:c r="F39" s="15" t="str">
        <x:v>是</x:v>
      </x:c>
      <x:c r="G39" s="15" t="str">
        <x:v>普通字段</x:v>
      </x:c>
      <x:c r="H39" s="15" t="str">
        <x:v>06.product</x:v>
      </x:c>
      <x:c r="I39" s="15" t="str">
        <x:v>records[].*</x:v>
      </x:c>
      <x:c r="J39" s="15" t="str"/>
    </x:row>
    <x:row r="40">
      <x:c r="A40" s="15" t="str">
        <x:v>records</x:v>
      </x:c>
      <x:c r="B40" s="15" t="str">
        <x:v>started</x:v>
      </x:c>
      <x:c r="C40" s="15" t="str">
        <x:v>started</x:v>
      </x:c>
      <x:c r="D40" s="15" t="str">
        <x:v>文本</x:v>
      </x:c>
      <x:c r="E40" s="15" t="str">
        <x:v>原始字段</x:v>
      </x:c>
      <x:c r="F40" s="15" t="str">
        <x:v>是</x:v>
      </x:c>
      <x:c r="G40" s="15" t="str">
        <x:v>普通字段</x:v>
      </x:c>
      <x:c r="H40" s="15" t="str">
        <x:v>06.started</x:v>
      </x:c>
      <x:c r="I40" s="15" t="str">
        <x:v>records[].*</x:v>
      </x:c>
      <x:c r="J40" s="15" t="str"/>
    </x:row>
    <x:row r="41">
      <x:c r="A41" s="15" t="str">
        <x:v>records</x:v>
      </x:c>
      <x:c r="B41" s="15" t="str">
        <x:v>submitted</x:v>
      </x:c>
      <x:c r="C41" s="15" t="str">
        <x:v>submitted</x:v>
      </x:c>
      <x:c r="D41" s="15" t="str">
        <x:v>文本</x:v>
      </x:c>
      <x:c r="E41" s="15" t="str">
        <x:v>原始字段</x:v>
      </x:c>
      <x:c r="F41" s="15" t="str">
        <x:v>否</x:v>
      </x:c>
      <x:c r="G41" s="15" t="str">
        <x:v>普通字段</x:v>
      </x:c>
      <x:c r="H41" s="15" t="str">
        <x:v>06.submitted</x:v>
      </x:c>
      <x:c r="I41" s="15" t="str">
        <x:v>records[].*</x:v>
      </x:c>
      <x:c r="J41" s="15" t="str"/>
    </x:row>
    <x:row r="42">
      <x:c r="A42" s="15" t="str">
        <x:v>records</x:v>
      </x:c>
      <x:c r="B42" s="15" t="str">
        <x:v>qualified</x:v>
      </x:c>
      <x:c r="C42" s="15" t="str">
        <x:v>qualified</x:v>
      </x:c>
      <x:c r="D42" s="15" t="str">
        <x:v>文本</x:v>
      </x:c>
      <x:c r="E42" s="15" t="str">
        <x:v>原始字段</x:v>
      </x:c>
      <x:c r="F42" s="15" t="str">
        <x:v>否</x:v>
      </x:c>
      <x:c r="G42" s="15" t="str">
        <x:v>普通字段</x:v>
      </x:c>
      <x:c r="H42" s="15" t="str">
        <x:v>06.qualified</x:v>
      </x:c>
      <x:c r="I42" s="15" t="str">
        <x:v>records[].*</x:v>
      </x:c>
      <x:c r="J42" s="15" t="str"/>
    </x:row>
    <x:row r="43">
      <x:c r="A43" s="15" t="str">
        <x:v>records</x:v>
      </x:c>
      <x:c r="B43" s="15" t="str">
        <x:v>approved</x:v>
      </x:c>
      <x:c r="C43" s="15" t="str">
        <x:v>approved</x:v>
      </x:c>
      <x:c r="D43" s="15" t="str">
        <x:v>文本</x:v>
      </x:c>
      <x:c r="E43" s="15" t="str">
        <x:v>原始字段</x:v>
      </x:c>
      <x:c r="F43" s="15" t="str">
        <x:v>否</x:v>
      </x:c>
      <x:c r="G43" s="15" t="str">
        <x:v>普通字段</x:v>
      </x:c>
      <x:c r="H43" s="15" t="str">
        <x:v>06.approved</x:v>
      </x:c>
      <x:c r="I43" s="15" t="str">
        <x:v>records[].*</x:v>
      </x:c>
      <x:c r="J43" s="15" t="str"/>
    </x:row>
    <x:row r="44">
      <x:c r="A44" s="15" t="str">
        <x:v>records</x:v>
      </x:c>
      <x:c r="B44" s="15" t="str">
        <x:v>funded</x:v>
      </x:c>
      <x:c r="C44" s="15" t="str">
        <x:v>放款笔数</x:v>
      </x:c>
      <x:c r="D44" s="15" t="str">
        <x:v>文本</x:v>
      </x:c>
      <x:c r="E44" s="15" t="str">
        <x:v>原始字段</x:v>
      </x:c>
      <x:c r="F44" s="15" t="str">
        <x:v>否</x:v>
      </x:c>
      <x:c r="G44" s="15" t="str">
        <x:v>普通字段</x:v>
      </x:c>
      <x:c r="H44" s="15" t="str">
        <x:v>06.funded</x:v>
      </x:c>
      <x:c r="I44" s="15" t="str">
        <x:v>records[].*</x:v>
      </x:c>
      <x:c r="J44" s="15" t="str"/>
    </x:row>
    <x:row r="45">
      <x:c r="A45" s="15" t="str">
        <x:v>records</x:v>
      </x:c>
      <x:c r="B45" s="15" t="str">
        <x:v>impressions</x:v>
      </x:c>
      <x:c r="C45" s="15" t="str">
        <x:v>impressions</x:v>
      </x:c>
      <x:c r="D45" s="15" t="str">
        <x:v>整数</x:v>
      </x:c>
      <x:c r="E45" s="15" t="str">
        <x:v>原始字段</x:v>
      </x:c>
      <x:c r="F45" s="15" t="str">
        <x:v>是</x:v>
      </x:c>
      <x:c r="G45" s="15" t="str">
        <x:v>普通字段</x:v>
      </x:c>
      <x:c r="H45" s="15" t="str">
        <x:v>06.impressions</x:v>
      </x:c>
      <x:c r="I45" s="15" t="str">
        <x:v>records[].*</x:v>
      </x:c>
      <x:c r="J45" s="15" t="str"/>
    </x:row>
    <x:row r="46">
      <x:c r="A46" s="15" t="str">
        <x:v>records</x:v>
      </x:c>
      <x:c r="B46" s="15" t="str">
        <x:v>clicks</x:v>
      </x:c>
      <x:c r="C46" s="15" t="str">
        <x:v>clicks</x:v>
      </x:c>
      <x:c r="D46" s="15" t="str">
        <x:v>整数</x:v>
      </x:c>
      <x:c r="E46" s="15" t="str">
        <x:v>原始字段</x:v>
      </x:c>
      <x:c r="F46" s="15" t="str">
        <x:v>是</x:v>
      </x:c>
      <x:c r="G46" s="15" t="str">
        <x:v>普通字段</x:v>
      </x:c>
      <x:c r="H46" s="15" t="str">
        <x:v>06.clicks</x:v>
      </x:c>
      <x:c r="I46" s="15" t="str">
        <x:v>records[].*</x:v>
      </x:c>
      <x:c r="J46" s="15" t="str"/>
    </x:row>
    <x:row r="47">
      <x:c r="A47" s="15" t="str">
        <x:v>records</x:v>
      </x:c>
      <x:c r="B47" s="15" t="str">
        <x:v>sessions</x:v>
      </x:c>
      <x:c r="C47" s="15" t="str">
        <x:v>sessions</x:v>
      </x:c>
      <x:c r="D47" s="15" t="str">
        <x:v>整数</x:v>
      </x:c>
      <x:c r="E47" s="15" t="str">
        <x:v>原始字段</x:v>
      </x:c>
      <x:c r="F47" s="15" t="str">
        <x:v>是</x:v>
      </x:c>
      <x:c r="G47" s="15" t="str">
        <x:v>普通字段</x:v>
      </x:c>
      <x:c r="H47" s="15" t="str">
        <x:v>06.sessions</x:v>
      </x:c>
      <x:c r="I47" s="15" t="str">
        <x:v>records[].*</x:v>
      </x:c>
      <x:c r="J47" s="15" t="str"/>
    </x:row>
    <x:row r="48">
      <x:c r="A48" s="15" t="str">
        <x:v>records</x:v>
      </x:c>
      <x:c r="B48" s="15" t="str">
        <x:v>loanAmount</x:v>
      </x:c>
      <x:c r="C48" s="15" t="str">
        <x:v>loanAmount</x:v>
      </x:c>
      <x:c r="D48" s="15" t="str">
        <x:v>整数</x:v>
      </x:c>
      <x:c r="E48" s="15" t="str">
        <x:v>原始字段</x:v>
      </x:c>
      <x:c r="F48" s="15" t="str">
        <x:v>是</x:v>
      </x:c>
      <x:c r="G48" s="15" t="str">
        <x:v>普通字段</x:v>
      </x:c>
      <x:c r="H48" s="15" t="str">
        <x:v>06.loanAmount</x:v>
      </x:c>
      <x:c r="I48" s="15" t="str">
        <x:v>records[].*</x:v>
      </x:c>
      <x:c r="J48" s="15" t="str"/>
    </x:row>
    <x:row r="49">
      <x:c r="A49" s="15" t="str">
        <x:v>records</x:v>
      </x:c>
      <x:c r="B49" s="15" t="str">
        <x:v>interest</x:v>
      </x:c>
      <x:c r="C49" s="15" t="str">
        <x:v>interest</x:v>
      </x:c>
      <x:c r="D49" s="15" t="str">
        <x:v>整数</x:v>
      </x:c>
      <x:c r="E49" s="15" t="str">
        <x:v>原始字段</x:v>
      </x:c>
      <x:c r="F49" s="15" t="str">
        <x:v>是</x:v>
      </x:c>
      <x:c r="G49" s="15" t="str">
        <x:v>普通字段</x:v>
      </x:c>
      <x:c r="H49" s="15" t="str">
        <x:v>06.interest</x:v>
      </x:c>
      <x:c r="I49" s="15" t="str">
        <x:v>records[].*</x:v>
      </x:c>
      <x:c r="J49" s="15" t="str"/>
    </x:row>
    <x:row r="50">
      <x:c r="A50" s="15" t="str">
        <x:v>records</x:v>
      </x:c>
      <x:c r="B50" s="15" t="str">
        <x:v>fees</x:v>
      </x:c>
      <x:c r="C50" s="15" t="str">
        <x:v>fees</x:v>
      </x:c>
      <x:c r="D50" s="15" t="str">
        <x:v>数值</x:v>
      </x:c>
      <x:c r="E50" s="15" t="str">
        <x:v>原始字段</x:v>
      </x:c>
      <x:c r="F50" s="15" t="str">
        <x:v>是</x:v>
      </x:c>
      <x:c r="G50" s="15" t="str">
        <x:v>普通字段</x:v>
      </x:c>
      <x:c r="H50" s="15" t="str">
        <x:v>06.fees</x:v>
      </x:c>
      <x:c r="I50" s="15" t="str">
        <x:v>records[].*</x:v>
      </x:c>
      <x:c r="J50" s="15" t="str"/>
    </x:row>
    <x:row r="51">
      <x:c r="A51" s="15" t="str">
        <x:v>records</x:v>
      </x:c>
      <x:c r="B51" s="15" t="str">
        <x:v>fundingCost</x:v>
      </x:c>
      <x:c r="C51" s="15" t="str">
        <x:v>fundingCost</x:v>
      </x:c>
      <x:c r="D51" s="15" t="str">
        <x:v>数值</x:v>
      </x:c>
      <x:c r="E51" s="15" t="str">
        <x:v>原始字段</x:v>
      </x:c>
      <x:c r="F51" s="15" t="str">
        <x:v>是</x:v>
      </x:c>
      <x:c r="G51" s="15" t="str">
        <x:v>普通字段</x:v>
      </x:c>
      <x:c r="H51" s="15" t="str">
        <x:v>06.fundingCost</x:v>
      </x:c>
      <x:c r="I51" s="15" t="str">
        <x:v>records[].*</x:v>
      </x:c>
      <x:c r="J51" s="15" t="str"/>
    </x:row>
    <x:row r="52">
      <x:c r="A52" s="15" t="str">
        <x:v>records</x:v>
      </x:c>
      <x:c r="B52" s="15" t="str">
        <x:v>servicingCost</x:v>
      </x:c>
      <x:c r="C52" s="15" t="str">
        <x:v>servicingCost</x:v>
      </x:c>
      <x:c r="D52" s="15" t="str">
        <x:v>整数</x:v>
      </x:c>
      <x:c r="E52" s="15" t="str">
        <x:v>原始字段</x:v>
      </x:c>
      <x:c r="F52" s="15" t="str">
        <x:v>是</x:v>
      </x:c>
      <x:c r="G52" s="15" t="str">
        <x:v>普通字段</x:v>
      </x:c>
      <x:c r="H52" s="15" t="str">
        <x:v>06.servicingCost</x:v>
      </x:c>
      <x:c r="I52" s="15" t="str">
        <x:v>records[].*</x:v>
      </x:c>
      <x:c r="J52" s="15" t="str"/>
    </x:row>
    <x:row r="53">
      <x:c r="A53" s="15" t="str">
        <x:v>records</x:v>
      </x:c>
      <x:c r="B53" s="15" t="str">
        <x:v>expectedLoss</x:v>
      </x:c>
      <x:c r="C53" s="15" t="str">
        <x:v>expectedLoss</x:v>
      </x:c>
      <x:c r="D53" s="15" t="str">
        <x:v>数值</x:v>
      </x:c>
      <x:c r="E53" s="15" t="str">
        <x:v>原始字段</x:v>
      </x:c>
      <x:c r="F53" s="15" t="str">
        <x:v>是</x:v>
      </x:c>
      <x:c r="G53" s="15" t="str">
        <x:v>普通字段</x:v>
      </x:c>
      <x:c r="H53" s="15" t="str">
        <x:v>06.expectedLoss</x:v>
      </x:c>
      <x:c r="I53" s="15" t="str">
        <x:v>records[].*</x:v>
      </x:c>
      <x:c r="J53" s="15" t="str"/>
    </x:row>
    <x:row r="54">
      <x:c r="A54" s="15" t="str">
        <x:v>records</x:v>
      </x:c>
      <x:c r="B54" s="15" t="str">
        <x:v>ltv</x:v>
      </x:c>
      <x:c r="C54" s="15" t="str">
        <x:v>ltv</x:v>
      </x:c>
      <x:c r="D54" s="15" t="str">
        <x:v>数值</x:v>
      </x:c>
      <x:c r="E54" s="15" t="str">
        <x:v>原始字段</x:v>
      </x:c>
      <x:c r="F54" s="15" t="str">
        <x:v>是</x:v>
      </x:c>
      <x:c r="G54" s="15" t="str">
        <x:v>普通字段</x:v>
      </x:c>
      <x:c r="H54" s="15" t="str">
        <x:v>06.ltv</x:v>
      </x:c>
      <x:c r="I54" s="15" t="str">
        <x:v>records[].*</x:v>
      </x:c>
      <x:c r="J54" s="15" t="str"/>
    </x:row>
    <x:row r="55">
      <x:c r="A55" s="15" t="str">
        <x:v>records</x:v>
      </x:c>
      <x:c r="B55" s="15" t="str">
        <x:v>fraud</x:v>
      </x:c>
      <x:c r="C55" s="15" t="str">
        <x:v>fraud</x:v>
      </x:c>
      <x:c r="D55" s="15" t="str">
        <x:v>布尔</x:v>
      </x:c>
      <x:c r="E55" s="15" t="str">
        <x:v>原始字段</x:v>
      </x:c>
      <x:c r="F55" s="15" t="str">
        <x:v>否</x:v>
      </x:c>
      <x:c r="G55" s="15" t="str">
        <x:v>普通字段</x:v>
      </x:c>
      <x:c r="H55" s="15" t="str">
        <x:v>06.fraud</x:v>
      </x:c>
      <x:c r="I55" s="15" t="str">
        <x:v>records[].*</x:v>
      </x:c>
      <x:c r="J55" s="15" t="str"/>
    </x:row>
    <x:row r="56">
      <x:c r="A56" s="15" t="str">
        <x:v>records</x:v>
      </x:c>
      <x:c r="B56" s="15" t="str">
        <x:v>firstDue</x:v>
      </x:c>
      <x:c r="C56" s="15" t="str">
        <x:v>firstDue</x:v>
      </x:c>
      <x:c r="D56" s="15" t="str">
        <x:v>文本</x:v>
      </x:c>
      <x:c r="E56" s="15" t="str">
        <x:v>原始字段</x:v>
      </x:c>
      <x:c r="F56" s="15" t="str">
        <x:v>否</x:v>
      </x:c>
      <x:c r="G56" s="15" t="str">
        <x:v>普通字段</x:v>
      </x:c>
      <x:c r="H56" s="15" t="str">
        <x:v>06.firstDue</x:v>
      </x:c>
      <x:c r="I56" s="15" t="str">
        <x:v>records[].*</x:v>
      </x:c>
      <x:c r="J56" s="15" t="str"/>
    </x:row>
    <x:row r="57">
      <x:c r="A57" s="15" t="str">
        <x:v>records</x:v>
      </x:c>
      <x:c r="B57" s="15" t="str">
        <x:v>m1bad</x:v>
      </x:c>
      <x:c r="C57" s="15" t="str">
        <x:v>m1bad</x:v>
      </x:c>
      <x:c r="D57" s="15" t="str">
        <x:v>布尔</x:v>
      </x:c>
      <x:c r="E57" s="15" t="str">
        <x:v>原始字段</x:v>
      </x:c>
      <x:c r="F57" s="15" t="str">
        <x:v>否</x:v>
      </x:c>
      <x:c r="G57" s="15" t="str">
        <x:v>普通字段</x:v>
      </x:c>
      <x:c r="H57" s="15" t="str">
        <x:v>06.m1bad</x:v>
      </x:c>
      <x:c r="I57" s="15" t="str">
        <x:v>records[].*</x:v>
      </x:c>
      <x:c r="J57" s="15" t="str"/>
    </x:row>
    <x:row r="58">
      <x:c r="A58" s="15" t="str">
        <x:v>records</x:v>
      </x:c>
      <x:c r="B58" s="15" t="str">
        <x:v>thirdDue</x:v>
      </x:c>
      <x:c r="C58" s="15" t="str">
        <x:v>thirdDue</x:v>
      </x:c>
      <x:c r="D58" s="15" t="str">
        <x:v>文本</x:v>
      </x:c>
      <x:c r="E58" s="15" t="str">
        <x:v>原始字段</x:v>
      </x:c>
      <x:c r="F58" s="15" t="str">
        <x:v>否</x:v>
      </x:c>
      <x:c r="G58" s="15" t="str">
        <x:v>普通字段</x:v>
      </x:c>
      <x:c r="H58" s="15" t="str">
        <x:v>06.thirdDue</x:v>
      </x:c>
      <x:c r="I58" s="15" t="str">
        <x:v>records[].*</x:v>
      </x:c>
      <x:c r="J58" s="15" t="str"/>
    </x:row>
    <x:row r="59">
      <x:c r="A59" s="15" t="str">
        <x:v>records</x:v>
      </x:c>
      <x:c r="B59" s="15" t="str">
        <x:v>m3bad</x:v>
      </x:c>
      <x:c r="C59" s="15" t="str">
        <x:v>m3bad</x:v>
      </x:c>
      <x:c r="D59" s="15" t="str">
        <x:v>布尔</x:v>
      </x:c>
      <x:c r="E59" s="15" t="str">
        <x:v>原始字段</x:v>
      </x:c>
      <x:c r="F59" s="15" t="str">
        <x:v>否</x:v>
      </x:c>
      <x:c r="G59" s="15" t="str">
        <x:v>普通字段</x:v>
      </x:c>
      <x:c r="H59" s="15" t="str">
        <x:v>06.m3bad</x:v>
      </x:c>
      <x:c r="I59" s="15" t="str">
        <x:v>records[].*</x:v>
      </x:c>
      <x:c r="J59" s="15" t="str"/>
    </x:row>
    <x:row r="60">
      <x:c r="A60" s="15" t="str">
        <x:v>touches</x:v>
      </x:c>
      <x:c r="B60" s="15" t="str">
        <x:v>recordId</x:v>
      </x:c>
      <x:c r="C60" s="15" t="str">
        <x:v>recordId</x:v>
      </x:c>
      <x:c r="D60" s="15" t="str">
        <x:v>文本</x:v>
      </x:c>
      <x:c r="E60" s="15" t="str">
        <x:v>原始字段</x:v>
      </x:c>
      <x:c r="F60" s="15" t="str">
        <x:v>是</x:v>
      </x:c>
      <x:c r="G60" s="15" t="str">
        <x:v>主键组成</x:v>
      </x:c>
      <x:c r="H60" s="15" t="str">
        <x:v>07.recordId</x:v>
      </x:c>
      <x:c r="I60" s="15" t="str">
        <x:v>records[].touches[].*</x:v>
      </x:c>
      <x:c r="J60" s="15" t="str"/>
    </x:row>
    <x:row r="61">
      <x:c r="A61" s="15" t="str">
        <x:v>touches</x:v>
      </x:c>
      <x:c r="B61" s="15" t="str">
        <x:v>id</x:v>
      </x:c>
      <x:c r="C61" s="15" t="str">
        <x:v>id</x:v>
      </x:c>
      <x:c r="D61" s="15" t="str">
        <x:v>文本</x:v>
      </x:c>
      <x:c r="E61" s="15" t="str">
        <x:v>加工字段</x:v>
      </x:c>
      <x:c r="F61" s="15" t="str">
        <x:v>是</x:v>
      </x:c>
      <x:c r="G61" s="15" t="str">
        <x:v>主键组成</x:v>
      </x:c>
      <x:c r="H61" s="15" t="str">
        <x:v>07.touchId</x:v>
      </x:c>
      <x:c r="I61" s="15" t="str">
        <x:v>records[].touches[].*</x:v>
      </x:c>
      <x:c r="J61" s="15" t="str"/>
    </x:row>
    <x:row r="62">
      <x:c r="A62" s="15" t="str">
        <x:v>touches</x:v>
      </x:c>
      <x:c r="B62" s="15" t="str">
        <x:v>day</x:v>
      </x:c>
      <x:c r="C62" s="15" t="str">
        <x:v>day</x:v>
      </x:c>
      <x:c r="D62" s="15" t="str">
        <x:v>文本</x:v>
      </x:c>
      <x:c r="E62" s="15" t="str">
        <x:v>原始字段</x:v>
      </x:c>
      <x:c r="F62" s="15" t="str">
        <x:v>是</x:v>
      </x:c>
      <x:c r="G62" s="15" t="str">
        <x:v>普通字段</x:v>
      </x:c>
      <x:c r="H62" s="15" t="str">
        <x:v>07.day</x:v>
      </x:c>
      <x:c r="I62" s="15" t="str">
        <x:v>records[].touches[].*</x:v>
      </x:c>
      <x:c r="J62" s="15" t="str"/>
    </x:row>
    <x:row r="63">
      <x:c r="A63" s="15" t="str">
        <x:v>touches</x:v>
      </x:c>
      <x:c r="B63" s="15" t="str">
        <x:v>channel</x:v>
      </x:c>
      <x:c r="C63" s="15" t="str">
        <x:v>渠道</x:v>
      </x:c>
      <x:c r="D63" s="15" t="str">
        <x:v>文本</x:v>
      </x:c>
      <x:c r="E63" s="15" t="str">
        <x:v>原始字段</x:v>
      </x:c>
      <x:c r="F63" s="15" t="str">
        <x:v>是</x:v>
      </x:c>
      <x:c r="G63" s="15" t="str">
        <x:v>普通字段</x:v>
      </x:c>
      <x:c r="H63" s="15" t="str">
        <x:v>07.channel</x:v>
      </x:c>
      <x:c r="I63" s="15" t="str">
        <x:v>records[].touches[].*</x:v>
      </x:c>
      <x:c r="J63" s="15" t="str"/>
    </x:row>
    <x:row r="64">
      <x:c r="A64" s="15" t="str">
        <x:v>touches</x:v>
      </x:c>
      <x:c r="B64" s="15" t="str">
        <x:v>campaign</x:v>
      </x:c>
      <x:c r="C64" s="15" t="str">
        <x:v>campaign</x:v>
      </x:c>
      <x:c r="D64" s="15" t="str">
        <x:v>文本</x:v>
      </x:c>
      <x:c r="E64" s="15" t="str">
        <x:v>原始字段</x:v>
      </x:c>
      <x:c r="F64" s="15" t="str">
        <x:v>是</x:v>
      </x:c>
      <x:c r="G64" s="15" t="str">
        <x:v>普通字段</x:v>
      </x:c>
      <x:c r="H64" s="15" t="str">
        <x:v>07.campaign</x:v>
      </x:c>
      <x:c r="I64" s="15" t="str">
        <x:v>records[].touches[].*</x:v>
      </x:c>
      <x:c r="J64" s="15" t="str"/>
    </x:row>
    <x:row r="65">
      <x:c r="A65" s="15" t="str">
        <x:v>touches</x:v>
      </x:c>
      <x:c r="B65" s="15" t="str">
        <x:v>brand</x:v>
      </x:c>
      <x:c r="C65" s="15" t="str">
        <x:v>brand</x:v>
      </x:c>
      <x:c r="D65" s="15" t="str">
        <x:v>文本</x:v>
      </x:c>
      <x:c r="E65" s="15" t="str">
        <x:v>原始字段</x:v>
      </x:c>
      <x:c r="F65" s="15" t="str">
        <x:v>是</x:v>
      </x:c>
      <x:c r="G65" s="15" t="str">
        <x:v>普通字段</x:v>
      </x:c>
      <x:c r="H65" s="15" t="str">
        <x:v>07.brand</x:v>
      </x:c>
      <x:c r="I65" s="15" t="str">
        <x:v>records[].touches[].*</x:v>
      </x:c>
      <x:c r="J65" s="15" t="str"/>
    </x:row>
    <x:row r="66">
      <x:c r="A66" s="15" t="str">
        <x:v>touches</x:v>
      </x:c>
      <x:c r="B66" s="15" t="str">
        <x:v>kind</x:v>
      </x:c>
      <x:c r="C66" s="15" t="str">
        <x:v>kind</x:v>
      </x:c>
      <x:c r="D66" s="15" t="str">
        <x:v>文本</x:v>
      </x:c>
      <x:c r="E66" s="15" t="str">
        <x:v>原始字段</x:v>
      </x:c>
      <x:c r="F66" s="15" t="str">
        <x:v>是</x:v>
      </x:c>
      <x:c r="G66" s="15" t="str">
        <x:v>普通字段</x:v>
      </x:c>
      <x:c r="H66" s="15" t="str">
        <x:v>07.kind</x:v>
      </x:c>
      <x:c r="I66" s="15" t="str">
        <x:v>records[].touches[].*</x:v>
      </x:c>
      <x:c r="J66" s="15" t="str"/>
    </x:row>
    <x:row r="67">
      <x:c r="A67" s="15" t="str">
        <x:v>touches</x:v>
      </x:c>
      <x:c r="B67" s="15" t="str">
        <x:v>consent</x:v>
      </x:c>
      <x:c r="C67" s="15" t="str">
        <x:v>consent</x:v>
      </x:c>
      <x:c r="D67" s="15" t="str">
        <x:v>布尔</x:v>
      </x:c>
      <x:c r="E67" s="15" t="str">
        <x:v>原始字段</x:v>
      </x:c>
      <x:c r="F67" s="15" t="str">
        <x:v>是</x:v>
      </x:c>
      <x:c r="G67" s="15" t="str">
        <x:v>普通字段</x:v>
      </x:c>
      <x:c r="H67" s="15" t="str">
        <x:v>07.consent</x:v>
      </x:c>
      <x:c r="I67" s="15" t="str">
        <x:v>records[].touches[].*</x:v>
      </x:c>
      <x:c r="J67" s="15" t="str"/>
    </x:row>
    <x:row r="68">
      <x:c r="A68" s="15" t="str">
        <x:v>costs</x:v>
      </x:c>
      <x:c r="B68" s="15" t="str">
        <x:v>recordId</x:v>
      </x:c>
      <x:c r="C68" s="15" t="str">
        <x:v>recordId</x:v>
      </x:c>
      <x:c r="D68" s="15" t="str">
        <x:v>文本</x:v>
      </x:c>
      <x:c r="E68" s="15" t="str">
        <x:v>原始字段</x:v>
      </x:c>
      <x:c r="F68" s="15" t="str">
        <x:v>是</x:v>
      </x:c>
      <x:c r="G68" s="15" t="str">
        <x:v>主键组成</x:v>
      </x:c>
      <x:c r="H68" s="15" t="str">
        <x:v>08.recordId</x:v>
      </x:c>
      <x:c r="I68" s="15" t="str">
        <x:v>records[].costs[].*</x:v>
      </x:c>
      <x:c r="J68" s="15" t="str"/>
    </x:row>
    <x:row r="69">
      <x:c r="A69" s="15" t="str">
        <x:v>costs</x:v>
      </x:c>
      <x:c r="B69" s="15" t="str">
        <x:v>channel</x:v>
      </x:c>
      <x:c r="C69" s="15" t="str">
        <x:v>渠道</x:v>
      </x:c>
      <x:c r="D69" s="15" t="str">
        <x:v>文本</x:v>
      </x:c>
      <x:c r="E69" s="15" t="str">
        <x:v>原始字段</x:v>
      </x:c>
      <x:c r="F69" s="15" t="str">
        <x:v>是</x:v>
      </x:c>
      <x:c r="G69" s="15" t="str">
        <x:v>主键组成</x:v>
      </x:c>
      <x:c r="H69" s="15" t="str">
        <x:v>08.channel</x:v>
      </x:c>
      <x:c r="I69" s="15" t="str">
        <x:v>records[].costs[].*</x:v>
      </x:c>
      <x:c r="J69" s="15" t="str"/>
    </x:row>
    <x:row r="70">
      <x:c r="A70" s="15" t="str">
        <x:v>costs</x:v>
      </x:c>
      <x:c r="B70" s="15" t="str">
        <x:v>campaign</x:v>
      </x:c>
      <x:c r="C70" s="15" t="str">
        <x:v>campaign</x:v>
      </x:c>
      <x:c r="D70" s="15" t="str">
        <x:v>文本</x:v>
      </x:c>
      <x:c r="E70" s="15" t="str">
        <x:v>原始字段</x:v>
      </x:c>
      <x:c r="F70" s="15" t="str">
        <x:v>是</x:v>
      </x:c>
      <x:c r="G70" s="15" t="str">
        <x:v>主键组成</x:v>
      </x:c>
      <x:c r="H70" s="15" t="str">
        <x:v>08.campaign</x:v>
      </x:c>
      <x:c r="I70" s="15" t="str">
        <x:v>records[].costs[].*</x:v>
      </x:c>
      <x:c r="J70" s="15" t="str"/>
    </x:row>
    <x:row r="71">
      <x:c r="A71" s="15" t="str">
        <x:v>costs</x:v>
      </x:c>
      <x:c r="B71" s="15" t="str">
        <x:v>amount</x:v>
      </x:c>
      <x:c r="C71" s="15" t="str">
        <x:v>amount</x:v>
      </x:c>
      <x:c r="D71" s="15" t="str">
        <x:v>数值</x:v>
      </x:c>
      <x:c r="E71" s="15" t="str">
        <x:v>原始字段</x:v>
      </x:c>
      <x:c r="F71" s="15" t="str">
        <x:v>是</x:v>
      </x:c>
      <x:c r="G71" s="15" t="str">
        <x:v>普通字段</x:v>
      </x:c>
      <x:c r="H71" s="15" t="str">
        <x:v>08.amount</x:v>
      </x:c>
      <x:c r="I71" s="15" t="str">
        <x:v>records[].costs[].*</x:v>
      </x:c>
      <x:c r="J71" s="15" t="str"/>
    </x:row>
    <x:row r="72">
      <x:c r="A72" s="15" t="str">
        <x:v>postback_events</x:v>
      </x:c>
      <x:c r="B72" s="15" t="str">
        <x:v>recordId</x:v>
      </x:c>
      <x:c r="C72" s="15" t="str">
        <x:v>recordId</x:v>
      </x:c>
      <x:c r="D72" s="15" t="str">
        <x:v>文本</x:v>
      </x:c>
      <x:c r="E72" s="15" t="str">
        <x:v>原始字段</x:v>
      </x:c>
      <x:c r="F72" s="15" t="str">
        <x:v>是</x:v>
      </x:c>
      <x:c r="G72" s="15" t="str">
        <x:v>外键→records.id</x:v>
      </x:c>
      <x:c r="H72" s="15" t="str">
        <x:v>09+14.recordId</x:v>
      </x:c>
      <x:c r="I72" s="15" t="str">
        <x:v>postbacks[].*</x:v>
      </x:c>
      <x:c r="J72" s="15" t="str"/>
    </x:row>
    <x:row r="73">
      <x:c r="A73" s="15" t="str">
        <x:v>postback_events</x:v>
      </x:c>
      <x:c r="B73" s="15" t="str">
        <x:v>businessKey</x:v>
      </x:c>
      <x:c r="C73" s="15" t="str">
        <x:v>businessKey</x:v>
      </x:c>
      <x:c r="D73" s="15" t="str">
        <x:v>文本</x:v>
      </x:c>
      <x:c r="E73" s="15" t="str">
        <x:v>加工字段</x:v>
      </x:c>
      <x:c r="F73" s="15" t="str">
        <x:v>是</x:v>
      </x:c>
      <x:c r="G73" s="15" t="str">
        <x:v>主键组成</x:v>
      </x:c>
      <x:c r="H73" s="15" t="str">
        <x:v>09+14.businessKey</x:v>
      </x:c>
      <x:c r="I73" s="15" t="str">
        <x:v>postbacks[].*</x:v>
      </x:c>
      <x:c r="J73" s="15" t="str"/>
    </x:row>
    <x:row r="74">
      <x:c r="A74" s="15" t="str">
        <x:v>postback_events</x:v>
      </x:c>
      <x:c r="B74" s="15" t="str">
        <x:v>eventId</x:v>
      </x:c>
      <x:c r="C74" s="15" t="str">
        <x:v>eventId</x:v>
      </x:c>
      <x:c r="D74" s="15" t="str">
        <x:v>文本</x:v>
      </x:c>
      <x:c r="E74" s="15" t="str">
        <x:v>原始字段</x:v>
      </x:c>
      <x:c r="F74" s="15" t="str">
        <x:v>是</x:v>
      </x:c>
      <x:c r="G74" s="15" t="str">
        <x:v>普通字段</x:v>
      </x:c>
      <x:c r="H74" s="15" t="str">
        <x:v>09+14.eventId</x:v>
      </x:c>
      <x:c r="I74" s="15" t="str">
        <x:v>postbacks[].*</x:v>
      </x:c>
      <x:c r="J74" s="15" t="str"/>
    </x:row>
    <x:row r="75">
      <x:c r="A75" s="15" t="str">
        <x:v>postback_events</x:v>
      </x:c>
      <x:c r="B75" s="15" t="str">
        <x:v>event</x:v>
      </x:c>
      <x:c r="C75" s="15" t="str">
        <x:v>event</x:v>
      </x:c>
      <x:c r="D75" s="15" t="str">
        <x:v>文本</x:v>
      </x:c>
      <x:c r="E75" s="15" t="str">
        <x:v>原始字段</x:v>
      </x:c>
      <x:c r="F75" s="15" t="str">
        <x:v>是</x:v>
      </x:c>
      <x:c r="G75" s="15" t="str">
        <x:v>普通字段</x:v>
      </x:c>
      <x:c r="H75" s="15" t="str">
        <x:v>09+14.event</x:v>
      </x:c>
      <x:c r="I75" s="15" t="str">
        <x:v>postbacks[].*</x:v>
      </x:c>
      <x:c r="J75" s="15" t="str"/>
    </x:row>
    <x:row r="76">
      <x:c r="A76" s="15" t="str">
        <x:v>postback_events</x:v>
      </x:c>
      <x:c r="B76" s="15" t="str">
        <x:v>day</x:v>
      </x:c>
      <x:c r="C76" s="15" t="str">
        <x:v>day</x:v>
      </x:c>
      <x:c r="D76" s="15" t="str">
        <x:v>文本</x:v>
      </x:c>
      <x:c r="E76" s="15" t="str">
        <x:v>原始字段</x:v>
      </x:c>
      <x:c r="F76" s="15" t="str">
        <x:v>是</x:v>
      </x:c>
      <x:c r="G76" s="15" t="str">
        <x:v>普通字段</x:v>
      </x:c>
      <x:c r="H76" s="15" t="str">
        <x:v>09+14.day</x:v>
      </x:c>
      <x:c r="I76" s="15" t="str">
        <x:v>postbacks[].*</x:v>
      </x:c>
      <x:c r="J76" s="15" t="str"/>
    </x:row>
    <x:row r="77">
      <x:c r="A77" s="15" t="str">
        <x:v>postback_events</x:v>
      </x:c>
      <x:c r="B77" s="15" t="str">
        <x:v>eligible</x:v>
      </x:c>
      <x:c r="C77" s="15" t="str">
        <x:v>eligible</x:v>
      </x:c>
      <x:c r="D77" s="15" t="str">
        <x:v>布尔</x:v>
      </x:c>
      <x:c r="E77" s="15" t="str">
        <x:v>加工字段</x:v>
      </x:c>
      <x:c r="F77" s="15" t="str">
        <x:v>是</x:v>
      </x:c>
      <x:c r="G77" s="15" t="str">
        <x:v>普通字段</x:v>
      </x:c>
      <x:c r="H77" s="15" t="str">
        <x:v>09+14.eligible</x:v>
      </x:c>
      <x:c r="I77" s="15" t="str">
        <x:v>postbacks[].*</x:v>
      </x:c>
      <x:c r="J77" s="15" t="str"/>
    </x:row>
    <x:row r="78">
      <x:c r="A78" s="15" t="str">
        <x:v>postback_events</x:v>
      </x:c>
      <x:c r="B78" s="15" t="str">
        <x:v>matchable</x:v>
      </x:c>
      <x:c r="C78" s="15" t="str">
        <x:v>matchable</x:v>
      </x:c>
      <x:c r="D78" s="15" t="str">
        <x:v>布尔</x:v>
      </x:c>
      <x:c r="E78" s="15" t="str">
        <x:v>原始字段</x:v>
      </x:c>
      <x:c r="F78" s="15" t="str">
        <x:v>是</x:v>
      </x:c>
      <x:c r="G78" s="15" t="str">
        <x:v>普通字段</x:v>
      </x:c>
      <x:c r="H78" s="15" t="str">
        <x:v>09+14.matchable</x:v>
      </x:c>
      <x:c r="I78" s="15" t="str">
        <x:v>postbacks[].*</x:v>
      </x:c>
      <x:c r="J78" s="15" t="str"/>
    </x:row>
    <x:row r="79">
      <x:c r="A79" s="15" t="str">
        <x:v>postback_events</x:v>
      </x:c>
      <x:c r="B79" s="15" t="str">
        <x:v>queued</x:v>
      </x:c>
      <x:c r="C79" s="15" t="str">
        <x:v>queued</x:v>
      </x:c>
      <x:c r="D79" s="15" t="str">
        <x:v>布尔</x:v>
      </x:c>
      <x:c r="E79" s="15" t="str">
        <x:v>原始字段</x:v>
      </x:c>
      <x:c r="F79" s="15" t="str">
        <x:v>是</x:v>
      </x:c>
      <x:c r="G79" s="15" t="str">
        <x:v>普通字段</x:v>
      </x:c>
      <x:c r="H79" s="15" t="str">
        <x:v>09+14.queued</x:v>
      </x:c>
      <x:c r="I79" s="15" t="str">
        <x:v>postbacks[].*</x:v>
      </x:c>
      <x:c r="J79" s="15" t="str"/>
    </x:row>
    <x:row r="80">
      <x:c r="A80" s="15" t="str">
        <x:v>postback_events</x:v>
      </x:c>
      <x:c r="B80" s="15" t="str">
        <x:v>sent</x:v>
      </x:c>
      <x:c r="C80" s="15" t="str">
        <x:v>sent</x:v>
      </x:c>
      <x:c r="D80" s="15" t="str">
        <x:v>布尔</x:v>
      </x:c>
      <x:c r="E80" s="15" t="str">
        <x:v>原始字段</x:v>
      </x:c>
      <x:c r="F80" s="15" t="str">
        <x:v>是</x:v>
      </x:c>
      <x:c r="G80" s="15" t="str">
        <x:v>普通字段</x:v>
      </x:c>
      <x:c r="H80" s="15" t="str">
        <x:v>09+14.sent</x:v>
      </x:c>
      <x:c r="I80" s="15" t="str">
        <x:v>postbacks[].*</x:v>
      </x:c>
      <x:c r="J80" s="15" t="str"/>
    </x:row>
    <x:row r="81">
      <x:c r="A81" s="15" t="str">
        <x:v>postback_events</x:v>
      </x:c>
      <x:c r="B81" s="15" t="str">
        <x:v>accepted</x:v>
      </x:c>
      <x:c r="C81" s="15" t="str">
        <x:v>accepted</x:v>
      </x:c>
      <x:c r="D81" s="15" t="str">
        <x:v>布尔</x:v>
      </x:c>
      <x:c r="E81" s="15" t="str">
        <x:v>原始字段</x:v>
      </x:c>
      <x:c r="F81" s="15" t="str">
        <x:v>是</x:v>
      </x:c>
      <x:c r="G81" s="15" t="str">
        <x:v>普通字段</x:v>
      </x:c>
      <x:c r="H81" s="15" t="str">
        <x:v>09+14.accepted</x:v>
      </x:c>
      <x:c r="I81" s="15" t="str">
        <x:v>postbacks[].*</x:v>
      </x:c>
      <x:c r="J81" s="15" t="str"/>
    </x:row>
    <x:row r="82">
      <x:c r="A82" s="15" t="str">
        <x:v>postback_events</x:v>
      </x:c>
      <x:c r="B82" s="15" t="str">
        <x:v>processed</x:v>
      </x:c>
      <x:c r="C82" s="15" t="str">
        <x:v>processed</x:v>
      </x:c>
      <x:c r="D82" s="15" t="str">
        <x:v>布尔</x:v>
      </x:c>
      <x:c r="E82" s="15" t="str">
        <x:v>原始字段</x:v>
      </x:c>
      <x:c r="F82" s="15" t="str">
        <x:v>是</x:v>
      </x:c>
      <x:c r="G82" s="15" t="str">
        <x:v>普通字段</x:v>
      </x:c>
      <x:c r="H82" s="15" t="str">
        <x:v>09+14.processed</x:v>
      </x:c>
      <x:c r="I82" s="15" t="str">
        <x:v>postbacks[].*</x:v>
      </x:c>
      <x:c r="J82" s="15" t="str"/>
    </x:row>
    <x:row r="83">
      <x:c r="A83" s="15" t="str">
        <x:v>postback_events</x:v>
      </x:c>
      <x:c r="B83" s="15" t="str">
        <x:v>reported</x:v>
      </x:c>
      <x:c r="C83" s="15" t="str">
        <x:v>reported</x:v>
      </x:c>
      <x:c r="D83" s="15" t="str">
        <x:v>布尔</x:v>
      </x:c>
      <x:c r="E83" s="15" t="str">
        <x:v>原始字段</x:v>
      </x:c>
      <x:c r="F83" s="15" t="str">
        <x:v>是</x:v>
      </x:c>
      <x:c r="G83" s="15" t="str">
        <x:v>普通字段</x:v>
      </x:c>
      <x:c r="H83" s="15" t="str">
        <x:v>09+14.reported</x:v>
      </x:c>
      <x:c r="I83" s="15" t="str">
        <x:v>postbacks[].*</x:v>
      </x:c>
      <x:c r="J83" s="15" t="str"/>
    </x:row>
    <x:row r="84">
      <x:c r="A84" s="15" t="str">
        <x:v>postback_events</x:v>
      </x:c>
      <x:c r="B84" s="15" t="str">
        <x:v>rawCount</x:v>
      </x:c>
      <x:c r="C84" s="15" t="str">
        <x:v>rawCount</x:v>
      </x:c>
      <x:c r="D84" s="15" t="str">
        <x:v>整数</x:v>
      </x:c>
      <x:c r="E84" s="15" t="str">
        <x:v>原始字段</x:v>
      </x:c>
      <x:c r="F84" s="15" t="str">
        <x:v>是</x:v>
      </x:c>
      <x:c r="G84" s="15" t="str">
        <x:v>普通字段</x:v>
      </x:c>
      <x:c r="H84" s="15" t="str">
        <x:v>09+14.rawCount</x:v>
      </x:c>
      <x:c r="I84" s="15" t="str">
        <x:v>postbacks[].*</x:v>
      </x:c>
      <x:c r="J84" s="15" t="str"/>
    </x:row>
    <x:row r="85">
      <x:c r="A85" s="15" t="str">
        <x:v>postback_events</x:v>
      </x:c>
      <x:c r="B85" s="15" t="str">
        <x:v>mmp</x:v>
      </x:c>
      <x:c r="C85" s="15" t="str">
        <x:v>mmp</x:v>
      </x:c>
      <x:c r="D85" s="15" t="str">
        <x:v>布尔</x:v>
      </x:c>
      <x:c r="E85" s="15" t="str">
        <x:v>原始字段</x:v>
      </x:c>
      <x:c r="F85" s="15" t="str">
        <x:v>是</x:v>
      </x:c>
      <x:c r="G85" s="15" t="str">
        <x:v>普通字段</x:v>
      </x:c>
      <x:c r="H85" s="15" t="str">
        <x:v>09+14.mmp</x:v>
      </x:c>
      <x:c r="I85" s="15" t="str">
        <x:v>postbacks[].*</x:v>
      </x:c>
      <x:c r="J85" s="15" t="str"/>
    </x:row>
    <x:row r="86">
      <x:c r="A86" s="15" t="str">
        <x:v>postback_events</x:v>
      </x:c>
      <x:c r="B86" s="15" t="str">
        <x:v>latency</x:v>
      </x:c>
      <x:c r="C86" s="15" t="str">
        <x:v>latency</x:v>
      </x:c>
      <x:c r="D86" s="15" t="str">
        <x:v>整数</x:v>
      </x:c>
      <x:c r="E86" s="15" t="str">
        <x:v>加工字段</x:v>
      </x:c>
      <x:c r="F86" s="15" t="str">
        <x:v>否</x:v>
      </x:c>
      <x:c r="G86" s="15" t="str">
        <x:v>普通字段</x:v>
      </x:c>
      <x:c r="H86" s="15" t="str">
        <x:v>09+14.latency</x:v>
      </x:c>
      <x:c r="I86" s="15" t="str">
        <x:v>postbacks[].*</x:v>
      </x:c>
      <x:c r="J86" s="15" t="str"/>
    </x:row>
    <x:row r="87">
      <x:c r="A87" s="15" t="str">
        <x:v>postback_events</x:v>
      </x:c>
      <x:c r="B87" s="15" t="str">
        <x:v>amountOk</x:v>
      </x:c>
      <x:c r="C87" s="15" t="str">
        <x:v>amountOk</x:v>
      </x:c>
      <x:c r="D87" s="15" t="str">
        <x:v>布尔</x:v>
      </x:c>
      <x:c r="E87" s="15" t="str">
        <x:v>原始字段</x:v>
      </x:c>
      <x:c r="F87" s="15" t="str">
        <x:v>是</x:v>
      </x:c>
      <x:c r="G87" s="15" t="str">
        <x:v>普通字段</x:v>
      </x:c>
      <x:c r="H87" s="15" t="str">
        <x:v>09+14.amountOk</x:v>
      </x:c>
      <x:c r="I87" s="15" t="str">
        <x:v>postbacks[].*</x:v>
      </x:c>
      <x:c r="J87" s="15" t="str"/>
    </x:row>
    <x:row r="88">
      <x:c r="A88" s="15" t="str">
        <x:v>postback_events</x:v>
      </x:c>
      <x:c r="B88" s="15" t="str">
        <x:v>statusOk</x:v>
      </x:c>
      <x:c r="C88" s="15" t="str">
        <x:v>statusOk</x:v>
      </x:c>
      <x:c r="D88" s="15" t="str">
        <x:v>布尔</x:v>
      </x:c>
      <x:c r="E88" s="15" t="str">
        <x:v>原始字段</x:v>
      </x:c>
      <x:c r="F88" s="15" t="str">
        <x:v>是</x:v>
      </x:c>
      <x:c r="G88" s="15" t="str">
        <x:v>普通字段</x:v>
      </x:c>
      <x:c r="H88" s="15" t="str">
        <x:v>09+14.statusOk</x:v>
      </x:c>
      <x:c r="I88" s="15" t="str">
        <x:v>postbacks[].*</x:v>
      </x:c>
      <x:c r="J88" s="15" t="str"/>
    </x:row>
    <x:row r="89">
      <x:c r="A89" s="15" t="str">
        <x:v>postback_events</x:v>
      </x:c>
      <x:c r="B89" s="15" t="str">
        <x:v>timeOk</x:v>
      </x:c>
      <x:c r="C89" s="15" t="str">
        <x:v>timeOk</x:v>
      </x:c>
      <x:c r="D89" s="15" t="str">
        <x:v>布尔</x:v>
      </x:c>
      <x:c r="E89" s="15" t="str">
        <x:v>原始字段</x:v>
      </x:c>
      <x:c r="F89" s="15" t="str">
        <x:v>是</x:v>
      </x:c>
      <x:c r="G89" s="15" t="str">
        <x:v>普通字段</x:v>
      </x:c>
      <x:c r="H89" s="15" t="str">
        <x:v>09+14.timeOk</x:v>
      </x:c>
      <x:c r="I89" s="15" t="str">
        <x:v>postbacks[].*</x:v>
      </x:c>
      <x:c r="J89" s="15" t="str"/>
    </x:row>
    <x:row r="90">
      <x:c r="A90" s="15" t="str">
        <x:v>postback_events</x:v>
      </x:c>
      <x:c r="B90" s="15" t="str">
        <x:v>eventTime</x:v>
      </x:c>
      <x:c r="C90" s="15" t="str">
        <x:v>业务事件时间</x:v>
      </x:c>
      <x:c r="D90" s="15" t="str">
        <x:v>文本</x:v>
      </x:c>
      <x:c r="E90" s="15" t="str">
        <x:v>原始字段</x:v>
      </x:c>
      <x:c r="F90" s="15" t="str">
        <x:v>否</x:v>
      </x:c>
      <x:c r="G90" s="15" t="str">
        <x:v>普通字段</x:v>
      </x:c>
      <x:c r="H90" s="15" t="str">
        <x:v>14.eventTime</x:v>
      </x:c>
      <x:c r="I90" s="15" t="str">
        <x:v>postbacks[].*</x:v>
      </x:c>
      <x:c r="J90" s="15" t="str"/>
    </x:row>
    <x:row r="91">
      <x:c r="A91" s="15" t="str">
        <x:v>postback_events</x:v>
      </x:c>
      <x:c r="B91" s="15" t="str">
        <x:v>firstSentTime</x:v>
      </x:c>
      <x:c r="C91" s="15" t="str">
        <x:v>首次发送时间</x:v>
      </x:c>
      <x:c r="D91" s="15" t="str">
        <x:v>文本</x:v>
      </x:c>
      <x:c r="E91" s="15" t="str">
        <x:v>原始字段</x:v>
      </x:c>
      <x:c r="F91" s="15" t="str">
        <x:v>否</x:v>
      </x:c>
      <x:c r="G91" s="15" t="str">
        <x:v>普通字段</x:v>
      </x:c>
      <x:c r="H91" s="15" t="str">
        <x:v>14.firstSentTime</x:v>
      </x:c>
      <x:c r="I91" s="15" t="str">
        <x:v>postbacks[].*</x:v>
      </x:c>
      <x:c r="J91" s="15" t="str"/>
    </x:row>
    <x:row r="92">
      <x:c r="A92" s="15" t="str">
        <x:v>jobs</x:v>
      </x:c>
      <x:c r="B92" s="15" t="str">
        <x:v>name</x:v>
      </x:c>
      <x:c r="C92" s="15" t="str">
        <x:v>name</x:v>
      </x:c>
      <x:c r="D92" s="15" t="str">
        <x:v>文本</x:v>
      </x:c>
      <x:c r="E92" s="15" t="str">
        <x:v>原始字段</x:v>
      </x:c>
      <x:c r="F92" s="15" t="str">
        <x:v>是</x:v>
      </x:c>
      <x:c r="G92" s="15" t="str">
        <x:v>主键组成</x:v>
      </x:c>
      <x:c r="H92" s="15" t="str">
        <x:v>10.name</x:v>
      </x:c>
      <x:c r="I92" s="15" t="str">
        <x:v>jobs[].*</x:v>
      </x:c>
      <x:c r="J92" s="15" t="str"/>
    </x:row>
    <x:row r="93">
      <x:c r="A93" s="15" t="str">
        <x:v>jobs</x:v>
      </x:c>
      <x:c r="B93" s="15" t="str">
        <x:v>owner</x:v>
      </x:c>
      <x:c r="C93" s="15" t="str">
        <x:v>owner</x:v>
      </x:c>
      <x:c r="D93" s="15" t="str">
        <x:v>文本</x:v>
      </x:c>
      <x:c r="E93" s="15" t="str">
        <x:v>原始字段</x:v>
      </x:c>
      <x:c r="F93" s="15" t="str">
        <x:v>是</x:v>
      </x:c>
      <x:c r="G93" s="15" t="str">
        <x:v>普通字段</x:v>
      </x:c>
      <x:c r="H93" s="15" t="str">
        <x:v>10.owner</x:v>
      </x:c>
      <x:c r="I93" s="15" t="str">
        <x:v>jobs[].*</x:v>
      </x:c>
      <x:c r="J93" s="15" t="str"/>
    </x:row>
    <x:row r="94">
      <x:c r="A94" s="15" t="str">
        <x:v>jobs</x:v>
      </x:c>
      <x:c r="B94" s="15" t="str">
        <x:v>freshness</x:v>
      </x:c>
      <x:c r="C94" s="15" t="str">
        <x:v>freshness</x:v>
      </x:c>
      <x:c r="D94" s="15" t="str">
        <x:v>整数</x:v>
      </x:c>
      <x:c r="E94" s="15" t="str">
        <x:v>原始字段</x:v>
      </x:c>
      <x:c r="F94" s="15" t="str">
        <x:v>是</x:v>
      </x:c>
      <x:c r="G94" s="15" t="str">
        <x:v>普通字段</x:v>
      </x:c>
      <x:c r="H94" s="15" t="str">
        <x:v>10.freshness</x:v>
      </x:c>
      <x:c r="I94" s="15" t="str">
        <x:v>jobs[].*</x:v>
      </x:c>
      <x:c r="J94" s="15" t="str"/>
    </x:row>
    <x:row r="95">
      <x:c r="A95" s="15" t="str">
        <x:v>jobs</x:v>
      </x:c>
      <x:c r="B95" s="15" t="str">
        <x:v>sla</x:v>
      </x:c>
      <x:c r="C95" s="15" t="str">
        <x:v>sla</x:v>
      </x:c>
      <x:c r="D95" s="15" t="str">
        <x:v>整数</x:v>
      </x:c>
      <x:c r="E95" s="15" t="str">
        <x:v>原始字段</x:v>
      </x:c>
      <x:c r="F95" s="15" t="str">
        <x:v>是</x:v>
      </x:c>
      <x:c r="G95" s="15" t="str">
        <x:v>普通字段</x:v>
      </x:c>
      <x:c r="H95" s="15" t="str">
        <x:v>10.sla</x:v>
      </x:c>
      <x:c r="I95" s="15" t="str">
        <x:v>jobs[].*</x:v>
      </x:c>
      <x:c r="J95" s="15" t="str"/>
    </x:row>
    <x:row r="96">
      <x:c r="A96" s="15" t="str">
        <x:v>jobs</x:v>
      </x:c>
      <x:c r="B96" s="15" t="str">
        <x:v>success</x:v>
      </x:c>
      <x:c r="C96" s="15" t="str">
        <x:v>success</x:v>
      </x:c>
      <x:c r="D96" s="15" t="str">
        <x:v>数值</x:v>
      </x:c>
      <x:c r="E96" s="15" t="str">
        <x:v>原始字段</x:v>
      </x:c>
      <x:c r="F96" s="15" t="str">
        <x:v>是</x:v>
      </x:c>
      <x:c r="G96" s="15" t="str">
        <x:v>普通字段</x:v>
      </x:c>
      <x:c r="H96" s="15" t="str">
        <x:v>10.success</x:v>
      </x:c>
      <x:c r="I96" s="15" t="str">
        <x:v>jobs[].*</x:v>
      </x:c>
      <x:c r="J96" s="15" t="str"/>
    </x:row>
    <x:row r="97">
      <x:c r="A97" s="15" t="str">
        <x:v>experiment_header</x:v>
      </x:c>
      <x:c r="B97" s="15" t="str">
        <x:v>experimentId</x:v>
      </x:c>
      <x:c r="C97" s="15" t="str">
        <x:v>experimentId</x:v>
      </x:c>
      <x:c r="D97" s="15" t="str">
        <x:v>文本</x:v>
      </x:c>
      <x:c r="E97" s="15" t="str">
        <x:v>原始字段</x:v>
      </x:c>
      <x:c r="F97" s="15" t="str">
        <x:v>是</x:v>
      </x:c>
      <x:c r="G97" s="15" t="str">
        <x:v>主键组成</x:v>
      </x:c>
      <x:c r="H97" s="15" t="str">
        <x:v>11+16.experimentId</x:v>
      </x:c>
      <x:c r="I97" s="15" t="str">
        <x:v>当前不直接导入</x:v>
      </x:c>
      <x:c r="J97" s="15" t="str"/>
    </x:row>
    <x:row r="98">
      <x:c r="A98" s="15" t="str">
        <x:v>experiment_header</x:v>
      </x:c>
      <x:c r="B98" s="15" t="str">
        <x:v>experimentName</x:v>
      </x:c>
      <x:c r="C98" s="15" t="str">
        <x:v>experimentName</x:v>
      </x:c>
      <x:c r="D98" s="15" t="str">
        <x:v>文本</x:v>
      </x:c>
      <x:c r="E98" s="15" t="str">
        <x:v>原始字段</x:v>
      </x:c>
      <x:c r="F98" s="15" t="str">
        <x:v>是</x:v>
      </x:c>
      <x:c r="G98" s="15" t="str">
        <x:v>普通字段</x:v>
      </x:c>
      <x:c r="H98" s="15" t="str">
        <x:v>11+16.experimentName</x:v>
      </x:c>
      <x:c r="I98" s="15" t="str">
        <x:v>当前不直接导入</x:v>
      </x:c>
      <x:c r="J98" s="15" t="str"/>
    </x:row>
    <x:row r="99">
      <x:c r="A99" s="15" t="str">
        <x:v>experiment_header</x:v>
      </x:c>
      <x:c r="B99" s="15" t="str">
        <x:v>experimentType</x:v>
      </x:c>
      <x:c r="C99" s="15" t="str">
        <x:v>实验类型</x:v>
      </x:c>
      <x:c r="D99" s="15" t="str">
        <x:v>文本</x:v>
      </x:c>
      <x:c r="E99" s="15" t="str">
        <x:v>加工字段</x:v>
      </x:c>
      <x:c r="F99" s="15" t="str">
        <x:v>是</x:v>
      </x:c>
      <x:c r="G99" s="15" t="str">
        <x:v>普通字段</x:v>
      </x:c>
      <x:c r="H99" s="15" t="str">
        <x:v>11+16.experimentType</x:v>
      </x:c>
      <x:c r="I99" s="15" t="str">
        <x:v>当前不直接导入</x:v>
      </x:c>
      <x:c r="J99" s="15" t="str"/>
    </x:row>
    <x:row r="100">
      <x:c r="A100" s="15" t="str">
        <x:v>experiment_header</x:v>
      </x:c>
      <x:c r="B100" s="15" t="str">
        <x:v>randomizationUnit</x:v>
      </x:c>
      <x:c r="C100" s="15" t="str">
        <x:v>随机化单元</x:v>
      </x:c>
      <x:c r="D100" s="15" t="str">
        <x:v>文本</x:v>
      </x:c>
      <x:c r="E100" s="15" t="str">
        <x:v>加工字段</x:v>
      </x:c>
      <x:c r="F100" s="15" t="str">
        <x:v>是</x:v>
      </x:c>
      <x:c r="G100" s="15" t="str">
        <x:v>普通字段</x:v>
      </x:c>
      <x:c r="H100" s="15" t="str">
        <x:v>11+16.randomizationUnit</x:v>
      </x:c>
      <x:c r="I100" s="15" t="str">
        <x:v>当前不直接导入</x:v>
      </x:c>
      <x:c r="J100" s="15" t="str"/>
    </x:row>
    <x:row r="101">
      <x:c r="A101" s="15" t="str">
        <x:v>experiment_header</x:v>
      </x:c>
      <x:c r="B101" s="15" t="str">
        <x:v>periodStart</x:v>
      </x:c>
      <x:c r="C101" s="15" t="str">
        <x:v>periodStart</x:v>
      </x:c>
      <x:c r="D101" s="15" t="str">
        <x:v>文本</x:v>
      </x:c>
      <x:c r="E101" s="15" t="str">
        <x:v>原始字段</x:v>
      </x:c>
      <x:c r="F101" s="15" t="str">
        <x:v>是</x:v>
      </x:c>
      <x:c r="G101" s="15" t="str">
        <x:v>普通字段</x:v>
      </x:c>
      <x:c r="H101" s="15" t="str">
        <x:v>11+16.periodStart</x:v>
      </x:c>
      <x:c r="I101" s="15" t="str">
        <x:v>当前不直接导入</x:v>
      </x:c>
      <x:c r="J101" s="15" t="str"/>
    </x:row>
    <x:row r="102">
      <x:c r="A102" s="15" t="str">
        <x:v>experiment_header</x:v>
      </x:c>
      <x:c r="B102" s="15" t="str">
        <x:v>periodEnd</x:v>
      </x:c>
      <x:c r="C102" s="15" t="str">
        <x:v>periodEnd</x:v>
      </x:c>
      <x:c r="D102" s="15" t="str">
        <x:v>文本</x:v>
      </x:c>
      <x:c r="E102" s="15" t="str">
        <x:v>原始字段</x:v>
      </x:c>
      <x:c r="F102" s="15" t="str">
        <x:v>是</x:v>
      </x:c>
      <x:c r="G102" s="15" t="str">
        <x:v>普通字段</x:v>
      </x:c>
      <x:c r="H102" s="15" t="str">
        <x:v>11+16.periodEnd</x:v>
      </x:c>
      <x:c r="I102" s="15" t="str">
        <x:v>当前不直接导入</x:v>
      </x:c>
      <x:c r="J102" s="15" t="str"/>
    </x:row>
    <x:row r="103">
      <x:c r="A103" s="15" t="str">
        <x:v>experiment_arms</x:v>
      </x:c>
      <x:c r="B103" s="15" t="str">
        <x:v>experimentId</x:v>
      </x:c>
      <x:c r="C103" s="15" t="str">
        <x:v>experimentId</x:v>
      </x:c>
      <x:c r="D103" s="15" t="str">
        <x:v>文本</x:v>
      </x:c>
      <x:c r="E103" s="15" t="str">
        <x:v>原始字段</x:v>
      </x:c>
      <x:c r="F103" s="15" t="str">
        <x:v>是</x:v>
      </x:c>
      <x:c r="G103" s="15" t="str">
        <x:v>主键组成</x:v>
      </x:c>
      <x:c r="H103" s="15" t="str">
        <x:v>11+16.experimentId</x:v>
      </x:c>
      <x:c r="I103" s="15" t="str">
        <x:v>当前不直接导入</x:v>
      </x:c>
      <x:c r="J103" s="15" t="str"/>
    </x:row>
    <x:row r="104">
      <x:c r="A104" s="15" t="str">
        <x:v>experiment_arms</x:v>
      </x:c>
      <x:c r="B104" s="15" t="str">
        <x:v>unitValue</x:v>
      </x:c>
      <x:c r="C104" s="15" t="str">
        <x:v>随机化单元取值</x:v>
      </x:c>
      <x:c r="D104" s="15" t="str">
        <x:v>文本</x:v>
      </x:c>
      <x:c r="E104" s="15" t="str">
        <x:v>加工字段</x:v>
      </x:c>
      <x:c r="F104" s="15" t="str">
        <x:v>是</x:v>
      </x:c>
      <x:c r="G104" s="15" t="str">
        <x:v>主键组成</x:v>
      </x:c>
      <x:c r="H104" s="15" t="str">
        <x:v>11+16.unitValue</x:v>
      </x:c>
      <x:c r="I104" s="15" t="str">
        <x:v>当前不直接导入</x:v>
      </x:c>
      <x:c r="J104" s="15" t="str"/>
    </x:row>
    <x:row r="105">
      <x:c r="A105" s="15" t="str">
        <x:v>experiment_arms</x:v>
      </x:c>
      <x:c r="B105" s="15" t="str">
        <x:v>group</x:v>
      </x:c>
      <x:c r="C105" s="15" t="str">
        <x:v>group</x:v>
      </x:c>
      <x:c r="D105" s="15" t="str">
        <x:v>文本</x:v>
      </x:c>
      <x:c r="E105" s="15" t="str">
        <x:v>原始字段</x:v>
      </x:c>
      <x:c r="F105" s="15" t="str">
        <x:v>是</x:v>
      </x:c>
      <x:c r="G105" s="15" t="str">
        <x:v>主键组成</x:v>
      </x:c>
      <x:c r="H105" s="15" t="str">
        <x:v>11+16.group</x:v>
      </x:c>
      <x:c r="I105" s="15" t="str">
        <x:v>当前不直接导入</x:v>
      </x:c>
      <x:c r="J105" s="15" t="str"/>
    </x:row>
    <x:row r="106">
      <x:c r="A106" s="15" t="str">
        <x:v>experiment_arms</x:v>
      </x:c>
      <x:c r="B106" s="15" t="str">
        <x:v>assignedUsers</x:v>
      </x:c>
      <x:c r="C106" s="15" t="str">
        <x:v>assignedUsers</x:v>
      </x:c>
      <x:c r="D106" s="15" t="str">
        <x:v>整数</x:v>
      </x:c>
      <x:c r="E106" s="15" t="str">
        <x:v>原始字段</x:v>
      </x:c>
      <x:c r="F106" s="15" t="str">
        <x:v>否</x:v>
      </x:c>
      <x:c r="G106" s="15" t="str">
        <x:v>普通字段</x:v>
      </x:c>
      <x:c r="H106" s="15" t="str">
        <x:v>11+16.assignedUsers</x:v>
      </x:c>
      <x:c r="I106" s="15" t="str">
        <x:v>当前不直接导入</x:v>
      </x:c>
      <x:c r="J106" s="15" t="str"/>
    </x:row>
    <x:row r="107">
      <x:c r="A107" s="15" t="str">
        <x:v>experiment_arms</x:v>
      </x:c>
      <x:c r="B107" s="15" t="str">
        <x:v>prePeriodFirstLoans</x:v>
      </x:c>
      <x:c r="C107" s="15" t="str">
        <x:v>prePeriodFirstLoans</x:v>
      </x:c>
      <x:c r="D107" s="15" t="str">
        <x:v>整数</x:v>
      </x:c>
      <x:c r="E107" s="15" t="str">
        <x:v>原始字段</x:v>
      </x:c>
      <x:c r="F107" s="15" t="str">
        <x:v>否</x:v>
      </x:c>
      <x:c r="G107" s="15" t="str">
        <x:v>普通字段</x:v>
      </x:c>
      <x:c r="H107" s="15" t="str">
        <x:v>11+16.prePeriodFirstLoans</x:v>
      </x:c>
      <x:c r="I107" s="15" t="str">
        <x:v>当前不直接导入</x:v>
      </x:c>
      <x:c r="J107" s="15" t="str"/>
    </x:row>
    <x:row r="108">
      <x:c r="A108" s="15" t="str">
        <x:v>experiment_arms</x:v>
      </x:c>
      <x:c r="B108" s="15" t="str">
        <x:v>firstLoanUsers</x:v>
      </x:c>
      <x:c r="C108" s="15" t="str">
        <x:v>firstLoanUsers</x:v>
      </x:c>
      <x:c r="D108" s="15" t="str">
        <x:v>整数</x:v>
      </x:c>
      <x:c r="E108" s="15" t="str">
        <x:v>原始字段</x:v>
      </x:c>
      <x:c r="F108" s="15" t="str">
        <x:v>是</x:v>
      </x:c>
      <x:c r="G108" s="15" t="str">
        <x:v>普通字段</x:v>
      </x:c>
      <x:c r="H108" s="15" t="str">
        <x:v>11+16.firstLoanUsers</x:v>
      </x:c>
      <x:c r="I108" s="15" t="str">
        <x:v>当前不直接导入</x:v>
      </x:c>
      <x:c r="J108" s="15" t="str"/>
    </x:row>
    <x:row r="109">
      <x:c r="A109" s="15" t="str">
        <x:v>experiment_arms</x:v>
      </x:c>
      <x:c r="B109" s="15" t="str">
        <x:v>mediaSpendAud</x:v>
      </x:c>
      <x:c r="C109" s="15" t="str">
        <x:v>mediaSpendAud</x:v>
      </x:c>
      <x:c r="D109" s="15" t="str">
        <x:v>整数</x:v>
      </x:c>
      <x:c r="E109" s="15" t="str">
        <x:v>原始字段</x:v>
      </x:c>
      <x:c r="F109" s="15" t="str">
        <x:v>是</x:v>
      </x:c>
      <x:c r="G109" s="15" t="str">
        <x:v>普通字段</x:v>
      </x:c>
      <x:c r="H109" s="15" t="str">
        <x:v>11+16.mediaSpendAud</x:v>
      </x:c>
      <x:c r="I109" s="15" t="str">
        <x:v>当前不直接导入</x:v>
      </x:c>
      <x:c r="J109" s="15" t="str"/>
    </x:row>
    <x:row r="110">
      <x:c r="A110" s="15" t="str">
        <x:v>experiment_arms</x:v>
      </x:c>
      <x:c r="B110" s="15" t="str">
        <x:v>contributionAud</x:v>
      </x:c>
      <x:c r="C110" s="15" t="str">
        <x:v>contributionAud</x:v>
      </x:c>
      <x:c r="D110" s="15" t="str">
        <x:v>整数</x:v>
      </x:c>
      <x:c r="E110" s="15" t="str">
        <x:v>原始字段</x:v>
      </x:c>
      <x:c r="F110" s="15" t="str">
        <x:v>是</x:v>
      </x:c>
      <x:c r="G110" s="15" t="str">
        <x:v>普通字段</x:v>
      </x:c>
      <x:c r="H110" s="15" t="str">
        <x:v>11+16.contributionAud</x:v>
      </x:c>
      <x:c r="I110" s="15" t="str">
        <x:v>当前不直接导入</x:v>
      </x:c>
      <x:c r="J110" s="15" t="str"/>
    </x:row>
    <x:row r="111">
      <x:c r="A111" s="15" t="str">
        <x:v>experiment_arms</x:v>
      </x:c>
      <x:c r="B111" s="15" t="str">
        <x:v>sourceTable</x:v>
      </x:c>
      <x:c r="C111" s="15" t="str">
        <x:v>来源表</x:v>
      </x:c>
      <x:c r="D111" s="15" t="str">
        <x:v>文本</x:v>
      </x:c>
      <x:c r="E111" s="15" t="str">
        <x:v>加工字段</x:v>
      </x:c>
      <x:c r="F111" s="15" t="str">
        <x:v>是</x:v>
      </x:c>
      <x:c r="G111" s="15" t="str">
        <x:v>普通字段</x:v>
      </x:c>
      <x:c r="H111" s="15" t="str">
        <x:v>11+16.sourceTable</x:v>
      </x:c>
      <x:c r="I111" s="15" t="str">
        <x:v>当前不直接导入</x:v>
      </x:c>
      <x:c r="J111" s="15" t="str"/>
    </x:row>
    <x:row r="112">
      <x:c r="A112" s="15" t="str">
        <x:v>media_billing</x:v>
      </x:c>
      <x:c r="B112" s="15" t="str">
        <x:v>month</x:v>
      </x:c>
      <x:c r="C112" s="15" t="str">
        <x:v>月份</x:v>
      </x:c>
      <x:c r="D112" s="15" t="str">
        <x:v>文本</x:v>
      </x:c>
      <x:c r="E112" s="15" t="str">
        <x:v>原始字段</x:v>
      </x:c>
      <x:c r="F112" s="15" t="str">
        <x:v>是</x:v>
      </x:c>
      <x:c r="G112" s="15" t="str">
        <x:v>主键组成</x:v>
      </x:c>
      <x:c r="H112" s="15" t="str">
        <x:v>12.month</x:v>
      </x:c>
      <x:c r="I112" s="15" t="str">
        <x:v>当前不直接导入</x:v>
      </x:c>
      <x:c r="J112" s="15" t="str"/>
    </x:row>
    <x:row r="113">
      <x:c r="A113" s="15" t="str">
        <x:v>media_billing</x:v>
      </x:c>
      <x:c r="B113" s="15" t="str">
        <x:v>channel</x:v>
      </x:c>
      <x:c r="C113" s="15" t="str">
        <x:v>渠道</x:v>
      </x:c>
      <x:c r="D113" s="15" t="str">
        <x:v>文本</x:v>
      </x:c>
      <x:c r="E113" s="15" t="str">
        <x:v>原始字段</x:v>
      </x:c>
      <x:c r="F113" s="15" t="str">
        <x:v>是</x:v>
      </x:c>
      <x:c r="G113" s="15" t="str">
        <x:v>主键组成</x:v>
      </x:c>
      <x:c r="H113" s="15" t="str">
        <x:v>12.channel</x:v>
      </x:c>
      <x:c r="I113" s="15" t="str">
        <x:v>当前不直接导入</x:v>
      </x:c>
      <x:c r="J113" s="15" t="str"/>
    </x:row>
    <x:row r="114">
      <x:c r="A114" s="15" t="str">
        <x:v>media_billing</x:v>
      </x:c>
      <x:c r="B114" s="15" t="str">
        <x:v>campaign</x:v>
      </x:c>
      <x:c r="C114" s="15" t="str">
        <x:v>campaign</x:v>
      </x:c>
      <x:c r="D114" s="15" t="str">
        <x:v>文本</x:v>
      </x:c>
      <x:c r="E114" s="15" t="str">
        <x:v>原始字段</x:v>
      </x:c>
      <x:c r="F114" s="15" t="str">
        <x:v>是</x:v>
      </x:c>
      <x:c r="G114" s="15" t="str">
        <x:v>主键组成</x:v>
      </x:c>
      <x:c r="H114" s="15" t="str">
        <x:v>12.campaign</x:v>
      </x:c>
      <x:c r="I114" s="15" t="str">
        <x:v>当前不直接导入</x:v>
      </x:c>
      <x:c r="J114" s="15" t="str"/>
    </x:row>
    <x:row r="115">
      <x:c r="A115" s="15" t="str">
        <x:v>media_billing</x:v>
      </x:c>
      <x:c r="B115" s="15" t="str">
        <x:v>currency</x:v>
      </x:c>
      <x:c r="C115" s="15" t="str">
        <x:v>currency</x:v>
      </x:c>
      <x:c r="D115" s="15" t="str">
        <x:v>文本</x:v>
      </x:c>
      <x:c r="E115" s="15" t="str">
        <x:v>原始字段</x:v>
      </x:c>
      <x:c r="F115" s="15" t="str">
        <x:v>是</x:v>
      </x:c>
      <x:c r="G115" s="15" t="str">
        <x:v>普通字段</x:v>
      </x:c>
      <x:c r="H115" s="15" t="str">
        <x:v>12.currency</x:v>
      </x:c>
      <x:c r="I115" s="15" t="str">
        <x:v>当前不直接导入</x:v>
      </x:c>
      <x:c r="J115" s="15" t="str"/>
    </x:row>
    <x:row r="116">
      <x:c r="A116" s="15" t="str">
        <x:v>media_billing</x:v>
      </x:c>
      <x:c r="B116" s="15" t="str">
        <x:v>mediaCost</x:v>
      </x:c>
      <x:c r="C116" s="15" t="str">
        <x:v>mediaCost</x:v>
      </x:c>
      <x:c r="D116" s="15" t="str">
        <x:v>整数</x:v>
      </x:c>
      <x:c r="E116" s="15" t="str">
        <x:v>原始字段</x:v>
      </x:c>
      <x:c r="F116" s="15" t="str">
        <x:v>是</x:v>
      </x:c>
      <x:c r="G116" s="15" t="str">
        <x:v>普通字段</x:v>
      </x:c>
      <x:c r="H116" s="15" t="str">
        <x:v>12.mediaCost</x:v>
      </x:c>
      <x:c r="I116" s="15" t="str">
        <x:v>当前不直接导入</x:v>
      </x:c>
      <x:c r="J116" s="15" t="str"/>
    </x:row>
    <x:row r="117">
      <x:c r="A117" s="15" t="str">
        <x:v>media_billing</x:v>
      </x:c>
      <x:c r="B117" s="15" t="str">
        <x:v>impressions</x:v>
      </x:c>
      <x:c r="C117" s="15" t="str">
        <x:v>impressions</x:v>
      </x:c>
      <x:c r="D117" s="15" t="str">
        <x:v>整数</x:v>
      </x:c>
      <x:c r="E117" s="15" t="str">
        <x:v>原始字段</x:v>
      </x:c>
      <x:c r="F117" s="15" t="str">
        <x:v>是</x:v>
      </x:c>
      <x:c r="G117" s="15" t="str">
        <x:v>普通字段</x:v>
      </x:c>
      <x:c r="H117" s="15" t="str">
        <x:v>12.impressions</x:v>
      </x:c>
      <x:c r="I117" s="15" t="str">
        <x:v>当前不直接导入</x:v>
      </x:c>
      <x:c r="J117" s="15" t="str"/>
    </x:row>
    <x:row r="118">
      <x:c r="A118" s="15" t="str">
        <x:v>media_billing</x:v>
      </x:c>
      <x:c r="B118" s="15" t="str">
        <x:v>clicks</x:v>
      </x:c>
      <x:c r="C118" s="15" t="str">
        <x:v>clicks</x:v>
      </x:c>
      <x:c r="D118" s="15" t="str">
        <x:v>整数</x:v>
      </x:c>
      <x:c r="E118" s="15" t="str">
        <x:v>原始字段</x:v>
      </x:c>
      <x:c r="F118" s="15" t="str">
        <x:v>是</x:v>
      </x:c>
      <x:c r="G118" s="15" t="str">
        <x:v>普通字段</x:v>
      </x:c>
      <x:c r="H118" s="15" t="str">
        <x:v>12.clicks</x:v>
      </x:c>
      <x:c r="I118" s="15" t="str">
        <x:v>当前不直接导入</x:v>
      </x:c>
      <x:c r="J118" s="15" t="str"/>
    </x:row>
    <x:row r="119">
      <x:c r="A119" s="15" t="str">
        <x:v>google_ads_conversions</x:v>
      </x:c>
      <x:c r="B119" s="15" t="str">
        <x:v>month</x:v>
      </x:c>
      <x:c r="C119" s="15" t="str">
        <x:v>月份</x:v>
      </x:c>
      <x:c r="D119" s="15" t="str">
        <x:v>文本</x:v>
      </x:c>
      <x:c r="E119" s="15" t="str">
        <x:v>原始字段</x:v>
      </x:c>
      <x:c r="F119" s="15" t="str">
        <x:v>是</x:v>
      </x:c>
      <x:c r="G119" s="15" t="str">
        <x:v>主键组成</x:v>
      </x:c>
      <x:c r="H119" s="15" t="str">
        <x:v>15.month</x:v>
      </x:c>
      <x:c r="I119" s="15" t="str">
        <x:v>当前不直接导入</x:v>
      </x:c>
      <x:c r="J119" s="15" t="str"/>
    </x:row>
    <x:row r="120">
      <x:c r="A120" s="15" t="str">
        <x:v>google_ads_conversions</x:v>
      </x:c>
      <x:c r="B120" s="15" t="str">
        <x:v>channel</x:v>
      </x:c>
      <x:c r="C120" s="15" t="str">
        <x:v>渠道</x:v>
      </x:c>
      <x:c r="D120" s="15" t="str">
        <x:v>文本</x:v>
      </x:c>
      <x:c r="E120" s="15" t="str">
        <x:v>加工字段</x:v>
      </x:c>
      <x:c r="F120" s="15" t="str">
        <x:v>是</x:v>
      </x:c>
      <x:c r="G120" s="15" t="str">
        <x:v>普通字段</x:v>
      </x:c>
      <x:c r="H120" s="15" t="str">
        <x:v>固定值Google</x:v>
      </x:c>
      <x:c r="I120" s="15" t="str">
        <x:v>当前不直接导入</x:v>
      </x:c>
      <x:c r="J120" s="15" t="str"/>
    </x:row>
    <x:row r="121">
      <x:c r="A121" s="15" t="str">
        <x:v>google_ads_conversions</x:v>
      </x:c>
      <x:c r="B121" s="15" t="str">
        <x:v>campaign</x:v>
      </x:c>
      <x:c r="C121" s="15" t="str">
        <x:v>campaign</x:v>
      </x:c>
      <x:c r="D121" s="15" t="str">
        <x:v>文本</x:v>
      </x:c>
      <x:c r="E121" s="15" t="str">
        <x:v>原始字段</x:v>
      </x:c>
      <x:c r="F121" s="15" t="str">
        <x:v>是</x:v>
      </x:c>
      <x:c r="G121" s="15" t="str">
        <x:v>主键组成</x:v>
      </x:c>
      <x:c r="H121" s="15" t="str">
        <x:v>15.campaign</x:v>
      </x:c>
      <x:c r="I121" s="15" t="str">
        <x:v>当前不直接导入</x:v>
      </x:c>
      <x:c r="J121" s="15" t="str"/>
    </x:row>
    <x:row r="122">
      <x:c r="A122" s="15" t="str">
        <x:v>google_ads_conversions</x:v>
      </x:c>
      <x:c r="B122" s="15" t="str">
        <x:v>conversionAction</x:v>
      </x:c>
      <x:c r="C122" s="15" t="str">
        <x:v>转化动作</x:v>
      </x:c>
      <x:c r="D122" s="15" t="str">
        <x:v>文本</x:v>
      </x:c>
      <x:c r="E122" s="15" t="str">
        <x:v>原始字段</x:v>
      </x:c>
      <x:c r="F122" s="15" t="str">
        <x:v>是</x:v>
      </x:c>
      <x:c r="G122" s="15" t="str">
        <x:v>主键组成</x:v>
      </x:c>
      <x:c r="H122" s="15" t="str">
        <x:v>15.conversionAction</x:v>
      </x:c>
      <x:c r="I122" s="15" t="str">
        <x:v>当前不直接导入</x:v>
      </x:c>
      <x:c r="J122" s="15" t="str"/>
    </x:row>
    <x:row r="123">
      <x:c r="A123" s="15" t="str">
        <x:v>google_ads_conversions</x:v>
      </x:c>
      <x:c r="B123" s="15" t="str">
        <x:v>conversions</x:v>
      </x:c>
      <x:c r="C123" s="15" t="str">
        <x:v>平台转化数</x:v>
      </x:c>
      <x:c r="D123" s="15" t="str">
        <x:v>整数</x:v>
      </x:c>
      <x:c r="E123" s="15" t="str">
        <x:v>原始字段</x:v>
      </x:c>
      <x:c r="F123" s="15" t="str">
        <x:v>是</x:v>
      </x:c>
      <x:c r="G123" s="15" t="str">
        <x:v>普通字段</x:v>
      </x:c>
      <x:c r="H123" s="15" t="str">
        <x:v>15.conversions</x:v>
      </x:c>
      <x:c r="I123" s="15" t="str">
        <x:v>当前不直接导入</x:v>
      </x:c>
      <x:c r="J123" s="15" t="str"/>
    </x:row>
    <x:row r="124">
      <x:c r="A124" s="15" t="str">
        <x:v>google_ads_conversions</x:v>
      </x:c>
      <x:c r="B124" s="15" t="str">
        <x:v>conversionValue</x:v>
      </x:c>
      <x:c r="C124" s="15" t="str">
        <x:v>平台转化价值</x:v>
      </x:c>
      <x:c r="D124" s="15" t="str">
        <x:v>整数</x:v>
      </x:c>
      <x:c r="E124" s="15" t="str">
        <x:v>原始字段</x:v>
      </x:c>
      <x:c r="F124" s="15" t="str">
        <x:v>是</x:v>
      </x:c>
      <x:c r="G124" s="15" t="str">
        <x:v>普通字段</x:v>
      </x:c>
      <x:c r="H124" s="15" t="str">
        <x:v>15.conversionValue</x:v>
      </x:c>
      <x:c r="I124" s="15" t="str">
        <x:v>当前不直接导入</x:v>
      </x:c>
      <x:c r="J124" s="15" t="str"/>
    </x:row>
    <x:row r="125">
      <x:c r="A125" s="15" t="str">
        <x:v>kpi_reference</x:v>
      </x:c>
      <x:c r="B125" s="15" t="str">
        <x:v>metric_name</x:v>
      </x:c>
      <x:c r="C125" s="15" t="str">
        <x:v>metric_name</x:v>
      </x:c>
      <x:c r="D125" s="15" t="str">
        <x:v>文本</x:v>
      </x:c>
      <x:c r="E125" s="15" t="str">
        <x:v>原始字段</x:v>
      </x:c>
      <x:c r="F125" s="15" t="str">
        <x:v>是</x:v>
      </x:c>
      <x:c r="G125" s="15" t="str">
        <x:v>主键组成</x:v>
      </x:c>
      <x:c r="H125" s="15" t="str">
        <x:v>05.metric_name</x:v>
      </x:c>
      <x:c r="I125" s="15" t="str">
        <x:v>monthly-monitor-v1.sources[kpi]</x:v>
      </x:c>
      <x:c r="J125" s="15" t="str"/>
    </x:row>
    <x:row r="126">
      <x:c r="A126" s="15" t="str">
        <x:v>kpi_reference</x:v>
      </x:c>
      <x:c r="B126" s="15" t="str">
        <x:v>month</x:v>
      </x:c>
      <x:c r="C126" s="15" t="str">
        <x:v>月份</x:v>
      </x:c>
      <x:c r="D126" s="15" t="str">
        <x:v>文本</x:v>
      </x:c>
      <x:c r="E126" s="15" t="str">
        <x:v>原始字段</x:v>
      </x:c>
      <x:c r="F126" s="15" t="str">
        <x:v>是</x:v>
      </x:c>
      <x:c r="G126" s="15" t="str">
        <x:v>主键组成</x:v>
      </x:c>
      <x:c r="H126" s="15" t="str">
        <x:v>05.month</x:v>
      </x:c>
      <x:c r="I126" s="15" t="str">
        <x:v>monthly-monitor-v1.sources[kpi]</x:v>
      </x:c>
      <x:c r="J126" s="15" t="str"/>
    </x:row>
    <x:row r="127">
      <x:c r="A127" s="15" t="str">
        <x:v>kpi_reference</x:v>
      </x:c>
      <x:c r="B127" s="15" t="str">
        <x:v>metric_value</x:v>
      </x:c>
      <x:c r="C127" s="15" t="str">
        <x:v>metric_value</x:v>
      </x:c>
      <x:c r="D127" s="15" t="str">
        <x:v>数值</x:v>
      </x:c>
      <x:c r="E127" s="15" t="str">
        <x:v>原始字段</x:v>
      </x:c>
      <x:c r="F127" s="15" t="str">
        <x:v>是</x:v>
      </x:c>
      <x:c r="G127" s="15" t="str">
        <x:v>普通字段</x:v>
      </x:c>
      <x:c r="H127" s="15" t="str">
        <x:v>05.metric_value</x:v>
      </x:c>
      <x:c r="I127" s="15" t="str">
        <x:v>monthly-monitor-v1.sources[kpi]</x:v>
      </x:c>
      <x:c r="J127" s="15" t="str"/>
    </x:row>
  </x:sheetData>
  <x:pageMargins left="0.7" right="0.7" top="0.75" bottom="0.75" header="0.3" footer="0.3"/>
  <x:tableParts count="1">
    <x:tablePart xmlns:r="http://schemas.openxmlformats.org/officeDocument/2006/relationships" r:id="Rf198d150d44f46da"/>
  </x:tableParts>
</x:worksheet>
</file>